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tekion.sharepoint.com/sites/EngineeringProgramManagement/Shared Documents/General/TPM Documents/"/>
    </mc:Choice>
  </mc:AlternateContent>
  <xr:revisionPtr revIDLastSave="0" documentId="8_{05747907-0D86-4D02-A17F-5B77040CC2CA}" xr6:coauthVersionLast="47" xr6:coauthVersionMax="47" xr10:uidLastSave="{00000000-0000-0000-0000-000000000000}"/>
  <bookViews>
    <workbookView xWindow="-3315" yWindow="-17400" windowWidth="30960" windowHeight="16800" firstSheet="6" activeTab="6" xr2:uid="{00000000-000D-0000-FFFF-FFFF00000000}"/>
  </bookViews>
  <sheets>
    <sheet name="Summary" sheetId="1" r:id="rId1"/>
    <sheet name="Unique Components" sheetId="10" state="hidden" r:id="rId2"/>
    <sheet name="Projects" sheetId="8" state="hidden" r:id="rId3"/>
    <sheet name="JIRA" sheetId="4" state="hidden" r:id="rId4"/>
    <sheet name="Component Masterlist v2" sheetId="2" r:id="rId5"/>
    <sheet name="Capacity" sheetId="17" r:id="rId6"/>
    <sheet name="Scrum Teams" sheetId="9" r:id="rId7"/>
    <sheet name="Scrum Team Summary" sheetId="14" r:id="rId8"/>
    <sheet name="PDLC Projects" sheetId="11" r:id="rId9"/>
    <sheet name="Objective&lt;&gt;Initiatives" sheetId="21" r:id="rId10"/>
    <sheet name="Repo&lt;&gt;Component" sheetId="20" r:id="rId11"/>
    <sheet name="PVP-PD Mapping" sheetId="23" r:id="rId12"/>
    <sheet name="Fix Versions" sheetId="13" r:id="rId13"/>
    <sheet name="Lookup" sheetId="15" r:id="rId14"/>
    <sheet name="Formula" sheetId="7" r:id="rId15"/>
    <sheet name="Capacity-old" sheetId="16" state="hidden" r:id="rId16"/>
    <sheet name="Old_Components_Lookup" sheetId="6" r:id="rId17"/>
    <sheet name="Architect Roster" sheetId="18" r:id="rId18"/>
  </sheets>
  <definedNames>
    <definedName name="_xlnm._FilterDatabase" localSheetId="17" hidden="1">'Architect Roster'!$A$1:$G$42</definedName>
    <definedName name="_xlnm._FilterDatabase" localSheetId="5" hidden="1">Capacity!$A$1:$X$138</definedName>
    <definedName name="_xlnm._FilterDatabase" localSheetId="4" hidden="1">'Component Masterlist v2'!$A$1:$R$377</definedName>
    <definedName name="_xlnm._FilterDatabase" localSheetId="13" hidden="1">Lookup!$A$1:$F$328</definedName>
    <definedName name="_xlnm._FilterDatabase" localSheetId="9" hidden="1">'Objective&lt;&gt;Initiatives'!$A$1:$D$198</definedName>
    <definedName name="_xlnm._FilterDatabase" localSheetId="16" hidden="1">Old_Components_Lookup!$A$1:$C$253</definedName>
    <definedName name="_xlnm._FilterDatabase" localSheetId="8" hidden="1">'PDLC Projects'!$A$1:$O$57</definedName>
    <definedName name="_xlnm._FilterDatabase" localSheetId="2" hidden="1">Projects!$A$26:$E$26</definedName>
    <definedName name="_xlnm._FilterDatabase" localSheetId="11" hidden="1">'PVP-PD Mapping'!$A$4:$J$57</definedName>
    <definedName name="_xlnm._FilterDatabase" localSheetId="6" hidden="1">'Scrum Teams'!$A$1:$AH$140</definedName>
    <definedName name="_xlnm._FilterDatabase" localSheetId="1" hidden="1">'Unique Components'!$D$1:$D$45</definedName>
  </definedNames>
  <calcPr calcId="191028"/>
  <pivotCaches>
    <pivotCache cacheId="21" r:id="rId19"/>
    <pivotCache cacheId="22" r:id="rId20"/>
    <pivotCache cacheId="23"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2" i="9" l="1"/>
  <c r="AE12" i="9"/>
  <c r="AD13" i="9"/>
  <c r="AE13" i="9"/>
  <c r="AD14" i="9"/>
  <c r="AE14" i="9"/>
  <c r="D13" i="9"/>
  <c r="D11" i="9"/>
  <c r="D12" i="9"/>
  <c r="D10" i="9"/>
  <c r="D9" i="9"/>
  <c r="D8" i="9"/>
  <c r="D14" i="9"/>
  <c r="D35" i="9"/>
  <c r="E139" i="9"/>
  <c r="O159" i="2" a="1"/>
  <c r="O158" i="2" a="1"/>
  <c r="O157" i="2" a="1"/>
  <c r="O156" i="2" a="1"/>
  <c r="O155" i="2" a="1"/>
  <c r="O154" i="2" a="1"/>
  <c r="D49" i="9"/>
  <c r="O377" i="2" a="1"/>
  <c r="E7" i="9"/>
  <c r="D357" i="15"/>
  <c r="E357" i="15"/>
  <c r="F357" i="15"/>
  <c r="D358" i="15"/>
  <c r="E358" i="15"/>
  <c r="F358" i="15"/>
  <c r="D359" i="15"/>
  <c r="E359" i="15"/>
  <c r="F359" i="15"/>
  <c r="D360" i="15"/>
  <c r="E360" i="15"/>
  <c r="F360" i="15"/>
  <c r="D361" i="15"/>
  <c r="E361" i="15"/>
  <c r="F361" i="15"/>
  <c r="D362" i="15"/>
  <c r="E362" i="15"/>
  <c r="F362" i="15"/>
  <c r="D363" i="15"/>
  <c r="E363" i="15"/>
  <c r="F363" i="15"/>
  <c r="D364" i="15"/>
  <c r="E364" i="15"/>
  <c r="F364" i="15"/>
  <c r="D365" i="15"/>
  <c r="E365" i="15"/>
  <c r="F365" i="15"/>
  <c r="D366" i="15"/>
  <c r="E366" i="15"/>
  <c r="F366" i="15"/>
  <c r="D367" i="15"/>
  <c r="E367" i="15"/>
  <c r="F367" i="15"/>
  <c r="D368" i="15"/>
  <c r="E368" i="15"/>
  <c r="F368" i="15"/>
  <c r="D369" i="15"/>
  <c r="E369" i="15"/>
  <c r="F369" i="15"/>
  <c r="D370" i="15"/>
  <c r="E370" i="15"/>
  <c r="F370" i="15"/>
  <c r="D371" i="15"/>
  <c r="E371" i="15"/>
  <c r="F371" i="15"/>
  <c r="O103" i="2" a="1"/>
  <c r="O104" i="2" a="1"/>
  <c r="O105" i="2" a="1"/>
  <c r="O370" i="2" a="1"/>
  <c r="C365" i="15"/>
  <c r="O153" i="2" a="1"/>
  <c r="M141" i="17" a="1"/>
  <c r="M142" i="17" a="1"/>
  <c r="L142" i="17"/>
  <c r="N142" i="17"/>
  <c r="M143" i="17" a="1"/>
  <c r="M144" i="17" a="1"/>
  <c r="M145" i="17" a="1"/>
  <c r="M146" i="17" a="1"/>
  <c r="M147" i="17" a="1"/>
  <c r="L147" i="17"/>
  <c r="N147" i="17"/>
  <c r="M148" i="17" a="1"/>
  <c r="M149" i="17" a="1"/>
  <c r="M150" i="17" a="1"/>
  <c r="M139" i="17" a="1"/>
  <c r="M140" i="17" a="1"/>
  <c r="D98" i="9"/>
  <c r="E97" i="9"/>
  <c r="D97" i="9"/>
  <c r="D95" i="9"/>
  <c r="D93" i="9"/>
  <c r="D92" i="9"/>
  <c r="D91" i="9"/>
  <c r="E88" i="9"/>
  <c r="D88" i="9"/>
  <c r="AE110" i="9"/>
  <c r="AE111" i="9"/>
  <c r="AD110" i="9"/>
  <c r="AD111" i="9"/>
  <c r="E110" i="9"/>
  <c r="D110" i="9"/>
  <c r="E111" i="9"/>
  <c r="D111" i="9"/>
  <c r="D39" i="9"/>
  <c r="D38" i="9"/>
  <c r="D37" i="9"/>
  <c r="D36" i="9"/>
  <c r="D34" i="9"/>
  <c r="D33" i="9"/>
  <c r="D140" i="9"/>
  <c r="D105" i="9"/>
  <c r="D109" i="9"/>
  <c r="E109" i="9"/>
  <c r="D108" i="9"/>
  <c r="D15" i="21"/>
  <c r="D43" i="21"/>
  <c r="D44" i="21"/>
  <c r="D45" i="21"/>
  <c r="E14" i="9"/>
  <c r="E12" i="9"/>
  <c r="E13" i="9"/>
  <c r="D28" i="9"/>
  <c r="D27" i="9"/>
  <c r="D26" i="9"/>
  <c r="L149" i="17"/>
  <c r="P149" i="17"/>
  <c r="O149" i="17"/>
  <c r="L145" i="17"/>
  <c r="P145" i="17"/>
  <c r="O145" i="17"/>
  <c r="R145" i="17"/>
  <c r="L143" i="17"/>
  <c r="P143" i="17"/>
  <c r="O143" i="17"/>
  <c r="R143" i="17"/>
  <c r="L141" i="17"/>
  <c r="P141" i="17"/>
  <c r="O141" i="17"/>
  <c r="R141" i="17"/>
  <c r="R147" i="17"/>
  <c r="Q147" i="17"/>
  <c r="P147" i="17"/>
  <c r="O147" i="17"/>
  <c r="R149" i="17"/>
  <c r="L148" i="17"/>
  <c r="R148" i="17"/>
  <c r="P148" i="17"/>
  <c r="O148" i="17"/>
  <c r="L144" i="17"/>
  <c r="R144" i="17"/>
  <c r="P144" i="17"/>
  <c r="O144" i="17"/>
  <c r="L139" i="17"/>
  <c r="P139" i="17"/>
  <c r="O139" i="17"/>
  <c r="L150" i="17"/>
  <c r="R150" i="17"/>
  <c r="P150" i="17"/>
  <c r="O150" i="17"/>
  <c r="L140" i="17"/>
  <c r="L146" i="17"/>
  <c r="R146" i="17"/>
  <c r="P146" i="17"/>
  <c r="O146" i="17"/>
  <c r="Q142" i="17"/>
  <c r="P142" i="17"/>
  <c r="O142" i="17"/>
  <c r="R142" i="17"/>
  <c r="B5" i="23"/>
  <c r="C5" i="23" a="1"/>
  <c r="D5" i="23" a="1"/>
  <c r="E5" i="23" a="1"/>
  <c r="F5" i="23" a="1"/>
  <c r="I5" i="23" a="1"/>
  <c r="N5" i="23"/>
  <c r="B6" i="23"/>
  <c r="C6" i="23" a="1"/>
  <c r="D6" i="23" a="1"/>
  <c r="E6" i="23" a="1"/>
  <c r="F6" i="23" a="1"/>
  <c r="H6" i="23" a="1"/>
  <c r="I6" i="23" a="1"/>
  <c r="B7" i="23"/>
  <c r="C7" i="23" a="1"/>
  <c r="D7" i="23" a="1"/>
  <c r="E7" i="23" a="1"/>
  <c r="F7" i="23" a="1"/>
  <c r="I7" i="23" a="1"/>
  <c r="B8" i="23"/>
  <c r="C8" i="23" a="1"/>
  <c r="D8" i="23" a="1"/>
  <c r="E8" i="23" a="1"/>
  <c r="F8" i="23" a="1"/>
  <c r="H8" i="23" a="1"/>
  <c r="I8" i="23" a="1"/>
  <c r="B9" i="23"/>
  <c r="C9" i="23" a="1"/>
  <c r="D9" i="23" a="1"/>
  <c r="E9" i="23" a="1"/>
  <c r="F9" i="23" a="1"/>
  <c r="H9" i="23" a="1"/>
  <c r="I9" i="23" a="1"/>
  <c r="B10" i="23"/>
  <c r="C10" i="23" a="1"/>
  <c r="D10" i="23" a="1"/>
  <c r="E10" i="23" a="1"/>
  <c r="F10" i="23" a="1"/>
  <c r="H10" i="23" a="1"/>
  <c r="I10" i="23" a="1"/>
  <c r="B11" i="23"/>
  <c r="C11" i="23" a="1"/>
  <c r="D11" i="23" a="1"/>
  <c r="E11" i="23" a="1"/>
  <c r="F11" i="23" a="1"/>
  <c r="H11" i="23" a="1"/>
  <c r="I11" i="23" a="1"/>
  <c r="B12" i="23"/>
  <c r="C12" i="23" a="1"/>
  <c r="D12" i="23" a="1"/>
  <c r="E12" i="23" a="1"/>
  <c r="F12" i="23" a="1"/>
  <c r="H12" i="23" a="1"/>
  <c r="I12" i="23" a="1"/>
  <c r="B13" i="23"/>
  <c r="C13" i="23" a="1"/>
  <c r="D13" i="23" a="1"/>
  <c r="E13" i="23" a="1"/>
  <c r="F13" i="23" a="1"/>
  <c r="H13" i="23" a="1"/>
  <c r="I13" i="23" a="1"/>
  <c r="B14" i="23"/>
  <c r="C14" i="23" a="1"/>
  <c r="D14" i="23" a="1"/>
  <c r="E14" i="23" a="1"/>
  <c r="F14" i="23" a="1"/>
  <c r="H14" i="23" a="1"/>
  <c r="I14" i="23" a="1"/>
  <c r="B15" i="23"/>
  <c r="C15" i="23" a="1"/>
  <c r="D15" i="23" a="1"/>
  <c r="E15" i="23" a="1"/>
  <c r="F15" i="23" a="1"/>
  <c r="H15" i="23" a="1"/>
  <c r="I15" i="23" a="1"/>
  <c r="B16" i="23"/>
  <c r="C16" i="23" a="1"/>
  <c r="D16" i="23" a="1"/>
  <c r="E16" i="23" a="1"/>
  <c r="F16" i="23" a="1"/>
  <c r="H16" i="23" a="1"/>
  <c r="I16" i="23" a="1"/>
  <c r="B17" i="23"/>
  <c r="C17" i="23" a="1"/>
  <c r="D17" i="23" a="1"/>
  <c r="E17" i="23" a="1"/>
  <c r="F17" i="23" a="1"/>
  <c r="H17" i="23" a="1"/>
  <c r="I17" i="23" a="1"/>
  <c r="B18" i="23"/>
  <c r="C18" i="23" a="1"/>
  <c r="D18" i="23" a="1"/>
  <c r="E18" i="23" a="1"/>
  <c r="F18" i="23" a="1"/>
  <c r="H18" i="23" a="1"/>
  <c r="I18" i="23" a="1"/>
  <c r="B19" i="23"/>
  <c r="C19" i="23" a="1"/>
  <c r="D19" i="23" a="1"/>
  <c r="E19" i="23" a="1"/>
  <c r="F19" i="23" a="1"/>
  <c r="H19" i="23" a="1"/>
  <c r="I19" i="23" a="1"/>
  <c r="B20" i="23"/>
  <c r="C20" i="23" a="1"/>
  <c r="D20" i="23" a="1"/>
  <c r="E20" i="23" a="1"/>
  <c r="F20" i="23" a="1"/>
  <c r="H20" i="23" a="1"/>
  <c r="I20" i="23" a="1"/>
  <c r="B21" i="23"/>
  <c r="C21" i="23" a="1"/>
  <c r="D21" i="23" a="1"/>
  <c r="E21" i="23" a="1"/>
  <c r="F21" i="23" a="1"/>
  <c r="H21" i="23" a="1"/>
  <c r="I21" i="23" a="1"/>
  <c r="B22" i="23"/>
  <c r="C22" i="23" a="1"/>
  <c r="D22" i="23" a="1"/>
  <c r="E22" i="23" a="1"/>
  <c r="F22" i="23" a="1"/>
  <c r="H22" i="23" a="1"/>
  <c r="I22" i="23" a="1"/>
  <c r="B23" i="23"/>
  <c r="C23" i="23" a="1"/>
  <c r="D23" i="23" a="1"/>
  <c r="E23" i="23" a="1"/>
  <c r="F23" i="23" a="1"/>
  <c r="H23" i="23" a="1"/>
  <c r="I23" i="23" a="1"/>
  <c r="B24" i="23"/>
  <c r="C24" i="23" a="1"/>
  <c r="D24" i="23" a="1"/>
  <c r="E24" i="23" a="1"/>
  <c r="F24" i="23" a="1"/>
  <c r="H24" i="23" a="1"/>
  <c r="I24" i="23" a="1"/>
  <c r="B25" i="23"/>
  <c r="C25" i="23" a="1"/>
  <c r="D25" i="23" a="1"/>
  <c r="E25" i="23" a="1"/>
  <c r="F25" i="23" a="1"/>
  <c r="H25" i="23" a="1"/>
  <c r="I25" i="23" a="1"/>
  <c r="B26" i="23"/>
  <c r="C26" i="23" a="1"/>
  <c r="D26" i="23" a="1"/>
  <c r="E26" i="23" a="1"/>
  <c r="F26" i="23" a="1"/>
  <c r="H26" i="23" a="1"/>
  <c r="I26" i="23" a="1"/>
  <c r="B27" i="23"/>
  <c r="C27" i="23" a="1"/>
  <c r="D27" i="23" a="1"/>
  <c r="E27" i="23" a="1"/>
  <c r="F27" i="23" a="1"/>
  <c r="H27" i="23" a="1"/>
  <c r="I27" i="23" a="1"/>
  <c r="B28" i="23"/>
  <c r="C28" i="23" a="1"/>
  <c r="D28" i="23" a="1"/>
  <c r="E28" i="23" a="1"/>
  <c r="F28" i="23" a="1"/>
  <c r="H28" i="23" a="1"/>
  <c r="I28" i="23" a="1"/>
  <c r="B29" i="23"/>
  <c r="C29" i="23" a="1"/>
  <c r="D29" i="23" a="1"/>
  <c r="E29" i="23" a="1"/>
  <c r="F29" i="23" a="1"/>
  <c r="H29" i="23" a="1"/>
  <c r="I29" i="23" a="1"/>
  <c r="B30" i="23"/>
  <c r="C30" i="23" a="1"/>
  <c r="D30" i="23" a="1"/>
  <c r="E30" i="23" a="1"/>
  <c r="F30" i="23" a="1"/>
  <c r="H30" i="23" a="1"/>
  <c r="I30" i="23" a="1"/>
  <c r="B31" i="23"/>
  <c r="C31" i="23" a="1"/>
  <c r="D31" i="23" a="1"/>
  <c r="E31" i="23" a="1"/>
  <c r="F31" i="23" a="1"/>
  <c r="H31" i="23" a="1"/>
  <c r="I31" i="23" a="1"/>
  <c r="B32" i="23"/>
  <c r="C32" i="23" a="1"/>
  <c r="D32" i="23" a="1"/>
  <c r="E32" i="23" a="1"/>
  <c r="F32" i="23" a="1"/>
  <c r="H32" i="23" a="1"/>
  <c r="I32" i="23" a="1"/>
  <c r="B33" i="23"/>
  <c r="C33" i="23" a="1"/>
  <c r="D33" i="23" a="1"/>
  <c r="E33" i="23" a="1"/>
  <c r="F33" i="23" a="1"/>
  <c r="H33" i="23" a="1"/>
  <c r="I33" i="23" a="1"/>
  <c r="B34" i="23"/>
  <c r="C34" i="23" a="1"/>
  <c r="D34" i="23" a="1"/>
  <c r="E34" i="23" a="1"/>
  <c r="F34" i="23" a="1"/>
  <c r="H34" i="23" a="1"/>
  <c r="I34" i="23" a="1"/>
  <c r="B35" i="23"/>
  <c r="C35" i="23" a="1"/>
  <c r="D35" i="23" a="1"/>
  <c r="E35" i="23" a="1"/>
  <c r="F35" i="23" a="1"/>
  <c r="H35" i="23" a="1"/>
  <c r="I35" i="23" a="1"/>
  <c r="B36" i="23"/>
  <c r="C36" i="23" a="1"/>
  <c r="D36" i="23" a="1"/>
  <c r="E36" i="23" a="1"/>
  <c r="F36" i="23" a="1"/>
  <c r="H36" i="23" a="1"/>
  <c r="I36" i="23" a="1"/>
  <c r="B37" i="23"/>
  <c r="C37" i="23" a="1"/>
  <c r="D37" i="23" a="1"/>
  <c r="E37" i="23" a="1"/>
  <c r="F37" i="23" a="1"/>
  <c r="H37" i="23" a="1"/>
  <c r="I37" i="23" a="1"/>
  <c r="B38" i="23"/>
  <c r="C38" i="23" a="1"/>
  <c r="D38" i="23" a="1"/>
  <c r="E38" i="23" a="1"/>
  <c r="F38" i="23" a="1"/>
  <c r="H38" i="23" a="1"/>
  <c r="I38" i="23" a="1"/>
  <c r="B39" i="23"/>
  <c r="C39" i="23" a="1"/>
  <c r="D39" i="23" a="1"/>
  <c r="E39" i="23" a="1"/>
  <c r="F39" i="23" a="1"/>
  <c r="H39" i="23" a="1"/>
  <c r="I39" i="23" a="1"/>
  <c r="B40" i="23"/>
  <c r="C40" i="23" a="1"/>
  <c r="D40" i="23" a="1"/>
  <c r="E40" i="23" a="1"/>
  <c r="F40" i="23" a="1"/>
  <c r="H40" i="23" a="1"/>
  <c r="I40" i="23" a="1"/>
  <c r="B41" i="23"/>
  <c r="C41" i="23" a="1"/>
  <c r="D41" i="23" a="1"/>
  <c r="E41" i="23" a="1"/>
  <c r="F41" i="23" a="1"/>
  <c r="H41" i="23" a="1"/>
  <c r="I41" i="23" a="1"/>
  <c r="B42" i="23"/>
  <c r="C42" i="23" a="1"/>
  <c r="D42" i="23" a="1"/>
  <c r="E42" i="23" a="1"/>
  <c r="F42" i="23" a="1"/>
  <c r="H42" i="23" a="1"/>
  <c r="I42" i="23" a="1"/>
  <c r="B43" i="23"/>
  <c r="C43" i="23" a="1"/>
  <c r="D43" i="23" a="1"/>
  <c r="E43" i="23" a="1"/>
  <c r="F43" i="23" a="1"/>
  <c r="H43" i="23" a="1"/>
  <c r="I43" i="23" a="1"/>
  <c r="B44" i="23"/>
  <c r="C44" i="23" a="1"/>
  <c r="D44" i="23" a="1"/>
  <c r="E44" i="23" a="1"/>
  <c r="F44" i="23" a="1"/>
  <c r="H44" i="23" a="1"/>
  <c r="I44" i="23" a="1"/>
  <c r="B45" i="23"/>
  <c r="C45" i="23" a="1"/>
  <c r="D45" i="23" a="1"/>
  <c r="E45" i="23" a="1"/>
  <c r="F45" i="23" a="1"/>
  <c r="H45" i="23" a="1"/>
  <c r="I45" i="23" a="1"/>
  <c r="B46" i="23"/>
  <c r="C46" i="23" a="1"/>
  <c r="D46" i="23" a="1"/>
  <c r="E46" i="23" a="1"/>
  <c r="F46" i="23" a="1"/>
  <c r="H46" i="23" a="1"/>
  <c r="I46" i="23" a="1"/>
  <c r="B47" i="23"/>
  <c r="C47" i="23" a="1"/>
  <c r="D47" i="23" a="1"/>
  <c r="E47" i="23" a="1"/>
  <c r="F47" i="23" a="1"/>
  <c r="H47" i="23" a="1"/>
  <c r="I47" i="23" a="1"/>
  <c r="B48" i="23"/>
  <c r="C48" i="23" a="1"/>
  <c r="D48" i="23" a="1"/>
  <c r="E48" i="23" a="1"/>
  <c r="F48" i="23" a="1"/>
  <c r="H48" i="23" a="1"/>
  <c r="I48" i="23" a="1"/>
  <c r="B49" i="23"/>
  <c r="C49" i="23" a="1"/>
  <c r="D49" i="23" a="1"/>
  <c r="E49" i="23" a="1"/>
  <c r="F49" i="23" a="1"/>
  <c r="H49" i="23" a="1"/>
  <c r="I49" i="23" a="1"/>
  <c r="B50" i="23"/>
  <c r="C50" i="23" a="1"/>
  <c r="D50" i="23" a="1"/>
  <c r="E50" i="23" a="1"/>
  <c r="F50" i="23" a="1"/>
  <c r="H50" i="23" a="1"/>
  <c r="I50" i="23" a="1"/>
  <c r="B51" i="23"/>
  <c r="C51" i="23" a="1"/>
  <c r="D51" i="23" a="1"/>
  <c r="E51" i="23" a="1"/>
  <c r="F51" i="23" a="1"/>
  <c r="H51" i="23" a="1"/>
  <c r="I51" i="23" a="1"/>
  <c r="B52" i="23"/>
  <c r="C52" i="23" a="1"/>
  <c r="D52" i="23" a="1"/>
  <c r="E52" i="23" a="1"/>
  <c r="F52" i="23" a="1"/>
  <c r="H52" i="23" a="1"/>
  <c r="I52" i="23" a="1"/>
  <c r="B53" i="23"/>
  <c r="C53" i="23" a="1"/>
  <c r="D53" i="23" a="1"/>
  <c r="E53" i="23" a="1"/>
  <c r="F53" i="23" a="1"/>
  <c r="H53" i="23" a="1"/>
  <c r="I53" i="23" a="1"/>
  <c r="B54" i="23"/>
  <c r="C54" i="23" a="1"/>
  <c r="D54" i="23" a="1"/>
  <c r="E54" i="23" a="1"/>
  <c r="F54" i="23" a="1"/>
  <c r="H54" i="23" a="1"/>
  <c r="I54" i="23" a="1"/>
  <c r="B55" i="23"/>
  <c r="C55" i="23" a="1"/>
  <c r="D55" i="23" a="1"/>
  <c r="E55" i="23" a="1"/>
  <c r="F55" i="23" a="1"/>
  <c r="H55" i="23" a="1"/>
  <c r="I55" i="23" a="1"/>
  <c r="B56" i="23"/>
  <c r="C56" i="23" a="1"/>
  <c r="D56" i="23" a="1"/>
  <c r="E56" i="23" a="1"/>
  <c r="F56" i="23" a="1"/>
  <c r="H56" i="23" a="1"/>
  <c r="I56" i="23" a="1"/>
  <c r="B57" i="23"/>
  <c r="C57" i="23" a="1"/>
  <c r="D57" i="23" a="1"/>
  <c r="E57" i="23" a="1"/>
  <c r="F57" i="23" a="1"/>
  <c r="H57" i="23" a="1"/>
  <c r="I57" i="23" a="1"/>
  <c r="AE28" i="9"/>
  <c r="AD28" i="9"/>
  <c r="AE27" i="9"/>
  <c r="AA28" i="9"/>
  <c r="E28" i="9"/>
  <c r="O126" i="2" a="1"/>
  <c r="O88" i="2" a="1"/>
  <c r="O351" i="2" a="1"/>
  <c r="O352" i="2" a="1"/>
  <c r="O353" i="2" a="1"/>
  <c r="O291" i="2" a="1"/>
  <c r="O292" i="2" a="1"/>
  <c r="O341" i="2" a="1"/>
  <c r="O338" i="2" a="1"/>
  <c r="O339" i="2" a="1"/>
  <c r="O340" i="2" a="1"/>
  <c r="O219" i="2" a="1"/>
  <c r="O19" i="2" a="1"/>
  <c r="O20" i="2" a="1"/>
  <c r="O21" i="2" a="1"/>
  <c r="D51" i="9"/>
  <c r="D60" i="9"/>
  <c r="D59" i="9"/>
  <c r="D19" i="9"/>
  <c r="D127" i="9"/>
  <c r="D130" i="9"/>
  <c r="D129" i="9"/>
  <c r="D128" i="9"/>
  <c r="D126" i="9"/>
  <c r="D125" i="9"/>
  <c r="D55" i="9"/>
  <c r="D53" i="9"/>
  <c r="D52" i="9"/>
  <c r="D47" i="9"/>
  <c r="D356" i="15"/>
  <c r="E356" i="15"/>
  <c r="F356" i="15"/>
  <c r="E80" i="9"/>
  <c r="E48" i="9"/>
  <c r="D54" i="9"/>
  <c r="D50" i="9"/>
  <c r="D167" i="21"/>
  <c r="D166" i="21"/>
  <c r="D165" i="21"/>
  <c r="D164" i="21"/>
  <c r="D163" i="21"/>
  <c r="D162" i="21"/>
  <c r="D161" i="21"/>
  <c r="D160" i="21"/>
  <c r="D159" i="21"/>
  <c r="D158" i="21"/>
  <c r="D157" i="21"/>
  <c r="D156" i="21"/>
  <c r="D155" i="21"/>
  <c r="D154" i="21"/>
  <c r="D153" i="21"/>
  <c r="D152" i="21"/>
  <c r="D151" i="21"/>
  <c r="D150" i="21"/>
  <c r="D149" i="21"/>
  <c r="D148" i="21"/>
  <c r="D147" i="21"/>
  <c r="D146" i="21"/>
  <c r="D145" i="21"/>
  <c r="D144" i="21"/>
  <c r="D143" i="21"/>
  <c r="D142" i="21"/>
  <c r="D141" i="21"/>
  <c r="D140" i="21"/>
  <c r="D139" i="21"/>
  <c r="D138" i="21"/>
  <c r="D137" i="21"/>
  <c r="D136" i="21"/>
  <c r="D135" i="21"/>
  <c r="D134" i="21"/>
  <c r="D133" i="21"/>
  <c r="D132" i="21"/>
  <c r="D131" i="21"/>
  <c r="D130" i="21"/>
  <c r="D129" i="21"/>
  <c r="D128" i="21"/>
  <c r="D127" i="21"/>
  <c r="D126" i="21"/>
  <c r="D125" i="21"/>
  <c r="D124" i="21"/>
  <c r="D123" i="21"/>
  <c r="D122" i="21"/>
  <c r="D121" i="21"/>
  <c r="D120" i="21"/>
  <c r="D119" i="21"/>
  <c r="D118" i="21"/>
  <c r="D117" i="21"/>
  <c r="D116" i="21"/>
  <c r="D115" i="21"/>
  <c r="D114" i="21"/>
  <c r="D113" i="21"/>
  <c r="D112" i="21"/>
  <c r="D111" i="21"/>
  <c r="D110" i="21"/>
  <c r="D109" i="21"/>
  <c r="D108" i="21"/>
  <c r="D107" i="21"/>
  <c r="D106" i="21"/>
  <c r="D105" i="21"/>
  <c r="D104" i="21"/>
  <c r="D103" i="21"/>
  <c r="D102" i="21"/>
  <c r="D101" i="21"/>
  <c r="D100" i="21"/>
  <c r="D99" i="21"/>
  <c r="D98" i="21"/>
  <c r="D97" i="21"/>
  <c r="D96" i="21"/>
  <c r="D95" i="21"/>
  <c r="D94" i="21"/>
  <c r="D93" i="21"/>
  <c r="D92" i="21"/>
  <c r="D91" i="21"/>
  <c r="D90" i="21"/>
  <c r="D89" i="21"/>
  <c r="D88" i="21"/>
  <c r="D87" i="21"/>
  <c r="D86" i="21"/>
  <c r="D85" i="21"/>
  <c r="D84" i="21"/>
  <c r="D83" i="21"/>
  <c r="D82" i="21"/>
  <c r="D81" i="21"/>
  <c r="D80" i="21"/>
  <c r="D79" i="21"/>
  <c r="D78" i="21"/>
  <c r="D77" i="21"/>
  <c r="D76" i="21"/>
  <c r="D75" i="21"/>
  <c r="D74" i="21"/>
  <c r="D73" i="21"/>
  <c r="D72" i="21"/>
  <c r="D71" i="21"/>
  <c r="D70" i="21"/>
  <c r="D69" i="21"/>
  <c r="D68" i="21"/>
  <c r="D67" i="21"/>
  <c r="D66" i="21"/>
  <c r="D65" i="21"/>
  <c r="D64" i="21"/>
  <c r="D63" i="21"/>
  <c r="D62" i="21"/>
  <c r="D61" i="21"/>
  <c r="D60" i="21"/>
  <c r="D59" i="21"/>
  <c r="D58" i="21"/>
  <c r="D57" i="21"/>
  <c r="D56" i="21"/>
  <c r="D55" i="21"/>
  <c r="D54" i="21"/>
  <c r="D53" i="21"/>
  <c r="D52" i="21"/>
  <c r="D51" i="21"/>
  <c r="D50" i="21"/>
  <c r="D49" i="21"/>
  <c r="D48" i="21"/>
  <c r="D47" i="21"/>
  <c r="D46"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4" i="21"/>
  <c r="D13" i="21"/>
  <c r="D12" i="21"/>
  <c r="D11" i="21"/>
  <c r="D10" i="21"/>
  <c r="D9" i="21"/>
  <c r="D8" i="21"/>
  <c r="D7" i="21"/>
  <c r="D6" i="21"/>
  <c r="D5" i="21"/>
  <c r="D4" i="21"/>
  <c r="D3" i="21"/>
  <c r="D2" i="21"/>
  <c r="AD54" i="9"/>
  <c r="AE54" i="9"/>
  <c r="AD55" i="9"/>
  <c r="AE55" i="9"/>
  <c r="AD24" i="9"/>
  <c r="AE24" i="9"/>
  <c r="AA24" i="9"/>
  <c r="O369" i="2" a="1"/>
  <c r="D348" i="15"/>
  <c r="E348" i="15"/>
  <c r="F348" i="15"/>
  <c r="D349" i="15"/>
  <c r="E349" i="15"/>
  <c r="F349" i="15"/>
  <c r="D350" i="15"/>
  <c r="E350" i="15"/>
  <c r="F350" i="15"/>
  <c r="D351" i="15"/>
  <c r="E351" i="15"/>
  <c r="F351" i="15"/>
  <c r="D352" i="15"/>
  <c r="E352" i="15"/>
  <c r="F352" i="15"/>
  <c r="D353" i="15"/>
  <c r="E353" i="15"/>
  <c r="F353" i="15"/>
  <c r="D354" i="15"/>
  <c r="E354" i="15"/>
  <c r="F354" i="15"/>
  <c r="D355" i="15"/>
  <c r="E355" i="15"/>
  <c r="F355" i="15"/>
  <c r="E113" i="9"/>
  <c r="E112" i="9"/>
  <c r="O245" i="2" a="1"/>
  <c r="O246" i="2" a="1"/>
  <c r="O247" i="2" a="1"/>
  <c r="O248" i="2" a="1"/>
  <c r="O249" i="2" a="1"/>
  <c r="O330" i="2" a="1"/>
  <c r="O244" i="2" a="1"/>
  <c r="C4" i="20"/>
  <c r="D4" i="20"/>
  <c r="C5" i="20"/>
  <c r="D5" i="20"/>
  <c r="C6" i="20"/>
  <c r="D6" i="20"/>
  <c r="C7" i="20"/>
  <c r="D7" i="20"/>
  <c r="C8" i="20"/>
  <c r="D8" i="20"/>
  <c r="C9" i="20"/>
  <c r="D9" i="20"/>
  <c r="C10" i="20"/>
  <c r="D10" i="20"/>
  <c r="C11" i="20"/>
  <c r="D11" i="20"/>
  <c r="C12" i="20"/>
  <c r="D12" i="20"/>
  <c r="C13" i="20"/>
  <c r="D13" i="20"/>
  <c r="C14" i="20"/>
  <c r="D14" i="20"/>
  <c r="C15" i="20"/>
  <c r="D15" i="20"/>
  <c r="C16" i="20"/>
  <c r="D16" i="20"/>
  <c r="C17" i="20"/>
  <c r="D17" i="20"/>
  <c r="C18" i="20"/>
  <c r="D18" i="20"/>
  <c r="C19" i="20"/>
  <c r="D19" i="20"/>
  <c r="C20" i="20"/>
  <c r="D20" i="20"/>
  <c r="C21" i="20"/>
  <c r="D21" i="20"/>
  <c r="C22" i="20"/>
  <c r="D22" i="20"/>
  <c r="C23" i="20"/>
  <c r="D23" i="20"/>
  <c r="C24" i="20"/>
  <c r="D24" i="20"/>
  <c r="C25" i="20"/>
  <c r="D25" i="20"/>
  <c r="C26" i="20"/>
  <c r="D26" i="20"/>
  <c r="C27" i="20"/>
  <c r="D27" i="20"/>
  <c r="C28" i="20"/>
  <c r="D28" i="20"/>
  <c r="C29" i="20"/>
  <c r="D29" i="20"/>
  <c r="C30" i="20"/>
  <c r="D30" i="20"/>
  <c r="C31" i="20"/>
  <c r="D31" i="20"/>
  <c r="C32" i="20"/>
  <c r="D32" i="20"/>
  <c r="C33" i="20"/>
  <c r="D33" i="20"/>
  <c r="C34" i="20"/>
  <c r="D34" i="20"/>
  <c r="C35" i="20"/>
  <c r="D35" i="20"/>
  <c r="C36" i="20"/>
  <c r="D36" i="20"/>
  <c r="C37" i="20"/>
  <c r="D37" i="20"/>
  <c r="C38" i="20"/>
  <c r="D38" i="20"/>
  <c r="C39" i="20"/>
  <c r="D39" i="20"/>
  <c r="C40" i="20"/>
  <c r="D40" i="20"/>
  <c r="C41" i="20"/>
  <c r="D41" i="20"/>
  <c r="C42" i="20"/>
  <c r="D42" i="20"/>
  <c r="C43" i="20"/>
  <c r="D43" i="20"/>
  <c r="C44" i="20"/>
  <c r="D44" i="20"/>
  <c r="C45" i="20"/>
  <c r="D45" i="20"/>
  <c r="C46" i="20"/>
  <c r="D46" i="20"/>
  <c r="C47" i="20"/>
  <c r="D47" i="20"/>
  <c r="C48" i="20"/>
  <c r="D48" i="20"/>
  <c r="C49" i="20"/>
  <c r="D49" i="20"/>
  <c r="C50" i="20"/>
  <c r="D50" i="20"/>
  <c r="C51" i="20"/>
  <c r="D51" i="20"/>
  <c r="C52" i="20"/>
  <c r="D52" i="20"/>
  <c r="C53" i="20"/>
  <c r="D53" i="20"/>
  <c r="C54" i="20"/>
  <c r="D54" i="20"/>
  <c r="C55" i="20"/>
  <c r="D55" i="20"/>
  <c r="C56" i="20"/>
  <c r="D56" i="20"/>
  <c r="C57" i="20"/>
  <c r="D57" i="20"/>
  <c r="C58" i="20"/>
  <c r="D58" i="20"/>
  <c r="C59" i="20"/>
  <c r="D59" i="20"/>
  <c r="C60" i="20"/>
  <c r="D60" i="20"/>
  <c r="C61" i="20"/>
  <c r="D61" i="20"/>
  <c r="C62" i="20"/>
  <c r="D62" i="20"/>
  <c r="C63" i="20"/>
  <c r="D63" i="20"/>
  <c r="C64" i="20"/>
  <c r="D64" i="20"/>
  <c r="C65" i="20"/>
  <c r="D65" i="20"/>
  <c r="C66" i="20"/>
  <c r="D66" i="20"/>
  <c r="C67" i="20"/>
  <c r="D67" i="20"/>
  <c r="C68" i="20"/>
  <c r="D68" i="20"/>
  <c r="C69" i="20"/>
  <c r="D69" i="20"/>
  <c r="C70" i="20"/>
  <c r="D70" i="20"/>
  <c r="C71" i="20"/>
  <c r="D71" i="20"/>
  <c r="C72" i="20"/>
  <c r="D72" i="20"/>
  <c r="C73" i="20"/>
  <c r="D73" i="20"/>
  <c r="C74" i="20"/>
  <c r="D74" i="20"/>
  <c r="C75" i="20"/>
  <c r="D75" i="20"/>
  <c r="C76" i="20"/>
  <c r="D76" i="20"/>
  <c r="C77" i="20"/>
  <c r="D77" i="20"/>
  <c r="C78" i="20"/>
  <c r="D78" i="20"/>
  <c r="C79" i="20"/>
  <c r="D79" i="20"/>
  <c r="C80" i="20"/>
  <c r="D80" i="20"/>
  <c r="C81" i="20"/>
  <c r="D81" i="20"/>
  <c r="C82" i="20"/>
  <c r="D82" i="20"/>
  <c r="C83" i="20"/>
  <c r="D83" i="20"/>
  <c r="C84" i="20"/>
  <c r="D84" i="20"/>
  <c r="C85" i="20"/>
  <c r="D85" i="20"/>
  <c r="C86" i="20"/>
  <c r="D86" i="20"/>
  <c r="C87" i="20"/>
  <c r="D87" i="20"/>
  <c r="C88" i="20"/>
  <c r="D88" i="20"/>
  <c r="C89" i="20"/>
  <c r="D89" i="20"/>
  <c r="C90" i="20"/>
  <c r="D90" i="20"/>
  <c r="C91" i="20"/>
  <c r="D91" i="20"/>
  <c r="C92" i="20"/>
  <c r="D92" i="20"/>
  <c r="C93" i="20"/>
  <c r="D93" i="20"/>
  <c r="C94" i="20"/>
  <c r="D94" i="20"/>
  <c r="C95" i="20"/>
  <c r="D95" i="20"/>
  <c r="C96" i="20"/>
  <c r="D96" i="20"/>
  <c r="C97" i="20"/>
  <c r="D97" i="20"/>
  <c r="C98" i="20"/>
  <c r="D98" i="20"/>
  <c r="C99" i="20"/>
  <c r="D99" i="20"/>
  <c r="C100" i="20"/>
  <c r="D100" i="20"/>
  <c r="C101" i="20"/>
  <c r="D101" i="20"/>
  <c r="C102" i="20"/>
  <c r="D102" i="20"/>
  <c r="C103" i="20"/>
  <c r="D103" i="20"/>
  <c r="C104" i="20"/>
  <c r="D104" i="20"/>
  <c r="C105" i="20"/>
  <c r="D105" i="20"/>
  <c r="C106" i="20"/>
  <c r="D106" i="20"/>
  <c r="C107" i="20"/>
  <c r="D107" i="20"/>
  <c r="C108" i="20"/>
  <c r="D108" i="20"/>
  <c r="C109" i="20"/>
  <c r="D109" i="20"/>
  <c r="C110" i="20"/>
  <c r="D110" i="20"/>
  <c r="C111" i="20"/>
  <c r="D111" i="20"/>
  <c r="C112" i="20"/>
  <c r="D112" i="20"/>
  <c r="C113" i="20"/>
  <c r="D113" i="20"/>
  <c r="C114" i="20"/>
  <c r="D114" i="20"/>
  <c r="C115" i="20"/>
  <c r="D115" i="20"/>
  <c r="C116" i="20"/>
  <c r="D116" i="20"/>
  <c r="C117" i="20"/>
  <c r="D117" i="20"/>
  <c r="C118" i="20"/>
  <c r="D118" i="20"/>
  <c r="C119" i="20"/>
  <c r="D119" i="20"/>
  <c r="C120" i="20"/>
  <c r="D120" i="20"/>
  <c r="C121" i="20"/>
  <c r="D121" i="20"/>
  <c r="C122" i="20"/>
  <c r="D122" i="20"/>
  <c r="C123" i="20"/>
  <c r="D123" i="20"/>
  <c r="C124" i="20"/>
  <c r="D124" i="20"/>
  <c r="C125" i="20"/>
  <c r="D125" i="20"/>
  <c r="C126" i="20"/>
  <c r="D126" i="20"/>
  <c r="C127" i="20"/>
  <c r="D127" i="20"/>
  <c r="C128" i="20"/>
  <c r="D128" i="20"/>
  <c r="C129" i="20"/>
  <c r="D129" i="20"/>
  <c r="C130" i="20"/>
  <c r="D130" i="20"/>
  <c r="C131" i="20"/>
  <c r="D131" i="20"/>
  <c r="C132" i="20"/>
  <c r="D132" i="20"/>
  <c r="C133" i="20"/>
  <c r="D133" i="20"/>
  <c r="C134" i="20"/>
  <c r="D134" i="20"/>
  <c r="C135" i="20"/>
  <c r="D135" i="20"/>
  <c r="C136" i="20"/>
  <c r="D136" i="20"/>
  <c r="C137" i="20"/>
  <c r="D137" i="20"/>
  <c r="C138" i="20"/>
  <c r="D138" i="20"/>
  <c r="C139" i="20"/>
  <c r="D139" i="20"/>
  <c r="C140" i="20"/>
  <c r="D140" i="20"/>
  <c r="C141" i="20"/>
  <c r="D141" i="20"/>
  <c r="C142" i="20"/>
  <c r="D142" i="20"/>
  <c r="C143" i="20"/>
  <c r="D143" i="20"/>
  <c r="C144" i="20"/>
  <c r="D144" i="20"/>
  <c r="C145" i="20"/>
  <c r="D145" i="20"/>
  <c r="C146" i="20"/>
  <c r="D146" i="20"/>
  <c r="C147" i="20"/>
  <c r="D147" i="20"/>
  <c r="C148" i="20"/>
  <c r="D148" i="20"/>
  <c r="C149" i="20"/>
  <c r="D149" i="20"/>
  <c r="C150" i="20"/>
  <c r="D150" i="20"/>
  <c r="C151" i="20"/>
  <c r="D151" i="20"/>
  <c r="C152" i="20"/>
  <c r="D152" i="20"/>
  <c r="C153" i="20"/>
  <c r="D153" i="20"/>
  <c r="C154" i="20"/>
  <c r="D154" i="20"/>
  <c r="C155" i="20"/>
  <c r="D155" i="20"/>
  <c r="C156" i="20"/>
  <c r="D156" i="20"/>
  <c r="C157" i="20"/>
  <c r="D157" i="20"/>
  <c r="C158" i="20"/>
  <c r="D158" i="20"/>
  <c r="C159" i="20"/>
  <c r="D159" i="20"/>
  <c r="C160" i="20"/>
  <c r="D160" i="20"/>
  <c r="C161" i="20"/>
  <c r="D161" i="20"/>
  <c r="C162" i="20"/>
  <c r="D162" i="20"/>
  <c r="C163" i="20"/>
  <c r="D163" i="20"/>
  <c r="C164" i="20"/>
  <c r="D164" i="20"/>
  <c r="C165" i="20"/>
  <c r="D165" i="20"/>
  <c r="C166" i="20"/>
  <c r="D166" i="20"/>
  <c r="C167" i="20"/>
  <c r="D167" i="20"/>
  <c r="C168" i="20"/>
  <c r="D168" i="20"/>
  <c r="C169" i="20"/>
  <c r="D169" i="20"/>
  <c r="C170" i="20"/>
  <c r="D170" i="20"/>
  <c r="C171" i="20"/>
  <c r="D171" i="20"/>
  <c r="C172" i="20"/>
  <c r="D172" i="20"/>
  <c r="C173" i="20"/>
  <c r="D173" i="20"/>
  <c r="C174" i="20"/>
  <c r="D174" i="20"/>
  <c r="C175" i="20"/>
  <c r="D175" i="20"/>
  <c r="C176" i="20"/>
  <c r="D176" i="20"/>
  <c r="C177" i="20"/>
  <c r="D177" i="20"/>
  <c r="C178" i="20"/>
  <c r="D178" i="20"/>
  <c r="C179" i="20"/>
  <c r="D179" i="20"/>
  <c r="C180" i="20"/>
  <c r="D180" i="20"/>
  <c r="C181" i="20"/>
  <c r="D181" i="20"/>
  <c r="C182" i="20"/>
  <c r="D182" i="20"/>
  <c r="C183" i="20"/>
  <c r="D183" i="20"/>
  <c r="C184" i="20"/>
  <c r="D184" i="20"/>
  <c r="C185" i="20"/>
  <c r="D185" i="20"/>
  <c r="C186" i="20"/>
  <c r="D186" i="20"/>
  <c r="C187" i="20"/>
  <c r="D187" i="20"/>
  <c r="C188" i="20"/>
  <c r="D188" i="20"/>
  <c r="C189" i="20"/>
  <c r="D189" i="20"/>
  <c r="C190" i="20"/>
  <c r="D190" i="20"/>
  <c r="C191" i="20"/>
  <c r="D191" i="20"/>
  <c r="C192" i="20"/>
  <c r="D192" i="20"/>
  <c r="C193" i="20"/>
  <c r="D193" i="20"/>
  <c r="C194" i="20"/>
  <c r="D194" i="20"/>
  <c r="C195" i="20"/>
  <c r="D195" i="20"/>
  <c r="C196" i="20"/>
  <c r="D196" i="20"/>
  <c r="C197" i="20"/>
  <c r="D197" i="20"/>
  <c r="C198" i="20"/>
  <c r="D198" i="20"/>
  <c r="C199" i="20"/>
  <c r="D199" i="20"/>
  <c r="C200" i="20"/>
  <c r="D200" i="20"/>
  <c r="C201" i="20"/>
  <c r="D201" i="20"/>
  <c r="C202" i="20"/>
  <c r="D202" i="20"/>
  <c r="C203" i="20"/>
  <c r="D203" i="20"/>
  <c r="C204" i="20"/>
  <c r="D204" i="20"/>
  <c r="C205" i="20"/>
  <c r="D205" i="20"/>
  <c r="C206" i="20"/>
  <c r="D206" i="20"/>
  <c r="C207" i="20"/>
  <c r="D207" i="20"/>
  <c r="C208" i="20"/>
  <c r="D208" i="20"/>
  <c r="C209" i="20"/>
  <c r="D209" i="20"/>
  <c r="C210" i="20"/>
  <c r="D210" i="20"/>
  <c r="C211" i="20"/>
  <c r="D211" i="20"/>
  <c r="C212" i="20"/>
  <c r="D212" i="20"/>
  <c r="C213" i="20"/>
  <c r="D213" i="20"/>
  <c r="C214" i="20"/>
  <c r="D214" i="20"/>
  <c r="C215" i="20"/>
  <c r="D215" i="20"/>
  <c r="C216" i="20"/>
  <c r="D216" i="20"/>
  <c r="C217" i="20"/>
  <c r="D217" i="20"/>
  <c r="C218" i="20"/>
  <c r="D218" i="20"/>
  <c r="C219" i="20"/>
  <c r="D219" i="20"/>
  <c r="C220" i="20"/>
  <c r="D220" i="20"/>
  <c r="C221" i="20"/>
  <c r="D221" i="20"/>
  <c r="C222" i="20"/>
  <c r="D222" i="20"/>
  <c r="C223" i="20"/>
  <c r="D223" i="20"/>
  <c r="C224" i="20"/>
  <c r="D224" i="20"/>
  <c r="C225" i="20"/>
  <c r="D225" i="20"/>
  <c r="C226" i="20"/>
  <c r="D226" i="20"/>
  <c r="C227" i="20"/>
  <c r="D227" i="20"/>
  <c r="C228" i="20"/>
  <c r="D228" i="20"/>
  <c r="C229" i="20"/>
  <c r="D229" i="20"/>
  <c r="C230" i="20"/>
  <c r="D230" i="20"/>
  <c r="C231" i="20"/>
  <c r="D231" i="20"/>
  <c r="C232" i="20"/>
  <c r="D232" i="20"/>
  <c r="C233" i="20"/>
  <c r="D233" i="20"/>
  <c r="C234" i="20"/>
  <c r="D234" i="20"/>
  <c r="C235" i="20"/>
  <c r="D235" i="20"/>
  <c r="C236" i="20"/>
  <c r="D236" i="20"/>
  <c r="C237" i="20"/>
  <c r="D237" i="20"/>
  <c r="C238" i="20"/>
  <c r="D238" i="20"/>
  <c r="C239" i="20"/>
  <c r="D239" i="20"/>
  <c r="C240" i="20"/>
  <c r="D240" i="20"/>
  <c r="C241" i="20"/>
  <c r="D241" i="20"/>
  <c r="C242" i="20"/>
  <c r="D242" i="20"/>
  <c r="C243" i="20"/>
  <c r="D243" i="20"/>
  <c r="C244" i="20"/>
  <c r="D244" i="20"/>
  <c r="C245" i="20"/>
  <c r="D245" i="20"/>
  <c r="C246" i="20"/>
  <c r="D246" i="20"/>
  <c r="C247" i="20"/>
  <c r="D247" i="20"/>
  <c r="C248" i="20"/>
  <c r="D248" i="20"/>
  <c r="C249" i="20"/>
  <c r="D249" i="20"/>
  <c r="C250" i="20"/>
  <c r="D250" i="20"/>
  <c r="C251" i="20"/>
  <c r="D251" i="20"/>
  <c r="C252" i="20"/>
  <c r="D252" i="20"/>
  <c r="C253" i="20"/>
  <c r="D253" i="20"/>
  <c r="C254" i="20"/>
  <c r="D254" i="20"/>
  <c r="C255" i="20"/>
  <c r="D255" i="20"/>
  <c r="C256" i="20"/>
  <c r="D256" i="20"/>
  <c r="C257" i="20"/>
  <c r="D257" i="20"/>
  <c r="C258" i="20"/>
  <c r="D258" i="20"/>
  <c r="C259" i="20"/>
  <c r="D259" i="20"/>
  <c r="C260" i="20"/>
  <c r="D260" i="20"/>
  <c r="C261" i="20"/>
  <c r="D261" i="20"/>
  <c r="C262" i="20"/>
  <c r="D262" i="20"/>
  <c r="C263" i="20"/>
  <c r="D263" i="20"/>
  <c r="C264" i="20"/>
  <c r="D264" i="20"/>
  <c r="C265" i="20"/>
  <c r="D265" i="20"/>
  <c r="C266" i="20"/>
  <c r="D266" i="20"/>
  <c r="C267" i="20"/>
  <c r="D267" i="20"/>
  <c r="C268" i="20"/>
  <c r="D268" i="20"/>
  <c r="C269" i="20"/>
  <c r="D269" i="20"/>
  <c r="C270" i="20"/>
  <c r="D270" i="20"/>
  <c r="C271" i="20"/>
  <c r="D271" i="20"/>
  <c r="C272" i="20"/>
  <c r="D272" i="20"/>
  <c r="C273" i="20"/>
  <c r="D273" i="20"/>
  <c r="C274" i="20"/>
  <c r="D274" i="20"/>
  <c r="C275" i="20"/>
  <c r="D275" i="20"/>
  <c r="C276" i="20"/>
  <c r="D276" i="20"/>
  <c r="C277" i="20"/>
  <c r="D277" i="20"/>
  <c r="C278" i="20"/>
  <c r="D278" i="20"/>
  <c r="C279" i="20"/>
  <c r="D279" i="20"/>
  <c r="C280" i="20"/>
  <c r="D280" i="20"/>
  <c r="C281" i="20"/>
  <c r="D281" i="20"/>
  <c r="C282" i="20"/>
  <c r="D282" i="20"/>
  <c r="C283" i="20"/>
  <c r="D283" i="20"/>
  <c r="C284" i="20"/>
  <c r="D284" i="20"/>
  <c r="C285" i="20"/>
  <c r="D285" i="20"/>
  <c r="C286" i="20"/>
  <c r="D286" i="20"/>
  <c r="C287" i="20"/>
  <c r="D287" i="20"/>
  <c r="C288" i="20"/>
  <c r="D288" i="20"/>
  <c r="C289" i="20"/>
  <c r="D289" i="20"/>
  <c r="C290" i="20"/>
  <c r="D290" i="20"/>
  <c r="C291" i="20"/>
  <c r="D291" i="20"/>
  <c r="C292" i="20"/>
  <c r="D292" i="20"/>
  <c r="C293" i="20"/>
  <c r="D293" i="20"/>
  <c r="C294" i="20"/>
  <c r="D294" i="20"/>
  <c r="C295" i="20"/>
  <c r="D295" i="20"/>
  <c r="C296" i="20"/>
  <c r="D296" i="20"/>
  <c r="C297" i="20"/>
  <c r="D297" i="20"/>
  <c r="C298" i="20"/>
  <c r="D298" i="20"/>
  <c r="C299" i="20"/>
  <c r="D299" i="20"/>
  <c r="C300" i="20"/>
  <c r="D300" i="20"/>
  <c r="C301" i="20"/>
  <c r="D301" i="20"/>
  <c r="C302" i="20"/>
  <c r="D302" i="20"/>
  <c r="C303" i="20"/>
  <c r="D303" i="20"/>
  <c r="C304" i="20"/>
  <c r="D304" i="20"/>
  <c r="C305" i="20"/>
  <c r="D305" i="20"/>
  <c r="C306" i="20"/>
  <c r="D306" i="20"/>
  <c r="C307" i="20"/>
  <c r="D307" i="20"/>
  <c r="C308" i="20"/>
  <c r="D308" i="20"/>
  <c r="C309" i="20"/>
  <c r="D309" i="20"/>
  <c r="C310" i="20"/>
  <c r="D310" i="20"/>
  <c r="C311" i="20"/>
  <c r="D311" i="20"/>
  <c r="C312" i="20"/>
  <c r="D312" i="20"/>
  <c r="C313" i="20"/>
  <c r="D313" i="20"/>
  <c r="C314" i="20"/>
  <c r="D314" i="20"/>
  <c r="C315" i="20"/>
  <c r="D315" i="20"/>
  <c r="C316" i="20"/>
  <c r="D316" i="20"/>
  <c r="C317" i="20"/>
  <c r="D317" i="20"/>
  <c r="C318" i="20"/>
  <c r="D318" i="20"/>
  <c r="C319" i="20"/>
  <c r="D319" i="20"/>
  <c r="C320" i="20"/>
  <c r="D320" i="20"/>
  <c r="C321" i="20"/>
  <c r="D321" i="20"/>
  <c r="C322" i="20"/>
  <c r="D322" i="20"/>
  <c r="C323" i="20"/>
  <c r="D323" i="20"/>
  <c r="C324" i="20"/>
  <c r="D324" i="20"/>
  <c r="C325" i="20"/>
  <c r="D325" i="20"/>
  <c r="C326" i="20"/>
  <c r="D326" i="20"/>
  <c r="C327" i="20"/>
  <c r="D327" i="20"/>
  <c r="C328" i="20"/>
  <c r="D328" i="20"/>
  <c r="C329" i="20"/>
  <c r="D329" i="20"/>
  <c r="C330" i="20"/>
  <c r="D330" i="20"/>
  <c r="C331" i="20"/>
  <c r="D331" i="20"/>
  <c r="C332" i="20"/>
  <c r="D332" i="20"/>
  <c r="C333" i="20"/>
  <c r="D333" i="20"/>
  <c r="C334" i="20"/>
  <c r="D334" i="20"/>
  <c r="C335" i="20"/>
  <c r="D335" i="20"/>
  <c r="C336" i="20"/>
  <c r="D336" i="20"/>
  <c r="C337" i="20"/>
  <c r="D337" i="20"/>
  <c r="C338" i="20"/>
  <c r="D338" i="20"/>
  <c r="C339" i="20"/>
  <c r="D339" i="20"/>
  <c r="C340" i="20"/>
  <c r="D340" i="20"/>
  <c r="C341" i="20"/>
  <c r="D341" i="20"/>
  <c r="C342" i="20"/>
  <c r="D342" i="20"/>
  <c r="C343" i="20"/>
  <c r="D343" i="20"/>
  <c r="C344" i="20"/>
  <c r="D344" i="20"/>
  <c r="C345" i="20"/>
  <c r="D345" i="20"/>
  <c r="C346" i="20"/>
  <c r="D346" i="20"/>
  <c r="C347" i="20"/>
  <c r="D347" i="20"/>
  <c r="C348" i="20"/>
  <c r="D348" i="20"/>
  <c r="C349" i="20"/>
  <c r="D349" i="20"/>
  <c r="C350" i="20"/>
  <c r="D350" i="20"/>
  <c r="C351" i="20"/>
  <c r="D351" i="20"/>
  <c r="C352" i="20"/>
  <c r="D352" i="20"/>
  <c r="C353" i="20"/>
  <c r="D353" i="20"/>
  <c r="C354" i="20"/>
  <c r="D354" i="20"/>
  <c r="C355" i="20"/>
  <c r="D355" i="20"/>
  <c r="C356" i="20"/>
  <c r="D356" i="20"/>
  <c r="C357" i="20"/>
  <c r="D357" i="20"/>
  <c r="C358" i="20"/>
  <c r="D358" i="20"/>
  <c r="C359" i="20"/>
  <c r="D359" i="20"/>
  <c r="C360" i="20"/>
  <c r="D360" i="20"/>
  <c r="C361" i="20"/>
  <c r="D361" i="20"/>
  <c r="C362" i="20"/>
  <c r="D362" i="20"/>
  <c r="C363" i="20"/>
  <c r="D363" i="20"/>
  <c r="C364" i="20"/>
  <c r="D364" i="20"/>
  <c r="C365" i="20"/>
  <c r="D365" i="20"/>
  <c r="C366" i="20"/>
  <c r="D366" i="20"/>
  <c r="C367" i="20"/>
  <c r="D367" i="20"/>
  <c r="C368" i="20"/>
  <c r="D368" i="20"/>
  <c r="C369" i="20"/>
  <c r="D369" i="20"/>
  <c r="C370" i="20"/>
  <c r="D370" i="20"/>
  <c r="C371" i="20"/>
  <c r="D371" i="20"/>
  <c r="C372" i="20"/>
  <c r="D372" i="20"/>
  <c r="C373" i="20"/>
  <c r="D373" i="20"/>
  <c r="C374" i="20"/>
  <c r="D374" i="20"/>
  <c r="C375" i="20"/>
  <c r="D375" i="20"/>
  <c r="C376" i="20"/>
  <c r="D376" i="20"/>
  <c r="C377" i="20"/>
  <c r="D377" i="20"/>
  <c r="C378" i="20"/>
  <c r="D378" i="20"/>
  <c r="C379" i="20"/>
  <c r="D379" i="20"/>
  <c r="C380" i="20"/>
  <c r="D380" i="20"/>
  <c r="C381" i="20"/>
  <c r="D381" i="20"/>
  <c r="C382" i="20"/>
  <c r="D382" i="20"/>
  <c r="C383" i="20"/>
  <c r="D383" i="20"/>
  <c r="C384" i="20"/>
  <c r="D384" i="20"/>
  <c r="C385" i="20"/>
  <c r="D385" i="20"/>
  <c r="C386" i="20"/>
  <c r="D386" i="20"/>
  <c r="C387" i="20"/>
  <c r="D387" i="20"/>
  <c r="C388" i="20"/>
  <c r="D388" i="20"/>
  <c r="C389" i="20"/>
  <c r="D389" i="20"/>
  <c r="C390" i="20"/>
  <c r="D390" i="20"/>
  <c r="C391" i="20"/>
  <c r="D391" i="20"/>
  <c r="C392" i="20"/>
  <c r="D392" i="20"/>
  <c r="C393" i="20"/>
  <c r="D393" i="20"/>
  <c r="C394" i="20"/>
  <c r="D394" i="20"/>
  <c r="C395" i="20"/>
  <c r="D395" i="20"/>
  <c r="C396" i="20"/>
  <c r="D396" i="20"/>
  <c r="C397" i="20"/>
  <c r="D397" i="20"/>
  <c r="C398" i="20"/>
  <c r="D398" i="20"/>
  <c r="C399" i="20"/>
  <c r="D399" i="20"/>
  <c r="C400" i="20"/>
  <c r="D400" i="20"/>
  <c r="C401" i="20"/>
  <c r="D401" i="20"/>
  <c r="C402" i="20"/>
  <c r="D402" i="20"/>
  <c r="C403" i="20"/>
  <c r="D403" i="20"/>
  <c r="C404" i="20"/>
  <c r="D404" i="20"/>
  <c r="C405" i="20"/>
  <c r="D405" i="20"/>
  <c r="C406" i="20"/>
  <c r="D406" i="20"/>
  <c r="C407" i="20"/>
  <c r="D407" i="20"/>
  <c r="C408" i="20"/>
  <c r="D408" i="20"/>
  <c r="C409" i="20"/>
  <c r="D409" i="20"/>
  <c r="C410" i="20"/>
  <c r="D410" i="20"/>
  <c r="C411" i="20"/>
  <c r="D411" i="20"/>
  <c r="C412" i="20"/>
  <c r="D412" i="20"/>
  <c r="C413" i="20"/>
  <c r="D413" i="20"/>
  <c r="C414" i="20"/>
  <c r="D414" i="20"/>
  <c r="C415" i="20"/>
  <c r="D415" i="20"/>
  <c r="C416" i="20"/>
  <c r="D416" i="20"/>
  <c r="C417" i="20"/>
  <c r="D417" i="20"/>
  <c r="C418" i="20"/>
  <c r="D418" i="20"/>
  <c r="C419" i="20"/>
  <c r="D419" i="20"/>
  <c r="C420" i="20"/>
  <c r="D420" i="20"/>
  <c r="C421" i="20"/>
  <c r="D421" i="20"/>
  <c r="C422" i="20"/>
  <c r="D422" i="20"/>
  <c r="C423" i="20"/>
  <c r="D423" i="20"/>
  <c r="C424" i="20"/>
  <c r="D424" i="20"/>
  <c r="C425" i="20"/>
  <c r="D425" i="20"/>
  <c r="C426" i="20"/>
  <c r="D426" i="20"/>
  <c r="C427" i="20"/>
  <c r="D427" i="20"/>
  <c r="C428" i="20"/>
  <c r="D428" i="20"/>
  <c r="C429" i="20"/>
  <c r="D429" i="20"/>
  <c r="C430" i="20"/>
  <c r="D430" i="20"/>
  <c r="C431" i="20"/>
  <c r="D431" i="20"/>
  <c r="C432" i="20"/>
  <c r="D432" i="20"/>
  <c r="C433" i="20"/>
  <c r="D433" i="20"/>
  <c r="C434" i="20"/>
  <c r="D434" i="20"/>
  <c r="C435" i="20"/>
  <c r="D435" i="20"/>
  <c r="C436" i="20"/>
  <c r="D436" i="20"/>
  <c r="C437" i="20"/>
  <c r="D437" i="20"/>
  <c r="C438" i="20"/>
  <c r="D438" i="20"/>
  <c r="C439" i="20"/>
  <c r="D439" i="20"/>
  <c r="C440" i="20"/>
  <c r="D440" i="20"/>
  <c r="C441" i="20"/>
  <c r="D441" i="20"/>
  <c r="C442" i="20"/>
  <c r="D442" i="20"/>
  <c r="C443" i="20"/>
  <c r="D443" i="20"/>
  <c r="C444" i="20"/>
  <c r="D444" i="20"/>
  <c r="C445" i="20"/>
  <c r="D445" i="20"/>
  <c r="C446" i="20"/>
  <c r="D446" i="20"/>
  <c r="C447" i="20"/>
  <c r="D447" i="20"/>
  <c r="C448" i="20"/>
  <c r="D448" i="20"/>
  <c r="C449" i="20"/>
  <c r="D449" i="20"/>
  <c r="C450" i="20"/>
  <c r="D450" i="20"/>
  <c r="C451" i="20"/>
  <c r="D451" i="20"/>
  <c r="C452" i="20"/>
  <c r="D452" i="20"/>
  <c r="C453" i="20"/>
  <c r="D453" i="20"/>
  <c r="C454" i="20"/>
  <c r="D454" i="20"/>
  <c r="C455" i="20"/>
  <c r="D455" i="20"/>
  <c r="C456" i="20"/>
  <c r="D456" i="20"/>
  <c r="C457" i="20"/>
  <c r="D457" i="20"/>
  <c r="C458" i="20"/>
  <c r="D458" i="20"/>
  <c r="C459" i="20"/>
  <c r="D459" i="20"/>
  <c r="C460" i="20"/>
  <c r="D460" i="20"/>
  <c r="C461" i="20"/>
  <c r="D461" i="20"/>
  <c r="C462" i="20"/>
  <c r="D462" i="20"/>
  <c r="C463" i="20"/>
  <c r="D463" i="20"/>
  <c r="C464" i="20"/>
  <c r="D464" i="20"/>
  <c r="C465" i="20"/>
  <c r="D465" i="20"/>
  <c r="C466" i="20"/>
  <c r="D466" i="20"/>
  <c r="C467" i="20"/>
  <c r="D467" i="20"/>
  <c r="C468" i="20"/>
  <c r="D468" i="20"/>
  <c r="C469" i="20"/>
  <c r="D469" i="20"/>
  <c r="C470" i="20"/>
  <c r="D470" i="20"/>
  <c r="C471" i="20"/>
  <c r="D471" i="20"/>
  <c r="C472" i="20"/>
  <c r="D472" i="20"/>
  <c r="C473" i="20"/>
  <c r="D473" i="20"/>
  <c r="C474" i="20"/>
  <c r="D474" i="20"/>
  <c r="C475" i="20"/>
  <c r="D475" i="20"/>
  <c r="C476" i="20"/>
  <c r="D476" i="20"/>
  <c r="C477" i="20"/>
  <c r="D477" i="20"/>
  <c r="C478" i="20"/>
  <c r="D478" i="20"/>
  <c r="C479" i="20"/>
  <c r="D479" i="20"/>
  <c r="C480" i="20"/>
  <c r="D480" i="20"/>
  <c r="C481" i="20"/>
  <c r="D481" i="20"/>
  <c r="C482" i="20"/>
  <c r="D482" i="20"/>
  <c r="C483" i="20"/>
  <c r="D483" i="20"/>
  <c r="C484" i="20"/>
  <c r="D484" i="20"/>
  <c r="C485" i="20"/>
  <c r="D485" i="20"/>
  <c r="C486" i="20"/>
  <c r="D486" i="20"/>
  <c r="C487" i="20"/>
  <c r="D487" i="20"/>
  <c r="C488" i="20"/>
  <c r="D488" i="20"/>
  <c r="C489" i="20"/>
  <c r="D489" i="20"/>
  <c r="C490" i="20"/>
  <c r="D490" i="20"/>
  <c r="C491" i="20"/>
  <c r="D491" i="20"/>
  <c r="C492" i="20"/>
  <c r="D492" i="20"/>
  <c r="C493" i="20"/>
  <c r="D493" i="20"/>
  <c r="C494" i="20"/>
  <c r="D494" i="20"/>
  <c r="C495" i="20"/>
  <c r="D495" i="20"/>
  <c r="C496" i="20"/>
  <c r="D496" i="20"/>
  <c r="C497" i="20"/>
  <c r="D497" i="20"/>
  <c r="C498" i="20"/>
  <c r="D498" i="20"/>
  <c r="C499" i="20"/>
  <c r="D499" i="20"/>
  <c r="C500" i="20"/>
  <c r="D500" i="20"/>
  <c r="C501" i="20"/>
  <c r="D501" i="20"/>
  <c r="C502" i="20"/>
  <c r="D502" i="20"/>
  <c r="C503" i="20"/>
  <c r="D503" i="20"/>
  <c r="C504" i="20"/>
  <c r="D504" i="20"/>
  <c r="C505" i="20"/>
  <c r="D505" i="20"/>
  <c r="C506" i="20"/>
  <c r="D506" i="20"/>
  <c r="C507" i="20"/>
  <c r="D507" i="20"/>
  <c r="C508" i="20"/>
  <c r="D508" i="20"/>
  <c r="C509" i="20"/>
  <c r="D509" i="20"/>
  <c r="C510" i="20"/>
  <c r="D510" i="20"/>
  <c r="C511" i="20"/>
  <c r="D511" i="20"/>
  <c r="C512" i="20"/>
  <c r="D512" i="20"/>
  <c r="C513" i="20"/>
  <c r="D513" i="20"/>
  <c r="C514" i="20"/>
  <c r="D514" i="20"/>
  <c r="C515" i="20"/>
  <c r="D515" i="20"/>
  <c r="C516" i="20"/>
  <c r="D516" i="20"/>
  <c r="C517" i="20"/>
  <c r="D517" i="20"/>
  <c r="C518" i="20"/>
  <c r="D518" i="20"/>
  <c r="C519" i="20"/>
  <c r="D519" i="20"/>
  <c r="C520" i="20"/>
  <c r="D520" i="20"/>
  <c r="C521" i="20"/>
  <c r="D521" i="20"/>
  <c r="C522" i="20"/>
  <c r="D522" i="20"/>
  <c r="C523" i="20"/>
  <c r="D523" i="20"/>
  <c r="C524" i="20"/>
  <c r="D524" i="20"/>
  <c r="C525" i="20"/>
  <c r="D525" i="20"/>
  <c r="C526" i="20"/>
  <c r="D526" i="20"/>
  <c r="C527" i="20"/>
  <c r="D527" i="20"/>
  <c r="C528" i="20"/>
  <c r="D528" i="20"/>
  <c r="C529" i="20"/>
  <c r="D529" i="20"/>
  <c r="C530" i="20"/>
  <c r="D530" i="20"/>
  <c r="C531" i="20"/>
  <c r="D531" i="20"/>
  <c r="C532" i="20"/>
  <c r="D532" i="20"/>
  <c r="C533" i="20"/>
  <c r="D533" i="20"/>
  <c r="C534" i="20"/>
  <c r="D534" i="20"/>
  <c r="C535" i="20"/>
  <c r="D535" i="20"/>
  <c r="C536" i="20"/>
  <c r="D536" i="20"/>
  <c r="C537" i="20"/>
  <c r="D537" i="20"/>
  <c r="C538" i="20"/>
  <c r="D538" i="20"/>
  <c r="C539" i="20"/>
  <c r="D539" i="20"/>
  <c r="C540" i="20"/>
  <c r="D540" i="20"/>
  <c r="C541" i="20"/>
  <c r="D541" i="20"/>
  <c r="C542" i="20"/>
  <c r="D542" i="20"/>
  <c r="C543" i="20"/>
  <c r="D543" i="20"/>
  <c r="C544" i="20"/>
  <c r="D544" i="20"/>
  <c r="C545" i="20"/>
  <c r="D545" i="20"/>
  <c r="C546" i="20"/>
  <c r="D546" i="20"/>
  <c r="C547" i="20"/>
  <c r="D547" i="20"/>
  <c r="C548" i="20"/>
  <c r="D548" i="20"/>
  <c r="C549" i="20"/>
  <c r="D549" i="20"/>
  <c r="C550" i="20"/>
  <c r="D550" i="20"/>
  <c r="C551" i="20"/>
  <c r="D551" i="20"/>
  <c r="C552" i="20"/>
  <c r="D552" i="20"/>
  <c r="C553" i="20"/>
  <c r="D553" i="20"/>
  <c r="C554" i="20"/>
  <c r="D554" i="20"/>
  <c r="C555" i="20"/>
  <c r="D555" i="20"/>
  <c r="C556" i="20"/>
  <c r="D556" i="20"/>
  <c r="C557" i="20"/>
  <c r="D557" i="20"/>
  <c r="C558" i="20"/>
  <c r="D558" i="20"/>
  <c r="C559" i="20"/>
  <c r="D559" i="20"/>
  <c r="C560" i="20"/>
  <c r="D560" i="20"/>
  <c r="C561" i="20"/>
  <c r="D561" i="20"/>
  <c r="C562" i="20"/>
  <c r="D562" i="20"/>
  <c r="C563" i="20"/>
  <c r="D563" i="20"/>
  <c r="C564" i="20"/>
  <c r="D564" i="20"/>
  <c r="C565" i="20"/>
  <c r="D565" i="20"/>
  <c r="C566" i="20"/>
  <c r="D566" i="20"/>
  <c r="C567" i="20"/>
  <c r="D567" i="20"/>
  <c r="C568" i="20"/>
  <c r="D568" i="20"/>
  <c r="C569" i="20"/>
  <c r="D569" i="20"/>
  <c r="C570" i="20"/>
  <c r="D570" i="20"/>
  <c r="C571" i="20"/>
  <c r="D571" i="20"/>
  <c r="C572" i="20"/>
  <c r="D572" i="20"/>
  <c r="C573" i="20"/>
  <c r="D573" i="20"/>
  <c r="C574" i="20"/>
  <c r="D574" i="20"/>
  <c r="C575" i="20"/>
  <c r="D575" i="20"/>
  <c r="C576" i="20"/>
  <c r="D576" i="20"/>
  <c r="C577" i="20"/>
  <c r="D577" i="20"/>
  <c r="C578" i="20"/>
  <c r="D578" i="20"/>
  <c r="C579" i="20"/>
  <c r="D579" i="20"/>
  <c r="C580" i="20"/>
  <c r="D580" i="20"/>
  <c r="C581" i="20"/>
  <c r="D581" i="20"/>
  <c r="C582" i="20"/>
  <c r="D582" i="20"/>
  <c r="C583" i="20"/>
  <c r="D583" i="20"/>
  <c r="C584" i="20"/>
  <c r="D584" i="20"/>
  <c r="C585" i="20"/>
  <c r="D585" i="20"/>
  <c r="C586" i="20"/>
  <c r="D586" i="20"/>
  <c r="C587" i="20"/>
  <c r="D587" i="20"/>
  <c r="C588" i="20"/>
  <c r="D588" i="20"/>
  <c r="C589" i="20"/>
  <c r="D589" i="20"/>
  <c r="C590" i="20"/>
  <c r="D590" i="20"/>
  <c r="C591" i="20"/>
  <c r="D591" i="20"/>
  <c r="C592" i="20"/>
  <c r="D592" i="20"/>
  <c r="C593" i="20"/>
  <c r="D593" i="20"/>
  <c r="C594" i="20"/>
  <c r="D594" i="20"/>
  <c r="C595" i="20"/>
  <c r="D595" i="20"/>
  <c r="C596" i="20"/>
  <c r="D596" i="20"/>
  <c r="C597" i="20"/>
  <c r="D597" i="20"/>
  <c r="C598" i="20"/>
  <c r="D598" i="20"/>
  <c r="C599" i="20"/>
  <c r="D599" i="20"/>
  <c r="C600" i="20"/>
  <c r="D600" i="20"/>
  <c r="C601" i="20"/>
  <c r="D601" i="20"/>
  <c r="C602" i="20"/>
  <c r="D602" i="20"/>
  <c r="C603" i="20"/>
  <c r="D603" i="20"/>
  <c r="C604" i="20"/>
  <c r="D604" i="20"/>
  <c r="C605" i="20"/>
  <c r="D605" i="20"/>
  <c r="C606" i="20"/>
  <c r="D606" i="20"/>
  <c r="C607" i="20"/>
  <c r="D607" i="20"/>
  <c r="C608" i="20"/>
  <c r="D608" i="20"/>
  <c r="C609" i="20"/>
  <c r="D609" i="20"/>
  <c r="C610" i="20"/>
  <c r="D610" i="20"/>
  <c r="C611" i="20"/>
  <c r="D611" i="20"/>
  <c r="C612" i="20"/>
  <c r="D612" i="20"/>
  <c r="C613" i="20"/>
  <c r="D613" i="20"/>
  <c r="C614" i="20"/>
  <c r="D614" i="20"/>
  <c r="C615" i="20"/>
  <c r="D615" i="20"/>
  <c r="C616" i="20"/>
  <c r="D616" i="20"/>
  <c r="C617" i="20"/>
  <c r="D617" i="20"/>
  <c r="C618" i="20"/>
  <c r="D618" i="20"/>
  <c r="C619" i="20"/>
  <c r="D619" i="20"/>
  <c r="C620" i="20"/>
  <c r="D620" i="20"/>
  <c r="C621" i="20"/>
  <c r="D621" i="20"/>
  <c r="C622" i="20"/>
  <c r="D622" i="20"/>
  <c r="C623" i="20"/>
  <c r="D623" i="20"/>
  <c r="C624" i="20"/>
  <c r="D624" i="20"/>
  <c r="C625" i="20"/>
  <c r="D625" i="20"/>
  <c r="C626" i="20"/>
  <c r="D626" i="20"/>
  <c r="C627" i="20"/>
  <c r="D627" i="20"/>
  <c r="C628" i="20"/>
  <c r="D628" i="20"/>
  <c r="C629" i="20"/>
  <c r="D629" i="20"/>
  <c r="C630" i="20"/>
  <c r="D630" i="20"/>
  <c r="C631" i="20"/>
  <c r="D631" i="20"/>
  <c r="C632" i="20"/>
  <c r="D632" i="20"/>
  <c r="C633" i="20"/>
  <c r="D633" i="20"/>
  <c r="C634" i="20"/>
  <c r="D634" i="20"/>
  <c r="C635" i="20"/>
  <c r="D635" i="20"/>
  <c r="C636" i="20"/>
  <c r="D636" i="20"/>
  <c r="C637" i="20"/>
  <c r="D637" i="20"/>
  <c r="C638" i="20"/>
  <c r="D638" i="20"/>
  <c r="C639" i="20"/>
  <c r="D639" i="20"/>
  <c r="C640" i="20"/>
  <c r="D640" i="20"/>
  <c r="C641" i="20"/>
  <c r="D641" i="20"/>
  <c r="C642" i="20"/>
  <c r="D642" i="20"/>
  <c r="C643" i="20"/>
  <c r="D643" i="20"/>
  <c r="C644" i="20"/>
  <c r="D644" i="20"/>
  <c r="C645" i="20"/>
  <c r="D645" i="20"/>
  <c r="C646" i="20"/>
  <c r="D646" i="20"/>
  <c r="C647" i="20"/>
  <c r="D647" i="20"/>
  <c r="C648" i="20"/>
  <c r="D648" i="20"/>
  <c r="C649" i="20"/>
  <c r="D649" i="20"/>
  <c r="C650" i="20"/>
  <c r="D650" i="20"/>
  <c r="C651" i="20"/>
  <c r="D651" i="20"/>
  <c r="C652" i="20"/>
  <c r="D652" i="20"/>
  <c r="C653" i="20"/>
  <c r="D653" i="20"/>
  <c r="C654" i="20"/>
  <c r="D654" i="20"/>
  <c r="C655" i="20"/>
  <c r="D655" i="20"/>
  <c r="C656" i="20"/>
  <c r="D656" i="20"/>
  <c r="C657" i="20"/>
  <c r="D657" i="20"/>
  <c r="C658" i="20"/>
  <c r="D658" i="20"/>
  <c r="C659" i="20"/>
  <c r="D659" i="20"/>
  <c r="C660" i="20"/>
  <c r="D660" i="20"/>
  <c r="C661" i="20"/>
  <c r="D661" i="20"/>
  <c r="C662" i="20"/>
  <c r="D662" i="20"/>
  <c r="C663" i="20"/>
  <c r="D663" i="20"/>
  <c r="C664" i="20"/>
  <c r="D664" i="20"/>
  <c r="C665" i="20"/>
  <c r="D665" i="20"/>
  <c r="C666" i="20"/>
  <c r="D666" i="20"/>
  <c r="C667" i="20"/>
  <c r="D667" i="20"/>
  <c r="C668" i="20"/>
  <c r="D668" i="20"/>
  <c r="C669" i="20"/>
  <c r="D669" i="20"/>
  <c r="C670" i="20"/>
  <c r="D670" i="20"/>
  <c r="C671" i="20"/>
  <c r="D671" i="20"/>
  <c r="C672" i="20"/>
  <c r="D672" i="20"/>
  <c r="C673" i="20"/>
  <c r="D673" i="20"/>
  <c r="C674" i="20"/>
  <c r="D674" i="20"/>
  <c r="C675" i="20"/>
  <c r="D675" i="20"/>
  <c r="C676" i="20"/>
  <c r="D676" i="20"/>
  <c r="C677" i="20"/>
  <c r="D677" i="20"/>
  <c r="C678" i="20"/>
  <c r="D678" i="20"/>
  <c r="C679" i="20"/>
  <c r="D679" i="20"/>
  <c r="C680" i="20"/>
  <c r="D680" i="20"/>
  <c r="C681" i="20"/>
  <c r="D681" i="20"/>
  <c r="C682" i="20"/>
  <c r="D682" i="20"/>
  <c r="C683" i="20"/>
  <c r="D683" i="20"/>
  <c r="C684" i="20"/>
  <c r="D684" i="20"/>
  <c r="C685" i="20"/>
  <c r="D685" i="20"/>
  <c r="C686" i="20"/>
  <c r="D686" i="20"/>
  <c r="C687" i="20"/>
  <c r="D687" i="20"/>
  <c r="C688" i="20"/>
  <c r="D688" i="20"/>
  <c r="C689" i="20"/>
  <c r="D689" i="20"/>
  <c r="C690" i="20"/>
  <c r="D690" i="20"/>
  <c r="C691" i="20"/>
  <c r="D691" i="20"/>
  <c r="C692" i="20"/>
  <c r="D692" i="20"/>
  <c r="C693" i="20"/>
  <c r="D693" i="20"/>
  <c r="C694" i="20"/>
  <c r="D694" i="20"/>
  <c r="C695" i="20"/>
  <c r="D695" i="20"/>
  <c r="C696" i="20"/>
  <c r="D696" i="20"/>
  <c r="C697" i="20"/>
  <c r="D697" i="20"/>
  <c r="C698" i="20"/>
  <c r="D698" i="20"/>
  <c r="C699" i="20"/>
  <c r="D699" i="20"/>
  <c r="C700" i="20"/>
  <c r="D700" i="20"/>
  <c r="C701" i="20"/>
  <c r="D701" i="20"/>
  <c r="C702" i="20"/>
  <c r="D702" i="20"/>
  <c r="C703" i="20"/>
  <c r="D703" i="20"/>
  <c r="C704" i="20"/>
  <c r="D704" i="20"/>
  <c r="C705" i="20"/>
  <c r="D705" i="20"/>
  <c r="C706" i="20"/>
  <c r="D706" i="20"/>
  <c r="C707" i="20"/>
  <c r="D707" i="20"/>
  <c r="C708" i="20"/>
  <c r="D708" i="20"/>
  <c r="C709" i="20"/>
  <c r="D709" i="20"/>
  <c r="C710" i="20"/>
  <c r="D710" i="20"/>
  <c r="C711" i="20"/>
  <c r="D711" i="20"/>
  <c r="C712" i="20"/>
  <c r="D712" i="20"/>
  <c r="C713" i="20"/>
  <c r="D713" i="20"/>
  <c r="C714" i="20"/>
  <c r="D714" i="20"/>
  <c r="C715" i="20"/>
  <c r="D715" i="20"/>
  <c r="C716" i="20"/>
  <c r="D716" i="20"/>
  <c r="C717" i="20"/>
  <c r="D717" i="20"/>
  <c r="C718" i="20"/>
  <c r="D718" i="20"/>
  <c r="C719" i="20"/>
  <c r="D719" i="20"/>
  <c r="C720" i="20"/>
  <c r="D720" i="20"/>
  <c r="C721" i="20"/>
  <c r="D721" i="20"/>
  <c r="C722" i="20"/>
  <c r="D722" i="20"/>
  <c r="C723" i="20"/>
  <c r="D723" i="20"/>
  <c r="C724" i="20"/>
  <c r="D724" i="20"/>
  <c r="C725" i="20"/>
  <c r="D725" i="20"/>
  <c r="C726" i="20"/>
  <c r="D726" i="20"/>
  <c r="C727" i="20"/>
  <c r="D727" i="20"/>
  <c r="C728" i="20"/>
  <c r="D728" i="20"/>
  <c r="C729" i="20"/>
  <c r="D729" i="20"/>
  <c r="C730" i="20"/>
  <c r="D730" i="20"/>
  <c r="C731" i="20"/>
  <c r="D731" i="20"/>
  <c r="C732" i="20"/>
  <c r="D732" i="20"/>
  <c r="C733" i="20"/>
  <c r="D733" i="20"/>
  <c r="C734" i="20"/>
  <c r="D734" i="20"/>
  <c r="C735" i="20"/>
  <c r="D735" i="20"/>
  <c r="C736" i="20"/>
  <c r="D736" i="20"/>
  <c r="C737" i="20"/>
  <c r="D737" i="20"/>
  <c r="C738" i="20"/>
  <c r="D738" i="20"/>
  <c r="C739" i="20"/>
  <c r="D739" i="20"/>
  <c r="C740" i="20"/>
  <c r="D740" i="20"/>
  <c r="C741" i="20"/>
  <c r="D741" i="20"/>
  <c r="C742" i="20"/>
  <c r="D742" i="20"/>
  <c r="C743" i="20"/>
  <c r="D743" i="20"/>
  <c r="C744" i="20"/>
  <c r="D744" i="20"/>
  <c r="C745" i="20"/>
  <c r="D745" i="20"/>
  <c r="C746" i="20"/>
  <c r="D746" i="20"/>
  <c r="C747" i="20"/>
  <c r="D747" i="20"/>
  <c r="C748" i="20"/>
  <c r="D748" i="20"/>
  <c r="C749" i="20"/>
  <c r="D749" i="20"/>
  <c r="C750" i="20"/>
  <c r="D750" i="20"/>
  <c r="C751" i="20"/>
  <c r="D751" i="20"/>
  <c r="C752" i="20"/>
  <c r="D752" i="20"/>
  <c r="C753" i="20"/>
  <c r="D753" i="20"/>
  <c r="C754" i="20"/>
  <c r="D754" i="20"/>
  <c r="C755" i="20"/>
  <c r="D755" i="20"/>
  <c r="C756" i="20"/>
  <c r="D756" i="20"/>
  <c r="C757" i="20"/>
  <c r="D757" i="20"/>
  <c r="C758" i="20"/>
  <c r="D758" i="20"/>
  <c r="C759" i="20"/>
  <c r="D759" i="20"/>
  <c r="C760" i="20"/>
  <c r="D760" i="20"/>
  <c r="C761" i="20"/>
  <c r="D761" i="20"/>
  <c r="C762" i="20"/>
  <c r="D762" i="20"/>
  <c r="C763" i="20"/>
  <c r="D763" i="20"/>
  <c r="C764" i="20"/>
  <c r="D764" i="20"/>
  <c r="C765" i="20"/>
  <c r="D765" i="20"/>
  <c r="C766" i="20"/>
  <c r="D766" i="20"/>
  <c r="C767" i="20"/>
  <c r="D767" i="20"/>
  <c r="C768" i="20"/>
  <c r="D768" i="20"/>
  <c r="C769" i="20"/>
  <c r="D769" i="20"/>
  <c r="C770" i="20"/>
  <c r="D770" i="20"/>
  <c r="C771" i="20"/>
  <c r="D771" i="20"/>
  <c r="C772" i="20"/>
  <c r="D772" i="20"/>
  <c r="C773" i="20"/>
  <c r="D773" i="20"/>
  <c r="C774" i="20"/>
  <c r="D774" i="20"/>
  <c r="C775" i="20"/>
  <c r="D775" i="20"/>
  <c r="C776" i="20"/>
  <c r="D776" i="20"/>
  <c r="C777" i="20"/>
  <c r="D777" i="20"/>
  <c r="C778" i="20"/>
  <c r="D778" i="20"/>
  <c r="C779" i="20"/>
  <c r="D779" i="20"/>
  <c r="C780" i="20"/>
  <c r="D780" i="20"/>
  <c r="C781" i="20"/>
  <c r="D781" i="20"/>
  <c r="C782" i="20"/>
  <c r="D782" i="20"/>
  <c r="C783" i="20"/>
  <c r="D783" i="20"/>
  <c r="C784" i="20"/>
  <c r="D784" i="20"/>
  <c r="C785" i="20"/>
  <c r="D785" i="20"/>
  <c r="C786" i="20"/>
  <c r="D786" i="20"/>
  <c r="C787" i="20"/>
  <c r="D787" i="20"/>
  <c r="C788" i="20"/>
  <c r="D788" i="20"/>
  <c r="C789" i="20"/>
  <c r="D789" i="20"/>
  <c r="C790" i="20"/>
  <c r="D790" i="20"/>
  <c r="C791" i="20"/>
  <c r="D791" i="20"/>
  <c r="C792" i="20"/>
  <c r="D792" i="20"/>
  <c r="C793" i="20"/>
  <c r="D793" i="20"/>
  <c r="C794" i="20"/>
  <c r="D794" i="20"/>
  <c r="C795" i="20"/>
  <c r="D795" i="20"/>
  <c r="C796" i="20"/>
  <c r="D796" i="20"/>
  <c r="C797" i="20"/>
  <c r="D797" i="20"/>
  <c r="C798" i="20"/>
  <c r="D798" i="20"/>
  <c r="C799" i="20"/>
  <c r="D799" i="20"/>
  <c r="C800" i="20"/>
  <c r="D800" i="20"/>
  <c r="C801" i="20"/>
  <c r="D801" i="20"/>
  <c r="C802" i="20"/>
  <c r="D802" i="20"/>
  <c r="C803" i="20"/>
  <c r="D803" i="20"/>
  <c r="C804" i="20"/>
  <c r="D804" i="20"/>
  <c r="C805" i="20"/>
  <c r="D805" i="20"/>
  <c r="C806" i="20"/>
  <c r="D806" i="20"/>
  <c r="C807" i="20"/>
  <c r="D807" i="20"/>
  <c r="C808" i="20"/>
  <c r="D808" i="20"/>
  <c r="C809" i="20"/>
  <c r="D809" i="20"/>
  <c r="C810" i="20"/>
  <c r="D810" i="20"/>
  <c r="C811" i="20"/>
  <c r="D811" i="20"/>
  <c r="C812" i="20"/>
  <c r="D812" i="20"/>
  <c r="C813" i="20"/>
  <c r="D813" i="20"/>
  <c r="C814" i="20"/>
  <c r="D814" i="20"/>
  <c r="C815" i="20"/>
  <c r="D815" i="20"/>
  <c r="C816" i="20"/>
  <c r="D816" i="20"/>
  <c r="C817" i="20"/>
  <c r="D817" i="20"/>
  <c r="C818" i="20"/>
  <c r="D818" i="20"/>
  <c r="C819" i="20"/>
  <c r="D819" i="20"/>
  <c r="C820" i="20"/>
  <c r="D820" i="20"/>
  <c r="C821" i="20"/>
  <c r="D821" i="20"/>
  <c r="C822" i="20"/>
  <c r="D822" i="20"/>
  <c r="C823" i="20"/>
  <c r="D823" i="20"/>
  <c r="C824" i="20"/>
  <c r="D824" i="20"/>
  <c r="C825" i="20"/>
  <c r="D825" i="20"/>
  <c r="C826" i="20"/>
  <c r="D826" i="20"/>
  <c r="C827" i="20"/>
  <c r="D827" i="20"/>
  <c r="C828" i="20"/>
  <c r="D828" i="20"/>
  <c r="C829" i="20"/>
  <c r="D829" i="20"/>
  <c r="C830" i="20"/>
  <c r="D830" i="20"/>
  <c r="C831" i="20"/>
  <c r="D831" i="20"/>
  <c r="C832" i="20"/>
  <c r="D832" i="20"/>
  <c r="C833" i="20"/>
  <c r="D833" i="20"/>
  <c r="C834" i="20"/>
  <c r="D834" i="20"/>
  <c r="C835" i="20"/>
  <c r="D835" i="20"/>
  <c r="C836" i="20"/>
  <c r="D836" i="20"/>
  <c r="C837" i="20"/>
  <c r="D837" i="20"/>
  <c r="C838" i="20"/>
  <c r="D838" i="20"/>
  <c r="C839" i="20"/>
  <c r="D839" i="20"/>
  <c r="C840" i="20"/>
  <c r="D840" i="20"/>
  <c r="C841" i="20"/>
  <c r="D841" i="20"/>
  <c r="C842" i="20"/>
  <c r="D842" i="20"/>
  <c r="C843" i="20"/>
  <c r="D843" i="20"/>
  <c r="C844" i="20"/>
  <c r="D844" i="20"/>
  <c r="C845" i="20"/>
  <c r="D845" i="20"/>
  <c r="C846" i="20"/>
  <c r="D846" i="20"/>
  <c r="C847" i="20"/>
  <c r="D847" i="20"/>
  <c r="C848" i="20"/>
  <c r="D848" i="20"/>
  <c r="C849" i="20"/>
  <c r="D849" i="20"/>
  <c r="C850" i="20"/>
  <c r="D850" i="20"/>
  <c r="C851" i="20"/>
  <c r="D851" i="20"/>
  <c r="C852" i="20"/>
  <c r="D852" i="20"/>
  <c r="C853" i="20"/>
  <c r="D853" i="20"/>
  <c r="C854" i="20"/>
  <c r="D854" i="20"/>
  <c r="C855" i="20"/>
  <c r="D855" i="20"/>
  <c r="C856" i="20"/>
  <c r="D856" i="20"/>
  <c r="C857" i="20"/>
  <c r="D857" i="20"/>
  <c r="C858" i="20"/>
  <c r="D858" i="20"/>
  <c r="C859" i="20"/>
  <c r="D859" i="20"/>
  <c r="C860" i="20"/>
  <c r="D860" i="20"/>
  <c r="C861" i="20"/>
  <c r="D861" i="20"/>
  <c r="C862" i="20"/>
  <c r="D862" i="20"/>
  <c r="C863" i="20"/>
  <c r="D863" i="20"/>
  <c r="C864" i="20"/>
  <c r="D864" i="20"/>
  <c r="C865" i="20"/>
  <c r="D865" i="20"/>
  <c r="C866" i="20"/>
  <c r="D866" i="20"/>
  <c r="C867" i="20"/>
  <c r="D867" i="20"/>
  <c r="C868" i="20"/>
  <c r="D868" i="20"/>
  <c r="C869" i="20"/>
  <c r="D869" i="20"/>
  <c r="C870" i="20"/>
  <c r="D870" i="20"/>
  <c r="C871" i="20"/>
  <c r="D871" i="20"/>
  <c r="C872" i="20"/>
  <c r="D872" i="20"/>
  <c r="C873" i="20"/>
  <c r="D873" i="20"/>
  <c r="C874" i="20"/>
  <c r="D874" i="20"/>
  <c r="C875" i="20"/>
  <c r="D875" i="20"/>
  <c r="C876" i="20"/>
  <c r="D876" i="20"/>
  <c r="C877" i="20"/>
  <c r="D877" i="20"/>
  <c r="C878" i="20"/>
  <c r="D878" i="20"/>
  <c r="C879" i="20"/>
  <c r="D879" i="20"/>
  <c r="C880" i="20"/>
  <c r="D880" i="20"/>
  <c r="C881" i="20"/>
  <c r="D881" i="20"/>
  <c r="C882" i="20"/>
  <c r="D882" i="20"/>
  <c r="C883" i="20"/>
  <c r="D883" i="20"/>
  <c r="C884" i="20"/>
  <c r="D884" i="20"/>
  <c r="C885" i="20"/>
  <c r="D885" i="20"/>
  <c r="C886" i="20"/>
  <c r="D886" i="20"/>
  <c r="C887" i="20"/>
  <c r="D887" i="20"/>
  <c r="C888" i="20"/>
  <c r="D888" i="20"/>
  <c r="C889" i="20"/>
  <c r="D889" i="20"/>
  <c r="C890" i="20"/>
  <c r="D890" i="20"/>
  <c r="C891" i="20"/>
  <c r="D891" i="20"/>
  <c r="C892" i="20"/>
  <c r="D892" i="20"/>
  <c r="C893" i="20"/>
  <c r="D893" i="20"/>
  <c r="C894" i="20"/>
  <c r="D894" i="20"/>
  <c r="C895" i="20"/>
  <c r="D895" i="20"/>
  <c r="C896" i="20"/>
  <c r="D896" i="20"/>
  <c r="C897" i="20"/>
  <c r="D897" i="20"/>
  <c r="C898" i="20"/>
  <c r="D898" i="20"/>
  <c r="C899" i="20"/>
  <c r="D899" i="20"/>
  <c r="C900" i="20"/>
  <c r="D900" i="20"/>
  <c r="C901" i="20"/>
  <c r="D901" i="20"/>
  <c r="C902" i="20"/>
  <c r="D902" i="20"/>
  <c r="C903" i="20"/>
  <c r="D903" i="20"/>
  <c r="C904" i="20"/>
  <c r="D904" i="20"/>
  <c r="C905" i="20"/>
  <c r="D905" i="20"/>
  <c r="C906" i="20"/>
  <c r="D906" i="20"/>
  <c r="C907" i="20"/>
  <c r="D907" i="20"/>
  <c r="C908" i="20"/>
  <c r="D908" i="20"/>
  <c r="C909" i="20"/>
  <c r="D909" i="20"/>
  <c r="C910" i="20"/>
  <c r="D910" i="20"/>
  <c r="C911" i="20"/>
  <c r="D911" i="20"/>
  <c r="C912" i="20"/>
  <c r="D912" i="20"/>
  <c r="C913" i="20"/>
  <c r="D913" i="20"/>
  <c r="C914" i="20"/>
  <c r="D914" i="20"/>
  <c r="C915" i="20"/>
  <c r="D915" i="20"/>
  <c r="C916" i="20"/>
  <c r="D916" i="20"/>
  <c r="C917" i="20"/>
  <c r="D917" i="20"/>
  <c r="C918" i="20"/>
  <c r="D918" i="20"/>
  <c r="C919" i="20"/>
  <c r="D919" i="20"/>
  <c r="C920" i="20"/>
  <c r="D920" i="20"/>
  <c r="C921" i="20"/>
  <c r="D921" i="20"/>
  <c r="C922" i="20"/>
  <c r="D922" i="20"/>
  <c r="C923" i="20"/>
  <c r="D923" i="20"/>
  <c r="C924" i="20"/>
  <c r="D924" i="20"/>
  <c r="C925" i="20"/>
  <c r="D925" i="20"/>
  <c r="C926" i="20"/>
  <c r="D926" i="20"/>
  <c r="C927" i="20"/>
  <c r="D927" i="20"/>
  <c r="C928" i="20"/>
  <c r="D928" i="20"/>
  <c r="C929" i="20"/>
  <c r="D929" i="20"/>
  <c r="C930" i="20"/>
  <c r="D930" i="20"/>
  <c r="C931" i="20"/>
  <c r="D931" i="20"/>
  <c r="C932" i="20"/>
  <c r="D932" i="20"/>
  <c r="C933" i="20"/>
  <c r="D933" i="20"/>
  <c r="C934" i="20"/>
  <c r="D934" i="20"/>
  <c r="C935" i="20"/>
  <c r="D935" i="20"/>
  <c r="C936" i="20"/>
  <c r="D936" i="20"/>
  <c r="C937" i="20"/>
  <c r="D937" i="20"/>
  <c r="C938" i="20"/>
  <c r="D938" i="20"/>
  <c r="C939" i="20"/>
  <c r="D939" i="20"/>
  <c r="C940" i="20"/>
  <c r="D940" i="20"/>
  <c r="C941" i="20"/>
  <c r="D941" i="20"/>
  <c r="C942" i="20"/>
  <c r="D942" i="20"/>
  <c r="C943" i="20"/>
  <c r="D943" i="20"/>
  <c r="C944" i="20"/>
  <c r="D944" i="20"/>
  <c r="C945" i="20"/>
  <c r="D945" i="20"/>
  <c r="C946" i="20"/>
  <c r="D946" i="20"/>
  <c r="C947" i="20"/>
  <c r="D947" i="20"/>
  <c r="C948" i="20"/>
  <c r="D948" i="20"/>
  <c r="C949" i="20"/>
  <c r="D949" i="20"/>
  <c r="C950" i="20"/>
  <c r="D950" i="20"/>
  <c r="C951" i="20"/>
  <c r="D951" i="20"/>
  <c r="C952" i="20"/>
  <c r="D952" i="20"/>
  <c r="C953" i="20"/>
  <c r="D953" i="20"/>
  <c r="C954" i="20"/>
  <c r="D954" i="20"/>
  <c r="C955" i="20"/>
  <c r="D955" i="20"/>
  <c r="C956" i="20"/>
  <c r="D956" i="20"/>
  <c r="C957" i="20"/>
  <c r="D957" i="20"/>
  <c r="C958" i="20"/>
  <c r="D958" i="20"/>
  <c r="C959" i="20"/>
  <c r="D959" i="20"/>
  <c r="C960" i="20"/>
  <c r="D960" i="20"/>
  <c r="C961" i="20"/>
  <c r="D961" i="20"/>
  <c r="C962" i="20"/>
  <c r="D962" i="20"/>
  <c r="C963" i="20"/>
  <c r="D963" i="20"/>
  <c r="C964" i="20"/>
  <c r="D964" i="20"/>
  <c r="C965" i="20"/>
  <c r="D965" i="20"/>
  <c r="C966" i="20"/>
  <c r="D966" i="20"/>
  <c r="C967" i="20"/>
  <c r="D967" i="20"/>
  <c r="C968" i="20"/>
  <c r="D968" i="20"/>
  <c r="C969" i="20"/>
  <c r="D969" i="20"/>
  <c r="C970" i="20"/>
  <c r="D970" i="20"/>
  <c r="C971" i="20"/>
  <c r="D971" i="20"/>
  <c r="C972" i="20"/>
  <c r="D972" i="20"/>
  <c r="C973" i="20"/>
  <c r="D973" i="20"/>
  <c r="C974" i="20"/>
  <c r="D974" i="20"/>
  <c r="C975" i="20"/>
  <c r="D975" i="20"/>
  <c r="C976" i="20"/>
  <c r="D976" i="20"/>
  <c r="C977" i="20"/>
  <c r="D977" i="20"/>
  <c r="C978" i="20"/>
  <c r="D978" i="20"/>
  <c r="C979" i="20"/>
  <c r="D979" i="20"/>
  <c r="C980" i="20"/>
  <c r="D980" i="20"/>
  <c r="C981" i="20"/>
  <c r="D981" i="20"/>
  <c r="C982" i="20"/>
  <c r="D982" i="20"/>
  <c r="C983" i="20"/>
  <c r="D983" i="20"/>
  <c r="C984" i="20"/>
  <c r="D984" i="20"/>
  <c r="C985" i="20"/>
  <c r="D985" i="20"/>
  <c r="C986" i="20"/>
  <c r="D986" i="20"/>
  <c r="C987" i="20"/>
  <c r="D987" i="20"/>
  <c r="C988" i="20"/>
  <c r="D988" i="20"/>
  <c r="C989" i="20"/>
  <c r="D989" i="20"/>
  <c r="C990" i="20"/>
  <c r="D990" i="20"/>
  <c r="C991" i="20"/>
  <c r="D991" i="20"/>
  <c r="C992" i="20"/>
  <c r="D992" i="20"/>
  <c r="C993" i="20"/>
  <c r="D993" i="20"/>
  <c r="C994" i="20"/>
  <c r="D994" i="20"/>
  <c r="C995" i="20"/>
  <c r="D995" i="20"/>
  <c r="C996" i="20"/>
  <c r="D996" i="20"/>
  <c r="C997" i="20"/>
  <c r="D997" i="20"/>
  <c r="C998" i="20"/>
  <c r="D998" i="20"/>
  <c r="C999" i="20"/>
  <c r="D999" i="20"/>
  <c r="C1000" i="20"/>
  <c r="D1000" i="20"/>
  <c r="C1001" i="20"/>
  <c r="D1001" i="20"/>
  <c r="C1002" i="20"/>
  <c r="D1002" i="20"/>
  <c r="C1003" i="20"/>
  <c r="D1003" i="20"/>
  <c r="C1004" i="20"/>
  <c r="D1004" i="20"/>
  <c r="C1005" i="20"/>
  <c r="D1005" i="20"/>
  <c r="C1006" i="20"/>
  <c r="D1006" i="20"/>
  <c r="C1007" i="20"/>
  <c r="D1007" i="20"/>
  <c r="C1008" i="20"/>
  <c r="D1008" i="20"/>
  <c r="C1009" i="20"/>
  <c r="D1009" i="20"/>
  <c r="C1010" i="20"/>
  <c r="D1010" i="20"/>
  <c r="C1011" i="20"/>
  <c r="D1011" i="20"/>
  <c r="C1012" i="20"/>
  <c r="D1012" i="20"/>
  <c r="C1013" i="20"/>
  <c r="D1013" i="20"/>
  <c r="C1014" i="20"/>
  <c r="D1014" i="20"/>
  <c r="C1015" i="20"/>
  <c r="D1015" i="20"/>
  <c r="C1016" i="20"/>
  <c r="D1016" i="20"/>
  <c r="C3" i="20"/>
  <c r="D3" i="20"/>
  <c r="D2" i="20"/>
  <c r="E2" i="15"/>
  <c r="C2" i="20"/>
  <c r="D346" i="15"/>
  <c r="E346" i="15"/>
  <c r="F346" i="15"/>
  <c r="D347" i="15"/>
  <c r="E347" i="15"/>
  <c r="F347" i="15"/>
  <c r="O228" i="2" a="1"/>
  <c r="O229" i="2" a="1"/>
  <c r="O230" i="2" a="1"/>
  <c r="O231" i="2" a="1"/>
  <c r="AA7" i="9"/>
  <c r="AE7" i="9"/>
  <c r="AD7" i="9"/>
  <c r="E9" i="9"/>
  <c r="E10" i="9"/>
  <c r="E11" i="9"/>
  <c r="AD113" i="9"/>
  <c r="AE113" i="9"/>
  <c r="AA113" i="9"/>
  <c r="M138" i="17" a="1"/>
  <c r="K138" i="17" a="1"/>
  <c r="M137" i="17" a="1"/>
  <c r="K137" i="17" a="1"/>
  <c r="M136" i="17" a="1"/>
  <c r="K136" i="17" a="1"/>
  <c r="M135" i="17" a="1"/>
  <c r="K135" i="17" a="1"/>
  <c r="M134" i="17" a="1"/>
  <c r="K134" i="17" a="1"/>
  <c r="M133" i="17" a="1"/>
  <c r="K133" i="17" a="1"/>
  <c r="M132" i="17" a="1"/>
  <c r="K132" i="17" a="1"/>
  <c r="M131" i="17" a="1"/>
  <c r="K131" i="17" a="1"/>
  <c r="M130" i="17" a="1"/>
  <c r="K130" i="17" a="1"/>
  <c r="M129" i="17" a="1"/>
  <c r="K129" i="17" a="1"/>
  <c r="M128" i="17" a="1"/>
  <c r="K128" i="17" a="1"/>
  <c r="M127" i="17" a="1"/>
  <c r="K127" i="17" a="1"/>
  <c r="M126" i="17" a="1"/>
  <c r="K126" i="17" a="1"/>
  <c r="M125" i="17" a="1"/>
  <c r="K125" i="17" a="1"/>
  <c r="M124" i="17" a="1"/>
  <c r="K124" i="17" a="1"/>
  <c r="M123" i="17" a="1"/>
  <c r="K123" i="17" a="1"/>
  <c r="M122" i="17" a="1"/>
  <c r="K122" i="17" a="1"/>
  <c r="M121" i="17" a="1"/>
  <c r="K121" i="17" a="1"/>
  <c r="M120" i="17" a="1"/>
  <c r="K120" i="17" a="1"/>
  <c r="M119" i="17" a="1"/>
  <c r="K119" i="17" a="1"/>
  <c r="M118" i="17" a="1"/>
  <c r="K118" i="17" a="1"/>
  <c r="M117" i="17" a="1"/>
  <c r="K117" i="17" a="1"/>
  <c r="M116" i="17" a="1"/>
  <c r="K116" i="17" a="1"/>
  <c r="M115" i="17" a="1"/>
  <c r="K115" i="17" a="1"/>
  <c r="M114" i="17" a="1"/>
  <c r="K114" i="17" a="1"/>
  <c r="M113" i="17" a="1"/>
  <c r="K113" i="17" a="1"/>
  <c r="M112" i="17" a="1"/>
  <c r="K112" i="17" a="1"/>
  <c r="M111" i="17" a="1"/>
  <c r="K111" i="17" a="1"/>
  <c r="M110" i="17" a="1"/>
  <c r="K110" i="17" a="1"/>
  <c r="M109" i="17" a="1"/>
  <c r="K109" i="17" a="1"/>
  <c r="M108" i="17" a="1"/>
  <c r="K108" i="17" a="1"/>
  <c r="M107" i="17" a="1"/>
  <c r="K107" i="17" a="1"/>
  <c r="M106" i="17" a="1"/>
  <c r="K106" i="17" a="1"/>
  <c r="M105" i="17" a="1"/>
  <c r="K105" i="17" a="1"/>
  <c r="M104" i="17" a="1"/>
  <c r="K104" i="17" a="1"/>
  <c r="M103" i="17" a="1"/>
  <c r="K103" i="17" a="1"/>
  <c r="M102" i="17" a="1"/>
  <c r="K102" i="17" a="1"/>
  <c r="M101" i="17" a="1"/>
  <c r="K101" i="17" a="1"/>
  <c r="M100" i="17" a="1"/>
  <c r="K100" i="17" a="1"/>
  <c r="M99" i="17" a="1"/>
  <c r="K99" i="17" a="1"/>
  <c r="M98" i="17" a="1"/>
  <c r="K98" i="17" a="1"/>
  <c r="M97" i="17" a="1"/>
  <c r="K97" i="17" a="1"/>
  <c r="M96" i="17" a="1"/>
  <c r="K96" i="17" a="1"/>
  <c r="M95" i="17" a="1"/>
  <c r="K95" i="17" a="1"/>
  <c r="M94" i="17" a="1"/>
  <c r="K94" i="17" a="1"/>
  <c r="M93" i="17" a="1"/>
  <c r="K93" i="17" a="1"/>
  <c r="M92" i="17" a="1"/>
  <c r="K92" i="17" a="1"/>
  <c r="M91" i="17" a="1"/>
  <c r="K91" i="17" a="1"/>
  <c r="M90" i="17" a="1"/>
  <c r="K90" i="17" a="1"/>
  <c r="M89" i="17" a="1"/>
  <c r="K89" i="17" a="1"/>
  <c r="M88" i="17" a="1"/>
  <c r="K88" i="17" a="1"/>
  <c r="M87" i="17" a="1"/>
  <c r="K87" i="17" a="1"/>
  <c r="M86" i="17" a="1"/>
  <c r="K86" i="17" a="1"/>
  <c r="M85" i="17" a="1"/>
  <c r="K85" i="17" a="1"/>
  <c r="M84" i="17" a="1"/>
  <c r="K84" i="17" a="1"/>
  <c r="M83" i="17" a="1"/>
  <c r="K83" i="17" a="1"/>
  <c r="M82" i="17" a="1"/>
  <c r="K82" i="17" a="1"/>
  <c r="M81" i="17" a="1"/>
  <c r="K81" i="17" a="1"/>
  <c r="M80" i="17" a="1"/>
  <c r="K80" i="17" a="1"/>
  <c r="M79" i="17" a="1"/>
  <c r="K79" i="17" a="1"/>
  <c r="M78" i="17" a="1"/>
  <c r="K78" i="17" a="1"/>
  <c r="M77" i="17" a="1"/>
  <c r="K77" i="17" a="1"/>
  <c r="M76" i="17" a="1"/>
  <c r="K76" i="17" a="1"/>
  <c r="M75" i="17" a="1"/>
  <c r="K75" i="17" a="1"/>
  <c r="M74" i="17" a="1"/>
  <c r="K74" i="17" a="1"/>
  <c r="M73" i="17" a="1"/>
  <c r="K73" i="17" a="1"/>
  <c r="M72" i="17" a="1"/>
  <c r="K72" i="17" a="1"/>
  <c r="M71" i="17" a="1"/>
  <c r="K71" i="17" a="1"/>
  <c r="M70" i="17" a="1"/>
  <c r="K70" i="17" a="1"/>
  <c r="M69" i="17" a="1"/>
  <c r="K69" i="17" a="1"/>
  <c r="M68" i="17" a="1"/>
  <c r="K68" i="17" a="1"/>
  <c r="M67" i="17" a="1"/>
  <c r="K67" i="17" a="1"/>
  <c r="M66" i="17" a="1"/>
  <c r="K66" i="17" a="1"/>
  <c r="M65" i="17" a="1"/>
  <c r="K65" i="17" a="1"/>
  <c r="M64" i="17" a="1"/>
  <c r="K64" i="17" a="1"/>
  <c r="M63" i="17" a="1"/>
  <c r="K63" i="17" a="1"/>
  <c r="M62" i="17" a="1"/>
  <c r="K62" i="17" a="1"/>
  <c r="M61" i="17" a="1"/>
  <c r="K61" i="17" a="1"/>
  <c r="M60" i="17" a="1"/>
  <c r="K60" i="17" a="1"/>
  <c r="M59" i="17" a="1"/>
  <c r="K59" i="17" a="1"/>
  <c r="M58" i="17" a="1"/>
  <c r="K58" i="17" a="1"/>
  <c r="M57" i="17" a="1"/>
  <c r="K57" i="17" a="1"/>
  <c r="M56" i="17" a="1"/>
  <c r="K56" i="17" a="1"/>
  <c r="M55" i="17" a="1"/>
  <c r="K55" i="17" a="1"/>
  <c r="M54" i="17" a="1"/>
  <c r="K54" i="17" a="1"/>
  <c r="M53" i="17" a="1"/>
  <c r="K53" i="17" a="1"/>
  <c r="M52" i="17" a="1"/>
  <c r="K52" i="17" a="1"/>
  <c r="M51" i="17" a="1"/>
  <c r="K51" i="17" a="1"/>
  <c r="M50" i="17" a="1"/>
  <c r="K50" i="17" a="1"/>
  <c r="M49" i="17" a="1"/>
  <c r="K49" i="17" a="1"/>
  <c r="M48" i="17" a="1"/>
  <c r="K48" i="17" a="1"/>
  <c r="M47" i="17" a="1"/>
  <c r="K47" i="17" a="1"/>
  <c r="M46" i="17" a="1"/>
  <c r="K46" i="17" a="1"/>
  <c r="M45" i="17" a="1"/>
  <c r="K45" i="17" a="1"/>
  <c r="M44" i="17" a="1"/>
  <c r="K44" i="17" a="1"/>
  <c r="M43" i="17" a="1"/>
  <c r="K43" i="17" a="1"/>
  <c r="M42" i="17" a="1"/>
  <c r="K42" i="17" a="1"/>
  <c r="M41" i="17" a="1"/>
  <c r="K41" i="17" a="1"/>
  <c r="M40" i="17" a="1"/>
  <c r="M39" i="17" a="1"/>
  <c r="M38" i="17" a="1"/>
  <c r="M37" i="17" a="1"/>
  <c r="M36" i="17" a="1"/>
  <c r="M35" i="17" a="1"/>
  <c r="M34" i="17" a="1"/>
  <c r="M33" i="17" a="1"/>
  <c r="M32" i="17" a="1"/>
  <c r="M31" i="17" a="1"/>
  <c r="M30" i="17" a="1"/>
  <c r="M29" i="17" a="1"/>
  <c r="M28" i="17" a="1"/>
  <c r="M27" i="17" a="1"/>
  <c r="M26" i="17" a="1"/>
  <c r="M25" i="17" a="1"/>
  <c r="M24" i="17" a="1"/>
  <c r="M23" i="17" a="1"/>
  <c r="M22" i="17" a="1"/>
  <c r="M21" i="17" a="1"/>
  <c r="M20" i="17" a="1"/>
  <c r="M19" i="17" a="1"/>
  <c r="M18" i="17" a="1"/>
  <c r="M17" i="17" a="1"/>
  <c r="M16" i="17" a="1"/>
  <c r="M15" i="17" a="1"/>
  <c r="M14" i="17" a="1"/>
  <c r="M13" i="17" a="1"/>
  <c r="M12" i="17" a="1"/>
  <c r="M11" i="17" a="1"/>
  <c r="M10" i="17" a="1"/>
  <c r="M9" i="17" a="1"/>
  <c r="M8" i="17" a="1"/>
  <c r="M7" i="17" a="1"/>
  <c r="M6" i="17" a="1"/>
  <c r="M5" i="17" a="1"/>
  <c r="M4" i="17" a="1"/>
  <c r="M3" i="17" a="1"/>
  <c r="M2" i="17" a="1"/>
  <c r="O23" i="2" a="1"/>
  <c r="O24" i="2" a="1"/>
  <c r="D344" i="15"/>
  <c r="E344" i="15"/>
  <c r="F344" i="15"/>
  <c r="D345" i="15"/>
  <c r="E345" i="15"/>
  <c r="F345" i="15"/>
  <c r="E86" i="9"/>
  <c r="E85" i="9"/>
  <c r="E84" i="9"/>
  <c r="E8" i="9"/>
  <c r="E55" i="9"/>
  <c r="E54" i="9"/>
  <c r="AA109" i="9"/>
  <c r="AA108" i="9"/>
  <c r="AE109" i="9"/>
  <c r="AE108" i="9"/>
  <c r="AD109" i="9"/>
  <c r="AA88" i="9"/>
  <c r="AE88" i="9"/>
  <c r="AD88" i="9"/>
  <c r="O122" i="2" a="1"/>
  <c r="O123" i="2" a="1"/>
  <c r="O205" i="2" a="1"/>
  <c r="D343" i="15"/>
  <c r="E343" i="15"/>
  <c r="F343" i="15"/>
  <c r="O376" i="2" a="1"/>
  <c r="D341" i="15"/>
  <c r="E341" i="15"/>
  <c r="F341" i="15"/>
  <c r="D342" i="15"/>
  <c r="E342" i="15"/>
  <c r="F342" i="15"/>
  <c r="O241" i="2" a="1"/>
  <c r="O242" i="2" a="1"/>
  <c r="E53" i="9"/>
  <c r="E52" i="9"/>
  <c r="D340" i="15"/>
  <c r="E340" i="15"/>
  <c r="F340" i="15"/>
  <c r="E126" i="9"/>
  <c r="E49" i="9"/>
  <c r="E19" i="9"/>
  <c r="E102" i="9"/>
  <c r="D89" i="9"/>
  <c r="D99" i="9"/>
  <c r="D96" i="9"/>
  <c r="E132" i="9"/>
  <c r="E131" i="9"/>
  <c r="E133" i="9"/>
  <c r="E135" i="9"/>
  <c r="E136" i="9"/>
  <c r="E134" i="9"/>
  <c r="E60" i="9"/>
  <c r="E82" i="9"/>
  <c r="AA67" i="9"/>
  <c r="AA70" i="9"/>
  <c r="AA69" i="9"/>
  <c r="AA62" i="9"/>
  <c r="AA63" i="9"/>
  <c r="AA102" i="9"/>
  <c r="AE106" i="9"/>
  <c r="AD106" i="9"/>
  <c r="AA106" i="9"/>
  <c r="E106" i="9"/>
  <c r="O204" i="2" a="1"/>
  <c r="E83" i="9"/>
  <c r="D338" i="15"/>
  <c r="E338" i="15"/>
  <c r="F338" i="15"/>
  <c r="D339" i="15"/>
  <c r="E339" i="15"/>
  <c r="F339" i="15"/>
  <c r="O59" i="2" a="1"/>
  <c r="O282" i="2" a="1"/>
  <c r="AD80" i="9"/>
  <c r="AE80" i="9"/>
  <c r="AA80" i="9"/>
  <c r="AD48" i="9"/>
  <c r="AE48" i="9"/>
  <c r="AA48" i="9"/>
  <c r="AE60" i="9"/>
  <c r="D335" i="15"/>
  <c r="E335" i="15"/>
  <c r="F335" i="15"/>
  <c r="D336" i="15"/>
  <c r="E336" i="15"/>
  <c r="F336" i="15"/>
  <c r="D337" i="15"/>
  <c r="E337" i="15"/>
  <c r="F337" i="15"/>
  <c r="O141" i="2" a="1"/>
  <c r="E23" i="9"/>
  <c r="E81" i="9"/>
  <c r="E32" i="9"/>
  <c r="O329" i="2" a="1"/>
  <c r="AA49" i="9"/>
  <c r="D330" i="15"/>
  <c r="E330" i="15"/>
  <c r="F330" i="15"/>
  <c r="D331" i="15"/>
  <c r="E331" i="15"/>
  <c r="F331" i="15"/>
  <c r="D332" i="15"/>
  <c r="E332" i="15"/>
  <c r="F332" i="15"/>
  <c r="D333" i="15"/>
  <c r="E333" i="15"/>
  <c r="F333" i="15"/>
  <c r="D334" i="15"/>
  <c r="E334" i="15"/>
  <c r="F334" i="15"/>
  <c r="O371" i="2" a="1"/>
  <c r="O372" i="2" a="1"/>
  <c r="O373" i="2" a="1"/>
  <c r="O374" i="2" a="1"/>
  <c r="O375" i="2" a="1"/>
  <c r="D326" i="15"/>
  <c r="E326" i="15"/>
  <c r="F326" i="15"/>
  <c r="D327" i="15"/>
  <c r="E327" i="15"/>
  <c r="F327" i="15"/>
  <c r="D328" i="15"/>
  <c r="E328" i="15"/>
  <c r="F328" i="15"/>
  <c r="D329" i="15"/>
  <c r="E329" i="15"/>
  <c r="F329" i="15"/>
  <c r="O325" i="2" a="1"/>
  <c r="O326" i="2" a="1"/>
  <c r="O327" i="2" a="1"/>
  <c r="O328" i="2" a="1"/>
  <c r="AD104" i="9"/>
  <c r="AE104" i="9"/>
  <c r="AD101" i="9"/>
  <c r="AE101" i="9"/>
  <c r="AD102" i="9"/>
  <c r="AE102" i="9"/>
  <c r="AA104" i="9"/>
  <c r="AA101" i="9"/>
  <c r="F2" i="15"/>
  <c r="E101" i="9"/>
  <c r="E104" i="9"/>
  <c r="D63" i="9"/>
  <c r="E63" i="9"/>
  <c r="D62" i="9"/>
  <c r="E62" i="9"/>
  <c r="D69" i="9"/>
  <c r="E69" i="9"/>
  <c r="D70" i="9"/>
  <c r="E70" i="9"/>
  <c r="D67" i="9"/>
  <c r="E67" i="9"/>
  <c r="D72" i="9"/>
  <c r="E72" i="9"/>
  <c r="D66" i="9"/>
  <c r="E66" i="9"/>
  <c r="D71" i="9"/>
  <c r="E71" i="9"/>
  <c r="D65" i="9"/>
  <c r="E65" i="9"/>
  <c r="D68" i="9"/>
  <c r="E68" i="9"/>
  <c r="D64" i="9"/>
  <c r="E64" i="9"/>
  <c r="D73" i="9"/>
  <c r="E73" i="9"/>
  <c r="D74" i="9"/>
  <c r="E74" i="9"/>
  <c r="AD8" i="9"/>
  <c r="AE8" i="9"/>
  <c r="AA8" i="9"/>
  <c r="O33" i="14" a="1"/>
  <c r="O32" i="14" a="1"/>
  <c r="O31" i="14" a="1"/>
  <c r="O30" i="14" a="1"/>
  <c r="O29" i="14" a="1"/>
  <c r="O28" i="14" a="1"/>
  <c r="O26" i="14" a="1"/>
  <c r="O25" i="14" a="1"/>
  <c r="O24" i="14" a="1"/>
  <c r="O23" i="14" a="1"/>
  <c r="O22" i="14" a="1"/>
  <c r="O21" i="14" a="1"/>
  <c r="O20" i="14" a="1"/>
  <c r="O19" i="14" a="1"/>
  <c r="O18" i="14" a="1"/>
  <c r="O17" i="14" a="1"/>
  <c r="O16" i="14" a="1"/>
  <c r="O15" i="14" a="1"/>
  <c r="O14" i="14" a="1"/>
  <c r="O13" i="14" a="1"/>
  <c r="O12" i="14" a="1"/>
  <c r="O11" i="14" a="1"/>
  <c r="O10" i="14" a="1"/>
  <c r="O9" i="14" a="1"/>
  <c r="O8" i="14" a="1"/>
  <c r="O7" i="14" a="1"/>
  <c r="O6" i="14" a="1"/>
  <c r="O5" i="14" a="1"/>
  <c r="O4" i="14" a="1"/>
  <c r="O3" i="14" a="1"/>
  <c r="O2" i="14" a="1"/>
  <c r="E47" i="9"/>
  <c r="E5" i="9"/>
  <c r="E3" i="9"/>
  <c r="E6" i="9"/>
  <c r="E2" i="9"/>
  <c r="E4" i="9"/>
  <c r="E16" i="9"/>
  <c r="E15" i="9"/>
  <c r="E17" i="9"/>
  <c r="E41" i="9"/>
  <c r="E40" i="9"/>
  <c r="E46" i="9"/>
  <c r="E45" i="9"/>
  <c r="E44" i="9"/>
  <c r="E58" i="9"/>
  <c r="E57" i="9"/>
  <c r="E56" i="9"/>
  <c r="AA25" i="9"/>
  <c r="E25" i="9"/>
  <c r="E42" i="9"/>
  <c r="E43" i="9"/>
  <c r="D79" i="9"/>
  <c r="E79" i="9"/>
  <c r="E61" i="9"/>
  <c r="E59" i="9"/>
  <c r="E50" i="9"/>
  <c r="E51" i="9"/>
  <c r="E127" i="9"/>
  <c r="E130" i="9"/>
  <c r="E129" i="9"/>
  <c r="E125" i="9"/>
  <c r="E128" i="9"/>
  <c r="E87" i="9"/>
  <c r="E107" i="9"/>
  <c r="O29" i="2" a="1"/>
  <c r="AA10" i="9"/>
  <c r="AA9" i="9"/>
  <c r="AD10" i="9"/>
  <c r="AE10" i="9"/>
  <c r="AD9" i="9"/>
  <c r="AE9" i="9"/>
  <c r="AD112" i="9"/>
  <c r="AE112" i="9"/>
  <c r="AA112" i="9"/>
  <c r="AE11" i="9"/>
  <c r="AD11" i="9"/>
  <c r="AA11" i="9"/>
  <c r="O366" i="2" a="1"/>
  <c r="O367" i="2" a="1"/>
  <c r="O368" i="2" a="1"/>
  <c r="O363" i="2" a="1"/>
  <c r="O364" i="2" a="1"/>
  <c r="O365" i="2" a="1"/>
  <c r="D322" i="15"/>
  <c r="E322" i="15"/>
  <c r="F322" i="15"/>
  <c r="D323" i="15"/>
  <c r="E323" i="15"/>
  <c r="F323" i="15"/>
  <c r="D324" i="15"/>
  <c r="E324" i="15"/>
  <c r="F324" i="15"/>
  <c r="D325" i="15"/>
  <c r="E325" i="15"/>
  <c r="F325" i="15"/>
  <c r="O358" i="2" a="1"/>
  <c r="O359" i="2" a="1"/>
  <c r="O360" i="2" a="1"/>
  <c r="O361" i="2" a="1"/>
  <c r="O362" i="2" a="1"/>
  <c r="D319" i="15"/>
  <c r="E319" i="15"/>
  <c r="F319" i="15"/>
  <c r="D320" i="15"/>
  <c r="E320" i="15"/>
  <c r="F320" i="15"/>
  <c r="D321" i="15"/>
  <c r="E321" i="15"/>
  <c r="F321" i="15"/>
  <c r="AD139" i="9"/>
  <c r="AE139" i="9"/>
  <c r="AA139" i="9"/>
  <c r="O355" i="2" a="1"/>
  <c r="O356" i="2" a="1"/>
  <c r="O357" i="2" a="1"/>
  <c r="D318" i="15"/>
  <c r="E318" i="15"/>
  <c r="F318" i="15"/>
  <c r="O28" i="2" a="1"/>
  <c r="D316" i="15"/>
  <c r="E316" i="15"/>
  <c r="F316" i="15"/>
  <c r="D317" i="15"/>
  <c r="E317" i="15"/>
  <c r="F317" i="15"/>
  <c r="O138" i="2" a="1"/>
  <c r="D312" i="15"/>
  <c r="E312" i="15"/>
  <c r="F312" i="15"/>
  <c r="D313" i="15"/>
  <c r="E313" i="15"/>
  <c r="F313" i="15"/>
  <c r="D314" i="15"/>
  <c r="E314" i="15"/>
  <c r="F314" i="15"/>
  <c r="D315" i="15"/>
  <c r="E315" i="15"/>
  <c r="F315" i="15"/>
  <c r="O289" i="2" a="1"/>
  <c r="O335" i="2" a="1"/>
  <c r="E20" i="9"/>
  <c r="D21" i="9"/>
  <c r="E21" i="9"/>
  <c r="D22" i="9"/>
  <c r="E22" i="9"/>
  <c r="O344" i="2" a="1"/>
  <c r="O343" i="2" a="1"/>
  <c r="E18" i="9"/>
  <c r="E27" i="9"/>
  <c r="E26" i="9"/>
  <c r="E123" i="9"/>
  <c r="E105" i="9"/>
  <c r="E103" i="9"/>
  <c r="E140" i="9"/>
  <c r="P140" i="17"/>
  <c r="O140" i="17"/>
  <c r="E38" i="9"/>
  <c r="E39" i="9"/>
  <c r="E36" i="9"/>
  <c r="E33" i="9"/>
  <c r="E34" i="9"/>
  <c r="E37" i="9"/>
  <c r="AA98" i="9"/>
  <c r="AA37" i="9"/>
  <c r="AE98" i="9"/>
  <c r="AE37" i="9"/>
  <c r="AD98" i="9"/>
  <c r="AD37" i="9"/>
  <c r="AD94" i="9"/>
  <c r="AD92" i="9"/>
  <c r="AD93" i="9"/>
  <c r="AD89" i="9"/>
  <c r="AE94" i="9"/>
  <c r="AE92" i="9"/>
  <c r="AE93" i="9"/>
  <c r="AE89" i="9"/>
  <c r="AA92" i="9"/>
  <c r="AA93" i="9"/>
  <c r="AA89" i="9"/>
  <c r="AA94" i="9"/>
  <c r="E98" i="9"/>
  <c r="E89" i="9"/>
  <c r="E93" i="9"/>
  <c r="E92" i="9"/>
  <c r="E94" i="9"/>
  <c r="E91" i="9"/>
  <c r="E90" i="9"/>
  <c r="E99" i="9"/>
  <c r="E96" i="9"/>
  <c r="E95" i="9"/>
  <c r="AD18" i="9"/>
  <c r="AE18" i="9"/>
  <c r="AA18" i="9"/>
  <c r="AD16" i="9"/>
  <c r="AE16" i="9"/>
  <c r="AA16" i="9"/>
  <c r="AD15" i="9"/>
  <c r="AE15" i="9"/>
  <c r="AA15" i="9"/>
  <c r="AD17" i="9"/>
  <c r="AE17" i="9"/>
  <c r="AA17" i="9"/>
  <c r="AA22" i="9"/>
  <c r="AA21" i="9"/>
  <c r="AA20" i="9"/>
  <c r="AA23" i="9"/>
  <c r="AE22" i="9"/>
  <c r="AE21" i="9"/>
  <c r="AE20" i="9"/>
  <c r="AE23" i="9"/>
  <c r="AD22" i="9"/>
  <c r="AD21" i="9"/>
  <c r="AD20" i="9"/>
  <c r="AD23" i="9"/>
  <c r="O3" i="2" a="1"/>
  <c r="O4" i="2" a="1"/>
  <c r="O5" i="2" a="1"/>
  <c r="O6" i="2" a="1"/>
  <c r="O7" i="2" a="1"/>
  <c r="O8" i="2" a="1"/>
  <c r="O9" i="2" a="1"/>
  <c r="O10" i="2" a="1"/>
  <c r="O11" i="2" a="1"/>
  <c r="O12" i="2" a="1"/>
  <c r="O13" i="2" a="1"/>
  <c r="O14" i="2" a="1"/>
  <c r="O17" i="2" a="1"/>
  <c r="O18" i="2" a="1"/>
  <c r="O22" i="2" a="1"/>
  <c r="O25" i="2" a="1"/>
  <c r="O26" i="2" a="1"/>
  <c r="O27" i="2" a="1"/>
  <c r="O30" i="2" a="1"/>
  <c r="O31" i="2" a="1"/>
  <c r="O32" i="2" a="1"/>
  <c r="O33" i="2" a="1"/>
  <c r="O34" i="2" a="1"/>
  <c r="O35" i="2" a="1"/>
  <c r="O36" i="2" a="1"/>
  <c r="O37" i="2" a="1"/>
  <c r="O38" i="2" a="1"/>
  <c r="O39" i="2" a="1"/>
  <c r="O40" i="2" a="1"/>
  <c r="O41" i="2" a="1"/>
  <c r="O42" i="2" a="1"/>
  <c r="O43" i="2" a="1"/>
  <c r="O44" i="2" a="1"/>
  <c r="O45" i="2" a="1"/>
  <c r="O46" i="2" a="1"/>
  <c r="O47" i="2" a="1"/>
  <c r="O48" i="2" a="1"/>
  <c r="O49" i="2" a="1"/>
  <c r="O50" i="2" a="1"/>
  <c r="O51" i="2" a="1"/>
  <c r="O52" i="2" a="1"/>
  <c r="O53" i="2" a="1"/>
  <c r="O54" i="2" a="1"/>
  <c r="O55" i="2" a="1"/>
  <c r="O56" i="2" a="1"/>
  <c r="O57" i="2" a="1"/>
  <c r="O58" i="2" a="1"/>
  <c r="O60" i="2" a="1"/>
  <c r="O61" i="2" a="1"/>
  <c r="O62" i="2" a="1"/>
  <c r="O63" i="2" a="1"/>
  <c r="O64" i="2" a="1"/>
  <c r="O65" i="2" a="1"/>
  <c r="O66" i="2" a="1"/>
  <c r="O68" i="2" a="1"/>
  <c r="O69" i="2" a="1"/>
  <c r="O70" i="2" a="1"/>
  <c r="O71" i="2" a="1"/>
  <c r="O74" i="2" a="1"/>
  <c r="O75" i="2" a="1"/>
  <c r="O76" i="2" a="1"/>
  <c r="O77" i="2" a="1"/>
  <c r="O78" i="2" a="1"/>
  <c r="O84" i="2" a="1"/>
  <c r="O79" i="2" a="1"/>
  <c r="O80" i="2" a="1"/>
  <c r="O81" i="2" a="1"/>
  <c r="O82" i="2" a="1"/>
  <c r="O83" i="2" a="1"/>
  <c r="O72" i="2" a="1"/>
  <c r="O73" i="2" a="1"/>
  <c r="O85" i="2" a="1"/>
  <c r="O86" i="2" a="1"/>
  <c r="O87" i="2" a="1"/>
  <c r="O89" i="2" a="1"/>
  <c r="O90" i="2" a="1"/>
  <c r="O91" i="2" a="1"/>
  <c r="O92" i="2" a="1"/>
  <c r="O93" i="2" a="1"/>
  <c r="O94" i="2" a="1"/>
  <c r="O95" i="2" a="1"/>
  <c r="O96" i="2" a="1"/>
  <c r="O97" i="2" a="1"/>
  <c r="O98" i="2" a="1"/>
  <c r="O99" i="2" a="1"/>
  <c r="O100" i="2" a="1"/>
  <c r="O101" i="2" a="1"/>
  <c r="O102" i="2" a="1"/>
  <c r="O106" i="2" a="1"/>
  <c r="O107" i="2" a="1"/>
  <c r="O108" i="2" a="1"/>
  <c r="O109" i="2" a="1"/>
  <c r="O110" i="2" a="1"/>
  <c r="O111" i="2" a="1"/>
  <c r="O112" i="2" a="1"/>
  <c r="O113" i="2" a="1"/>
  <c r="O114" i="2" a="1"/>
  <c r="O115" i="2" a="1"/>
  <c r="O116" i="2" a="1"/>
  <c r="O117" i="2" a="1"/>
  <c r="O118" i="2" a="1"/>
  <c r="O119" i="2" a="1"/>
  <c r="O120" i="2" a="1"/>
  <c r="O121" i="2" a="1"/>
  <c r="O124" i="2" a="1"/>
  <c r="O125" i="2" a="1"/>
  <c r="O127" i="2" a="1"/>
  <c r="O128" i="2" a="1"/>
  <c r="O129" i="2" a="1"/>
  <c r="O130" i="2" a="1"/>
  <c r="O131" i="2" a="1"/>
  <c r="O132" i="2" a="1"/>
  <c r="O133" i="2" a="1"/>
  <c r="O134" i="2" a="1"/>
  <c r="O135" i="2" a="1"/>
  <c r="O136" i="2" a="1"/>
  <c r="O137" i="2" a="1"/>
  <c r="O139" i="2" a="1"/>
  <c r="O140" i="2" a="1"/>
  <c r="O142" i="2" a="1"/>
  <c r="O143" i="2" a="1"/>
  <c r="O144" i="2" a="1"/>
  <c r="O145" i="2" a="1"/>
  <c r="O146" i="2" a="1"/>
  <c r="O147" i="2" a="1"/>
  <c r="O148" i="2" a="1"/>
  <c r="O149" i="2" a="1"/>
  <c r="O150" i="2" a="1"/>
  <c r="O151" i="2" a="1"/>
  <c r="O152" i="2" a="1"/>
  <c r="O160" i="2" a="1"/>
  <c r="O161" i="2" a="1"/>
  <c r="O162" i="2" a="1"/>
  <c r="O163" i="2" a="1"/>
  <c r="O164" i="2" a="1"/>
  <c r="O165" i="2" a="1"/>
  <c r="O166" i="2" a="1"/>
  <c r="O167" i="2" a="1"/>
  <c r="O168" i="2" a="1"/>
  <c r="O169" i="2" a="1"/>
  <c r="O170" i="2" a="1"/>
  <c r="O171" i="2" a="1"/>
  <c r="O172" i="2" a="1"/>
  <c r="O173" i="2" a="1"/>
  <c r="O174" i="2" a="1"/>
  <c r="O175" i="2" a="1"/>
  <c r="O176" i="2" a="1"/>
  <c r="O177" i="2" a="1"/>
  <c r="O178" i="2" a="1"/>
  <c r="O179" i="2" a="1"/>
  <c r="O180" i="2" a="1"/>
  <c r="O181" i="2" a="1"/>
  <c r="O182" i="2" a="1"/>
  <c r="O183" i="2" a="1"/>
  <c r="O184" i="2" a="1"/>
  <c r="O185" i="2" a="1"/>
  <c r="O186" i="2" a="1"/>
  <c r="O187" i="2" a="1"/>
  <c r="O188" i="2" a="1"/>
  <c r="O189" i="2" a="1"/>
  <c r="O190" i="2" a="1"/>
  <c r="O191" i="2" a="1"/>
  <c r="O192" i="2" a="1"/>
  <c r="O193" i="2" a="1"/>
  <c r="O194" i="2" a="1"/>
  <c r="O195" i="2" a="1"/>
  <c r="O196" i="2" a="1"/>
  <c r="O199" i="2" a="1"/>
  <c r="O197" i="2" a="1"/>
  <c r="O200" i="2" a="1"/>
  <c r="O201" i="2" a="1"/>
  <c r="O202" i="2" a="1"/>
  <c r="O203" i="2" a="1"/>
  <c r="O198" i="2" a="1"/>
  <c r="O206" i="2" a="1"/>
  <c r="O207" i="2" a="1"/>
  <c r="O208" i="2" a="1"/>
  <c r="O209" i="2" a="1"/>
  <c r="O210" i="2" a="1"/>
  <c r="O211" i="2" a="1"/>
  <c r="O212" i="2" a="1"/>
  <c r="O213" i="2" a="1"/>
  <c r="O214" i="2" a="1"/>
  <c r="O215" i="2" a="1"/>
  <c r="O216" i="2" a="1"/>
  <c r="O217" i="2" a="1"/>
  <c r="O218" i="2" a="1"/>
  <c r="O220" i="2" a="1"/>
  <c r="O221" i="2" a="1"/>
  <c r="O222" i="2" a="1"/>
  <c r="O223" i="2" a="1"/>
  <c r="O224" i="2" a="1"/>
  <c r="O225" i="2" a="1"/>
  <c r="O226" i="2" a="1"/>
  <c r="O227" i="2" a="1"/>
  <c r="O232" i="2" a="1"/>
  <c r="O233" i="2" a="1"/>
  <c r="O234" i="2" a="1"/>
  <c r="O235" i="2" a="1"/>
  <c r="O236" i="2" a="1"/>
  <c r="O237" i="2" a="1"/>
  <c r="O238" i="2" a="1"/>
  <c r="O239" i="2" a="1"/>
  <c r="O240" i="2" a="1"/>
  <c r="O243" i="2" a="1"/>
  <c r="O250" i="2" a="1"/>
  <c r="O251" i="2" a="1"/>
  <c r="O252" i="2" a="1"/>
  <c r="O253" i="2" a="1"/>
  <c r="O254" i="2" a="1"/>
  <c r="O255" i="2" a="1"/>
  <c r="O256" i="2" a="1"/>
  <c r="O257" i="2" a="1"/>
  <c r="O258" i="2" a="1"/>
  <c r="O259" i="2" a="1"/>
  <c r="O260" i="2" a="1"/>
  <c r="O261" i="2" a="1"/>
  <c r="O262" i="2" a="1"/>
  <c r="O263" i="2" a="1"/>
  <c r="O264" i="2" a="1"/>
  <c r="O265" i="2" a="1"/>
  <c r="O266" i="2" a="1"/>
  <c r="O267" i="2" a="1"/>
  <c r="O268" i="2" a="1"/>
  <c r="O269" i="2" a="1"/>
  <c r="O270" i="2" a="1"/>
  <c r="O271" i="2" a="1"/>
  <c r="O272" i="2" a="1"/>
  <c r="O273" i="2" a="1"/>
  <c r="O274" i="2" a="1"/>
  <c r="O275" i="2" a="1"/>
  <c r="O276" i="2" a="1"/>
  <c r="O277" i="2" a="1"/>
  <c r="O278" i="2" a="1"/>
  <c r="O279" i="2" a="1"/>
  <c r="O280" i="2" a="1"/>
  <c r="O281" i="2" a="1"/>
  <c r="O283" i="2" a="1"/>
  <c r="O284" i="2" a="1"/>
  <c r="O285" i="2" a="1"/>
  <c r="O286" i="2" a="1"/>
  <c r="O287" i="2" a="1"/>
  <c r="O288" i="2" a="1"/>
  <c r="O290" i="2" a="1"/>
  <c r="O293" i="2" a="1"/>
  <c r="O294" i="2" a="1"/>
  <c r="O295" i="2" a="1"/>
  <c r="O296" i="2" a="1"/>
  <c r="O297" i="2" a="1"/>
  <c r="O298" i="2" a="1"/>
  <c r="O299" i="2" a="1"/>
  <c r="O300" i="2" a="1"/>
  <c r="O301" i="2" a="1"/>
  <c r="O302" i="2" a="1"/>
  <c r="O303" i="2" a="1"/>
  <c r="O304" i="2" a="1"/>
  <c r="O305" i="2" a="1"/>
  <c r="O306" i="2" a="1"/>
  <c r="O307" i="2" a="1"/>
  <c r="O308" i="2" a="1"/>
  <c r="O309" i="2" a="1"/>
  <c r="O310" i="2" a="1"/>
  <c r="O311" i="2" a="1"/>
  <c r="O312" i="2" a="1"/>
  <c r="O313" i="2" a="1"/>
  <c r="O314" i="2" a="1"/>
  <c r="O315" i="2" a="1"/>
  <c r="O316" i="2" a="1"/>
  <c r="O317" i="2" a="1"/>
  <c r="O318" i="2" a="1"/>
  <c r="O319" i="2" a="1"/>
  <c r="O320" i="2" a="1"/>
  <c r="O321" i="2" a="1"/>
  <c r="O322" i="2" a="1"/>
  <c r="O323" i="2" a="1"/>
  <c r="O324" i="2" a="1"/>
  <c r="O331" i="2" a="1"/>
  <c r="O332" i="2" a="1"/>
  <c r="O333" i="2" a="1"/>
  <c r="O334" i="2" a="1"/>
  <c r="O336" i="2" a="1"/>
  <c r="O337" i="2" a="1"/>
  <c r="O342" i="2" a="1"/>
  <c r="O345" i="2" a="1"/>
  <c r="O346" i="2" a="1"/>
  <c r="O347" i="2" a="1"/>
  <c r="O348" i="2" a="1"/>
  <c r="O349" i="2" a="1"/>
  <c r="O350" i="2" a="1"/>
  <c r="O354" i="2" a="1"/>
  <c r="O2" i="2" a="1"/>
  <c r="D311" i="15"/>
  <c r="E311" i="15"/>
  <c r="F311" i="15"/>
  <c r="AD59" i="9"/>
  <c r="AE59" i="9"/>
  <c r="AA59" i="9"/>
  <c r="AD116" i="9"/>
  <c r="AE116" i="9"/>
  <c r="AA116" i="9"/>
  <c r="AD115" i="9"/>
  <c r="AE115" i="9"/>
  <c r="AA115" i="9"/>
  <c r="AD120" i="9"/>
  <c r="AE120" i="9"/>
  <c r="AA120" i="9"/>
  <c r="AD119" i="9"/>
  <c r="AE119" i="9"/>
  <c r="AA119" i="9"/>
  <c r="AD117" i="9"/>
  <c r="AE117" i="9"/>
  <c r="AA117" i="9"/>
  <c r="AD118" i="9"/>
  <c r="AE118" i="9"/>
  <c r="AA118" i="9"/>
  <c r="AD114" i="9"/>
  <c r="AE114" i="9"/>
  <c r="AA114" i="9"/>
  <c r="AD34" i="9"/>
  <c r="AE34" i="9"/>
  <c r="AA34" i="9"/>
  <c r="AD33" i="9"/>
  <c r="AE33" i="9"/>
  <c r="AA33" i="9"/>
  <c r="AD36" i="9"/>
  <c r="AE36" i="9"/>
  <c r="AA36" i="9"/>
  <c r="AD39" i="9"/>
  <c r="AE39" i="9"/>
  <c r="AA39" i="9"/>
  <c r="AD38" i="9"/>
  <c r="AE38" i="9"/>
  <c r="AA38" i="9"/>
  <c r="AD35" i="9"/>
  <c r="AE35" i="9"/>
  <c r="AA35" i="9"/>
  <c r="AD97" i="9"/>
  <c r="AE97" i="9"/>
  <c r="AA97" i="9"/>
  <c r="AD95" i="9"/>
  <c r="AE95" i="9"/>
  <c r="AA95" i="9"/>
  <c r="AD96" i="9"/>
  <c r="AE96" i="9"/>
  <c r="AA96" i="9"/>
  <c r="AD99" i="9"/>
  <c r="AE99" i="9"/>
  <c r="AA99" i="9"/>
  <c r="AD90" i="9"/>
  <c r="AE90" i="9"/>
  <c r="AA90" i="9"/>
  <c r="AD91" i="9"/>
  <c r="AE91" i="9"/>
  <c r="AA91" i="9"/>
  <c r="AD58" i="9"/>
  <c r="AE58" i="9"/>
  <c r="AA58" i="9"/>
  <c r="AD57" i="9"/>
  <c r="AE57" i="9"/>
  <c r="AA57" i="9"/>
  <c r="AD56" i="9"/>
  <c r="AE56" i="9"/>
  <c r="AA56" i="9"/>
  <c r="AD140" i="9"/>
  <c r="AE140" i="9"/>
  <c r="AA140" i="9"/>
  <c r="AD105" i="9"/>
  <c r="AE105" i="9"/>
  <c r="AA105" i="9"/>
  <c r="AD108" i="9"/>
  <c r="AD107" i="9"/>
  <c r="AE107" i="9"/>
  <c r="AA107" i="9"/>
  <c r="AD103" i="9"/>
  <c r="AE103" i="9"/>
  <c r="AA103" i="9"/>
  <c r="AD74" i="9"/>
  <c r="AE74" i="9"/>
  <c r="AA74" i="9"/>
  <c r="AD73" i="9"/>
  <c r="AE73" i="9"/>
  <c r="AA73" i="9"/>
  <c r="AD64" i="9"/>
  <c r="AE64" i="9"/>
  <c r="AA64" i="9"/>
  <c r="AD68" i="9"/>
  <c r="AE68" i="9"/>
  <c r="AA68" i="9"/>
  <c r="AD65" i="9"/>
  <c r="AE65" i="9"/>
  <c r="AA65" i="9"/>
  <c r="AD71" i="9"/>
  <c r="AE71" i="9"/>
  <c r="AA71" i="9"/>
  <c r="AD66" i="9"/>
  <c r="AE66" i="9"/>
  <c r="AA66" i="9"/>
  <c r="AD72" i="9"/>
  <c r="AE72" i="9"/>
  <c r="AA72" i="9"/>
  <c r="AD67" i="9"/>
  <c r="AE67" i="9"/>
  <c r="AD70" i="9"/>
  <c r="AE70" i="9"/>
  <c r="AD69" i="9"/>
  <c r="AE69" i="9"/>
  <c r="AD62" i="9"/>
  <c r="AE62" i="9"/>
  <c r="AD63" i="9"/>
  <c r="AE63" i="9"/>
  <c r="AD79" i="9"/>
  <c r="AE79" i="9"/>
  <c r="AA79" i="9"/>
  <c r="AD44" i="9"/>
  <c r="AE44" i="9"/>
  <c r="AA44" i="9"/>
  <c r="AD45" i="9"/>
  <c r="AE45" i="9"/>
  <c r="AA45" i="9"/>
  <c r="AD46" i="9"/>
  <c r="AE46" i="9"/>
  <c r="AA46" i="9"/>
  <c r="AD40" i="9"/>
  <c r="AE40" i="9"/>
  <c r="AA40" i="9"/>
  <c r="AD41" i="9"/>
  <c r="AE41" i="9"/>
  <c r="AA41" i="9"/>
  <c r="AD42" i="9"/>
  <c r="AE42" i="9"/>
  <c r="AA42" i="9"/>
  <c r="AD43" i="9"/>
  <c r="AE43" i="9"/>
  <c r="AA43" i="9"/>
  <c r="AD100" i="9"/>
  <c r="AE100" i="9"/>
  <c r="AA100" i="9"/>
  <c r="AD137" i="9"/>
  <c r="AE137" i="9"/>
  <c r="AA137" i="9"/>
  <c r="AD138" i="9"/>
  <c r="AE138" i="9"/>
  <c r="AA138" i="9"/>
  <c r="AD77" i="9"/>
  <c r="AE77" i="9"/>
  <c r="AA77" i="9"/>
  <c r="AD78" i="9"/>
  <c r="AE78" i="9"/>
  <c r="AA78" i="9"/>
  <c r="AD75" i="9"/>
  <c r="AE75" i="9"/>
  <c r="AA75" i="9"/>
  <c r="AD76" i="9"/>
  <c r="AE76" i="9"/>
  <c r="AA76" i="9"/>
  <c r="AD81" i="9"/>
  <c r="AE81" i="9"/>
  <c r="AA81" i="9"/>
  <c r="AD32" i="9"/>
  <c r="AE32" i="9"/>
  <c r="AA32" i="9"/>
  <c r="AD29" i="9"/>
  <c r="AE29" i="9"/>
  <c r="AA29" i="9"/>
  <c r="AD31" i="9"/>
  <c r="AE31" i="9"/>
  <c r="AA31" i="9"/>
  <c r="AD30" i="9"/>
  <c r="AE30" i="9"/>
  <c r="AA30" i="9"/>
  <c r="AD19" i="9"/>
  <c r="AE19" i="9"/>
  <c r="AA19" i="9"/>
  <c r="D307" i="15"/>
  <c r="E307" i="15"/>
  <c r="F307" i="15"/>
  <c r="D308" i="15"/>
  <c r="E308" i="15"/>
  <c r="F308" i="15"/>
  <c r="D309" i="15"/>
  <c r="E309" i="15"/>
  <c r="F309" i="15"/>
  <c r="D310" i="15"/>
  <c r="E310" i="15"/>
  <c r="F310" i="15"/>
  <c r="AD128" i="9"/>
  <c r="AE128" i="9"/>
  <c r="AA128" i="9"/>
  <c r="AD125" i="9"/>
  <c r="AE125" i="9"/>
  <c r="AA125" i="9"/>
  <c r="G3" i="7"/>
  <c r="G4" i="7"/>
  <c r="D305" i="15"/>
  <c r="E305" i="15"/>
  <c r="F305" i="15"/>
  <c r="D306" i="15"/>
  <c r="E306" i="15"/>
  <c r="F306" i="15"/>
  <c r="D295" i="15"/>
  <c r="E295" i="15"/>
  <c r="F295" i="15"/>
  <c r="D296" i="15"/>
  <c r="E296" i="15"/>
  <c r="F296" i="15"/>
  <c r="D297" i="15"/>
  <c r="E297" i="15"/>
  <c r="F297" i="15"/>
  <c r="D298" i="15"/>
  <c r="E298" i="15"/>
  <c r="F298" i="15"/>
  <c r="D299" i="15"/>
  <c r="E299" i="15"/>
  <c r="F299" i="15"/>
  <c r="D300" i="15"/>
  <c r="E300" i="15"/>
  <c r="F300" i="15"/>
  <c r="D301" i="15"/>
  <c r="E301" i="15"/>
  <c r="F301" i="15"/>
  <c r="D302" i="15"/>
  <c r="E302" i="15"/>
  <c r="F302" i="15"/>
  <c r="D303" i="15"/>
  <c r="E303" i="15"/>
  <c r="F303" i="15"/>
  <c r="D304" i="15"/>
  <c r="E304" i="15"/>
  <c r="F304" i="15"/>
  <c r="D293" i="15"/>
  <c r="E293" i="15"/>
  <c r="F293" i="15"/>
  <c r="D294" i="15"/>
  <c r="E294" i="15"/>
  <c r="F294" i="15"/>
  <c r="E76" i="9"/>
  <c r="E75" i="9"/>
  <c r="E78" i="9"/>
  <c r="E77" i="9"/>
  <c r="D290" i="15"/>
  <c r="E290" i="15"/>
  <c r="F290" i="15"/>
  <c r="D291" i="15"/>
  <c r="E291" i="15"/>
  <c r="F291" i="15"/>
  <c r="D292" i="15"/>
  <c r="E292" i="15"/>
  <c r="F292" i="15"/>
  <c r="G8" i="7"/>
  <c r="E138" i="9"/>
  <c r="E137" i="9"/>
  <c r="E108" i="9"/>
  <c r="E35" i="9"/>
  <c r="E115" i="9"/>
  <c r="E120" i="9"/>
  <c r="E119" i="9"/>
  <c r="E117" i="9"/>
  <c r="E118" i="9"/>
  <c r="E114" i="9"/>
  <c r="E116" i="9"/>
  <c r="E122" i="9"/>
  <c r="E121" i="9"/>
  <c r="E124" i="9"/>
  <c r="E29" i="9"/>
  <c r="E31" i="9"/>
  <c r="E30" i="9"/>
  <c r="D268" i="15"/>
  <c r="E268" i="15"/>
  <c r="F268" i="15"/>
  <c r="D269" i="15"/>
  <c r="E269" i="15"/>
  <c r="F269" i="15"/>
  <c r="D270" i="15"/>
  <c r="E270" i="15"/>
  <c r="F270" i="15"/>
  <c r="D271" i="15"/>
  <c r="E271" i="15"/>
  <c r="F271" i="15"/>
  <c r="D272" i="15"/>
  <c r="E272" i="15"/>
  <c r="F272" i="15"/>
  <c r="D273" i="15"/>
  <c r="E273" i="15"/>
  <c r="F273" i="15"/>
  <c r="D274" i="15"/>
  <c r="E274" i="15"/>
  <c r="F274" i="15"/>
  <c r="D275" i="15"/>
  <c r="E275" i="15"/>
  <c r="F275" i="15"/>
  <c r="D276" i="15"/>
  <c r="E276" i="15"/>
  <c r="F276" i="15"/>
  <c r="D277" i="15"/>
  <c r="E277" i="15"/>
  <c r="F277" i="15"/>
  <c r="D278" i="15"/>
  <c r="E278" i="15"/>
  <c r="F278" i="15"/>
  <c r="D279" i="15"/>
  <c r="E279" i="15"/>
  <c r="F279" i="15"/>
  <c r="D280" i="15"/>
  <c r="E280" i="15"/>
  <c r="F280" i="15"/>
  <c r="D281" i="15"/>
  <c r="E281" i="15"/>
  <c r="F281" i="15"/>
  <c r="D282" i="15"/>
  <c r="E282" i="15"/>
  <c r="F282" i="15"/>
  <c r="D283" i="15"/>
  <c r="E283" i="15"/>
  <c r="F283" i="15"/>
  <c r="D284" i="15"/>
  <c r="E284" i="15"/>
  <c r="F284" i="15"/>
  <c r="D285" i="15"/>
  <c r="E285" i="15"/>
  <c r="F285" i="15"/>
  <c r="D286" i="15"/>
  <c r="E286" i="15"/>
  <c r="F286" i="15"/>
  <c r="D287" i="15"/>
  <c r="E287" i="15"/>
  <c r="F287" i="15"/>
  <c r="D288" i="15"/>
  <c r="E288" i="15"/>
  <c r="F288" i="15"/>
  <c r="D289" i="15"/>
  <c r="E289" i="15"/>
  <c r="F289" i="15"/>
  <c r="D266" i="15"/>
  <c r="E266" i="15"/>
  <c r="F266" i="15"/>
  <c r="D267" i="15"/>
  <c r="E267" i="15"/>
  <c r="F267"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AE83" i="9"/>
  <c r="AE82" i="9"/>
  <c r="AE84" i="9"/>
  <c r="AE86" i="9"/>
  <c r="AE87" i="9"/>
  <c r="AE123" i="9"/>
  <c r="AE124" i="9"/>
  <c r="AE52" i="9"/>
  <c r="AE53" i="9"/>
  <c r="AE50" i="9"/>
  <c r="AE51" i="9"/>
  <c r="AE47" i="9"/>
  <c r="AE126" i="9"/>
  <c r="AE127" i="9"/>
  <c r="AE130" i="9"/>
  <c r="AE129" i="9"/>
  <c r="AE4" i="9"/>
  <c r="AE5" i="9"/>
  <c r="AE3" i="9"/>
  <c r="AE6" i="9"/>
  <c r="AE2" i="9"/>
  <c r="AE121" i="9"/>
  <c r="AE122" i="9"/>
  <c r="AE26" i="9"/>
  <c r="AE134" i="9"/>
  <c r="AE132" i="9"/>
  <c r="AE131" i="9"/>
  <c r="AE133" i="9"/>
  <c r="AE135" i="9"/>
  <c r="AE136" i="9"/>
  <c r="AE61" i="9"/>
  <c r="AE85" i="9"/>
  <c r="AD83" i="9"/>
  <c r="AD82" i="9"/>
  <c r="AD84" i="9"/>
  <c r="AD86" i="9"/>
  <c r="AD87" i="9"/>
  <c r="AD123" i="9"/>
  <c r="AD124" i="9"/>
  <c r="AD52" i="9"/>
  <c r="AD53" i="9"/>
  <c r="AD50" i="9"/>
  <c r="AD51" i="9"/>
  <c r="AD47" i="9"/>
  <c r="AD126" i="9"/>
  <c r="AD127" i="9"/>
  <c r="AD130" i="9"/>
  <c r="AD129" i="9"/>
  <c r="AD4" i="9"/>
  <c r="AD5" i="9"/>
  <c r="AD3" i="9"/>
  <c r="AD6" i="9"/>
  <c r="AD2" i="9"/>
  <c r="AD121" i="9"/>
  <c r="AD122" i="9"/>
  <c r="AD27" i="9"/>
  <c r="AD26" i="9"/>
  <c r="AD134" i="9"/>
  <c r="AD132" i="9"/>
  <c r="AD131" i="9"/>
  <c r="AD133" i="9"/>
  <c r="AD135" i="9"/>
  <c r="AD136" i="9"/>
  <c r="AD61" i="9"/>
  <c r="AD85" i="9"/>
  <c r="D2" i="15"/>
  <c r="AA83" i="9"/>
  <c r="AA82" i="9"/>
  <c r="AA84" i="9"/>
  <c r="AA86" i="9"/>
  <c r="AA87" i="9"/>
  <c r="AA123" i="9"/>
  <c r="AA124" i="9"/>
  <c r="AA52" i="9"/>
  <c r="AA53" i="9"/>
  <c r="AA50" i="9"/>
  <c r="AA51" i="9"/>
  <c r="AA47" i="9"/>
  <c r="AA126" i="9"/>
  <c r="AA127" i="9"/>
  <c r="AA130" i="9"/>
  <c r="AA129" i="9"/>
  <c r="AA4" i="9"/>
  <c r="AA5" i="9"/>
  <c r="AA3" i="9"/>
  <c r="AA6" i="9"/>
  <c r="AA2" i="9"/>
  <c r="AA121" i="9"/>
  <c r="AA122" i="9"/>
  <c r="AA27" i="9"/>
  <c r="AA26" i="9"/>
  <c r="AA134" i="9"/>
  <c r="AA132" i="9"/>
  <c r="AA131" i="9"/>
  <c r="AA133" i="9"/>
  <c r="AA135" i="9"/>
  <c r="AA136" i="9"/>
  <c r="AA61" i="9"/>
  <c r="AA85" i="9"/>
  <c r="D265" i="15"/>
  <c r="E265" i="15"/>
  <c r="I42" i="16"/>
  <c r="D26" i="16"/>
  <c r="D5" i="16"/>
  <c r="D11" i="16"/>
  <c r="C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67" i="16"/>
  <c r="D31" i="16"/>
  <c r="D30" i="16"/>
  <c r="D29" i="16"/>
  <c r="D28" i="16"/>
  <c r="D27" i="16"/>
  <c r="D25" i="16"/>
  <c r="D24" i="16"/>
  <c r="D23" i="16"/>
  <c r="D22" i="16"/>
  <c r="D21" i="16"/>
  <c r="D20" i="16"/>
  <c r="D19" i="16"/>
  <c r="D18" i="16"/>
  <c r="D17" i="16"/>
  <c r="D16" i="16"/>
  <c r="D15" i="16"/>
  <c r="D14" i="16"/>
  <c r="D13" i="16"/>
  <c r="D10" i="16"/>
  <c r="D9" i="16"/>
  <c r="D8" i="16"/>
  <c r="D7" i="16"/>
  <c r="D6" i="16"/>
  <c r="D4" i="16"/>
  <c r="D3" i="16"/>
  <c r="D2" i="16"/>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H8" i="7"/>
  <c r="B32" i="16"/>
  <c r="D12" i="16"/>
  <c r="D32" i="16"/>
  <c r="R139" i="17"/>
  <c r="N149" i="17"/>
  <c r="Q149" i="17"/>
  <c r="N141" i="17"/>
  <c r="Q141" i="17"/>
  <c r="N143" i="17"/>
  <c r="Q143" i="17"/>
  <c r="N145" i="17"/>
  <c r="Q145" i="17"/>
  <c r="Q140" i="17"/>
  <c r="N140" i="17"/>
  <c r="N150" i="17"/>
  <c r="Q150" i="17"/>
  <c r="N139" i="17"/>
  <c r="Q139" i="17"/>
  <c r="N144" i="17"/>
  <c r="Q144" i="17"/>
  <c r="N146" i="17"/>
  <c r="Q146" i="17"/>
  <c r="N148" i="17"/>
  <c r="Q148" i="17"/>
  <c r="R140" i="17"/>
  <c r="H2" i="7"/>
  <c r="I2" i="7"/>
  <c r="C369" i="15"/>
  <c r="C368" i="15"/>
  <c r="C367" i="15"/>
  <c r="C366" i="15"/>
  <c r="C364" i="15"/>
  <c r="C363" i="15"/>
  <c r="C362" i="15"/>
  <c r="C361" i="15"/>
  <c r="C360" i="15"/>
  <c r="C359" i="15"/>
  <c r="C358" i="15"/>
  <c r="C357" i="15"/>
  <c r="C66" i="15"/>
  <c r="C335" i="15"/>
  <c r="C333" i="15"/>
  <c r="C272" i="15"/>
  <c r="C355" i="15"/>
  <c r="C370" i="15"/>
  <c r="C356" i="15"/>
  <c r="C371" i="15"/>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C332" i="15"/>
  <c r="C329" i="15"/>
  <c r="C326" i="15"/>
  <c r="C354" i="15"/>
  <c r="G6" i="23"/>
  <c r="G7" i="23"/>
  <c r="G35" i="23"/>
  <c r="G36" i="23"/>
  <c r="G37" i="23"/>
  <c r="C331" i="15"/>
  <c r="C330" i="15"/>
  <c r="C328" i="15"/>
  <c r="C327" i="15"/>
  <c r="C325"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69" i="15"/>
  <c r="C266" i="15"/>
  <c r="C265" i="15"/>
  <c r="C264" i="15"/>
  <c r="C263" i="15"/>
  <c r="C259" i="15"/>
  <c r="C256" i="15"/>
  <c r="C255" i="15"/>
  <c r="C254" i="15"/>
  <c r="C253" i="15"/>
  <c r="C249" i="15"/>
  <c r="C245" i="15"/>
  <c r="C244" i="15"/>
  <c r="C243" i="15"/>
  <c r="C239" i="15"/>
  <c r="C235" i="15"/>
  <c r="C234" i="15"/>
  <c r="C233" i="15"/>
  <c r="C229" i="15"/>
  <c r="C227" i="15"/>
  <c r="C225" i="15"/>
  <c r="C224" i="15"/>
  <c r="C223" i="15"/>
  <c r="C219" i="15"/>
  <c r="C217" i="15"/>
  <c r="C215" i="15"/>
  <c r="C214" i="15"/>
  <c r="C211" i="15"/>
  <c r="C209" i="15"/>
  <c r="C207" i="15"/>
  <c r="C205" i="15"/>
  <c r="C204" i="15"/>
  <c r="C201" i="15"/>
  <c r="C199" i="15"/>
  <c r="C197" i="15"/>
  <c r="C195" i="15"/>
  <c r="C194"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G2" i="7"/>
  <c r="C72" i="15"/>
  <c r="C71" i="15"/>
  <c r="C70" i="15"/>
  <c r="C69" i="15"/>
  <c r="C68" i="15"/>
  <c r="C67"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C4" i="15"/>
  <c r="C3" i="15"/>
  <c r="C2" i="15"/>
  <c r="C324" i="15"/>
  <c r="C353" i="15"/>
  <c r="C352" i="15"/>
  <c r="C351" i="15"/>
  <c r="C350" i="15"/>
  <c r="C349" i="15"/>
  <c r="C348" i="15"/>
  <c r="C347" i="15"/>
  <c r="C345" i="15"/>
  <c r="C344" i="15"/>
  <c r="C343" i="15"/>
  <c r="C342" i="15"/>
  <c r="C341" i="15"/>
  <c r="C340" i="15"/>
  <c r="C338" i="15"/>
  <c r="C337" i="15"/>
  <c r="C334" i="15"/>
  <c r="G5" i="23"/>
  <c r="N8" i="23"/>
  <c r="N7" i="23"/>
  <c r="G38" i="23"/>
  <c r="G39" i="23"/>
  <c r="G40" i="23"/>
  <c r="G41" i="23"/>
  <c r="G42" i="23"/>
  <c r="G43" i="23"/>
  <c r="G44" i="23"/>
  <c r="G45" i="23"/>
  <c r="G46" i="23"/>
  <c r="G47" i="23"/>
  <c r="G48" i="23"/>
  <c r="G49" i="23"/>
  <c r="G50" i="23"/>
  <c r="G51" i="23"/>
  <c r="G52" i="23"/>
  <c r="G53" i="23"/>
  <c r="G54" i="23"/>
  <c r="G55" i="23"/>
  <c r="G56" i="23"/>
  <c r="G57" i="23"/>
  <c r="C346" i="15"/>
  <c r="C339" i="15"/>
  <c r="C336" i="15"/>
  <c r="L2" i="17"/>
  <c r="S3" i="17" a="1"/>
  <c r="P2" i="17"/>
  <c r="R2" i="17"/>
  <c r="L3" i="17"/>
  <c r="R3" i="17"/>
  <c r="P3" i="17"/>
  <c r="O3" i="17"/>
  <c r="P4" i="17"/>
  <c r="O4" i="17"/>
  <c r="L4" i="17"/>
  <c r="R4" i="17"/>
  <c r="P5" i="17"/>
  <c r="O5" i="17"/>
  <c r="L5" i="17"/>
  <c r="R5" i="17"/>
  <c r="P6" i="17"/>
  <c r="O6" i="17"/>
  <c r="L6" i="17"/>
  <c r="R6" i="17"/>
  <c r="L7" i="17"/>
  <c r="P7" i="17"/>
  <c r="O7" i="17"/>
  <c r="L8" i="17"/>
  <c r="P8" i="17"/>
  <c r="O8" i="17"/>
  <c r="P9" i="17"/>
  <c r="O9" i="17"/>
  <c r="L9" i="17"/>
  <c r="R9" i="17"/>
  <c r="P10" i="17"/>
  <c r="O10" i="17"/>
  <c r="L10" i="17"/>
  <c r="L11" i="17"/>
  <c r="R11" i="17"/>
  <c r="P11" i="17"/>
  <c r="O11" i="17"/>
  <c r="L12" i="17"/>
  <c r="R12" i="17"/>
  <c r="P12" i="17"/>
  <c r="O12" i="17"/>
  <c r="L13" i="17"/>
  <c r="R13" i="17"/>
  <c r="P13" i="17"/>
  <c r="O13" i="17"/>
  <c r="L14" i="17"/>
  <c r="R14" i="17"/>
  <c r="P14" i="17"/>
  <c r="O14" i="17"/>
  <c r="L15" i="17"/>
  <c r="R15" i="17"/>
  <c r="P15" i="17"/>
  <c r="O15" i="17"/>
  <c r="L16" i="17"/>
  <c r="P16" i="17"/>
  <c r="O16" i="17"/>
  <c r="P17" i="17"/>
  <c r="O17" i="17"/>
  <c r="L17" i="17"/>
  <c r="P18" i="17"/>
  <c r="O18" i="17"/>
  <c r="L18" i="17"/>
  <c r="L19" i="17"/>
  <c r="R19" i="17"/>
  <c r="P19" i="17"/>
  <c r="O19" i="17"/>
  <c r="P20" i="17"/>
  <c r="O20" i="17"/>
  <c r="L20" i="17"/>
  <c r="L21" i="17"/>
  <c r="P21" i="17"/>
  <c r="O21" i="17"/>
  <c r="L22" i="17"/>
  <c r="P22" i="17"/>
  <c r="O22" i="17"/>
  <c r="L23" i="17"/>
  <c r="R23" i="17"/>
  <c r="P23" i="17"/>
  <c r="O23" i="17"/>
  <c r="L24" i="17"/>
  <c r="P24" i="17"/>
  <c r="O24" i="17"/>
  <c r="L25" i="17"/>
  <c r="P25" i="17"/>
  <c r="O25" i="17"/>
  <c r="L26" i="17"/>
  <c r="P26" i="17"/>
  <c r="O26" i="17"/>
  <c r="L27" i="17"/>
  <c r="R27" i="17"/>
  <c r="P27" i="17"/>
  <c r="O27" i="17"/>
  <c r="L28" i="17"/>
  <c r="P28" i="17"/>
  <c r="O28" i="17"/>
  <c r="L29" i="17"/>
  <c r="R29" i="17"/>
  <c r="P29" i="17"/>
  <c r="O29" i="17"/>
  <c r="L30" i="17"/>
  <c r="P30" i="17"/>
  <c r="O30" i="17"/>
  <c r="L31" i="17"/>
  <c r="P31" i="17"/>
  <c r="O31" i="17"/>
  <c r="L32" i="17"/>
  <c r="R32" i="17"/>
  <c r="P32" i="17"/>
  <c r="O32" i="17"/>
  <c r="P33" i="17"/>
  <c r="O33" i="17"/>
  <c r="L33" i="17"/>
  <c r="R33" i="17"/>
  <c r="P34" i="17"/>
  <c r="O34" i="17"/>
  <c r="L34" i="17"/>
  <c r="P35" i="17"/>
  <c r="O35" i="17"/>
  <c r="L35" i="17"/>
  <c r="L36" i="17"/>
  <c r="P36" i="17"/>
  <c r="O36" i="17"/>
  <c r="L37" i="17"/>
  <c r="P37" i="17"/>
  <c r="O37" i="17"/>
  <c r="L38" i="17"/>
  <c r="R38" i="17"/>
  <c r="P38" i="17"/>
  <c r="O38" i="17"/>
  <c r="L39" i="17"/>
  <c r="P39" i="17"/>
  <c r="O39" i="17"/>
  <c r="P40" i="17"/>
  <c r="O40" i="17"/>
  <c r="L40" i="17"/>
  <c r="P41" i="17"/>
  <c r="O41" i="17"/>
  <c r="L41" i="17"/>
  <c r="R41" i="17"/>
  <c r="P42" i="17"/>
  <c r="O42" i="17"/>
  <c r="L42" i="17"/>
  <c r="P43" i="17"/>
  <c r="O43" i="17"/>
  <c r="L43" i="17"/>
  <c r="R43" i="17"/>
  <c r="P44" i="17"/>
  <c r="O44" i="17"/>
  <c r="L44" i="17"/>
  <c r="P45" i="17"/>
  <c r="O45" i="17"/>
  <c r="L45" i="17"/>
  <c r="P46" i="17"/>
  <c r="O46" i="17"/>
  <c r="L46" i="17"/>
  <c r="P47" i="17"/>
  <c r="O47" i="17"/>
  <c r="P48" i="17"/>
  <c r="O48" i="17"/>
  <c r="L48" i="17"/>
  <c r="R48" i="17"/>
  <c r="L49" i="17"/>
  <c r="P49" i="17"/>
  <c r="O49" i="17"/>
  <c r="L50" i="17"/>
  <c r="P50" i="17"/>
  <c r="O50" i="17"/>
  <c r="L51" i="17"/>
  <c r="P51" i="17"/>
  <c r="O51" i="17"/>
  <c r="L52" i="17"/>
  <c r="P52" i="17"/>
  <c r="O52" i="17"/>
  <c r="L53" i="17"/>
  <c r="P53" i="17"/>
  <c r="O53" i="17"/>
  <c r="L54" i="17"/>
  <c r="P54" i="17"/>
  <c r="O54" i="17"/>
  <c r="L55" i="17"/>
  <c r="R55" i="17"/>
  <c r="P55" i="17"/>
  <c r="O55" i="17"/>
  <c r="P56" i="17"/>
  <c r="O56" i="17"/>
  <c r="L56" i="17"/>
  <c r="P57" i="17"/>
  <c r="O57" i="17"/>
  <c r="L57" i="17"/>
  <c r="L58" i="17"/>
  <c r="P58" i="17"/>
  <c r="O58" i="17"/>
  <c r="L59" i="17"/>
  <c r="P59" i="17"/>
  <c r="O59" i="17"/>
  <c r="L60" i="17"/>
  <c r="P60" i="17"/>
  <c r="O60" i="17"/>
  <c r="L61" i="17"/>
  <c r="P61" i="17"/>
  <c r="O61" i="17"/>
  <c r="L62" i="17"/>
  <c r="P62" i="17"/>
  <c r="O62" i="17"/>
  <c r="P63" i="17"/>
  <c r="O63" i="17"/>
  <c r="L63" i="17"/>
  <c r="P64" i="17"/>
  <c r="O64" i="17"/>
  <c r="L64" i="17"/>
  <c r="P65" i="17"/>
  <c r="O65" i="17"/>
  <c r="L65" i="17"/>
  <c r="R65" i="17"/>
  <c r="P66" i="17"/>
  <c r="O66" i="17"/>
  <c r="L66" i="17"/>
  <c r="P67" i="17"/>
  <c r="O67" i="17"/>
  <c r="L67" i="17"/>
  <c r="P68" i="17"/>
  <c r="O68" i="17"/>
  <c r="L68" i="17"/>
  <c r="L69" i="17"/>
  <c r="P69" i="17"/>
  <c r="O69" i="17"/>
  <c r="P70" i="17"/>
  <c r="O70" i="17"/>
  <c r="L70" i="17"/>
  <c r="R70" i="17"/>
  <c r="P71" i="17"/>
  <c r="O71" i="17"/>
  <c r="L71" i="17"/>
  <c r="R71" i="17"/>
  <c r="L72" i="17"/>
  <c r="P72" i="17"/>
  <c r="O72" i="17"/>
  <c r="L73" i="17"/>
  <c r="P73" i="17"/>
  <c r="O73" i="17"/>
  <c r="L74" i="17"/>
  <c r="P74" i="17"/>
  <c r="O74" i="17"/>
  <c r="L75" i="17"/>
  <c r="P75" i="17"/>
  <c r="O75" i="17"/>
  <c r="L76" i="17"/>
  <c r="P76" i="17"/>
  <c r="O76" i="17"/>
  <c r="L77" i="17"/>
  <c r="P77" i="17"/>
  <c r="O77" i="17"/>
  <c r="P78" i="17"/>
  <c r="O78" i="17"/>
  <c r="L78" i="17"/>
  <c r="P79" i="17"/>
  <c r="O79" i="17"/>
  <c r="L79" i="17"/>
  <c r="L80" i="17"/>
  <c r="P80" i="17"/>
  <c r="O80" i="17"/>
  <c r="L81" i="17"/>
  <c r="P81" i="17"/>
  <c r="O81" i="17"/>
  <c r="L82" i="17"/>
  <c r="P82" i="17"/>
  <c r="O82" i="17"/>
  <c r="L83" i="17"/>
  <c r="P83" i="17"/>
  <c r="O83" i="17"/>
  <c r="L84" i="17"/>
  <c r="P84" i="17"/>
  <c r="O84" i="17"/>
  <c r="P85" i="17"/>
  <c r="O85" i="17"/>
  <c r="L85" i="17"/>
  <c r="R85" i="17"/>
  <c r="P86" i="17"/>
  <c r="O86" i="17"/>
  <c r="L86" i="17"/>
  <c r="L87" i="17"/>
  <c r="P87" i="17"/>
  <c r="O87" i="17"/>
  <c r="P88" i="17"/>
  <c r="O88" i="17"/>
  <c r="L88" i="17"/>
  <c r="P89" i="17"/>
  <c r="O89" i="17"/>
  <c r="L89" i="17"/>
  <c r="P90" i="17"/>
  <c r="O90" i="17"/>
  <c r="L90" i="17"/>
  <c r="L91" i="17"/>
  <c r="R91" i="17"/>
  <c r="P91" i="17"/>
  <c r="O91" i="17"/>
  <c r="P92" i="17"/>
  <c r="O92" i="17"/>
  <c r="L92" i="17"/>
  <c r="R92" i="17"/>
  <c r="P93" i="17"/>
  <c r="O93" i="17"/>
  <c r="L93" i="17"/>
  <c r="L94" i="17"/>
  <c r="P94" i="17"/>
  <c r="O94" i="17"/>
  <c r="L95" i="17"/>
  <c r="P95" i="17"/>
  <c r="O95" i="17"/>
  <c r="L96" i="17"/>
  <c r="P96" i="17"/>
  <c r="O96" i="17"/>
  <c r="L97" i="17"/>
  <c r="P97" i="17"/>
  <c r="O97" i="17"/>
  <c r="L98" i="17"/>
  <c r="P98" i="17"/>
  <c r="O98" i="17"/>
  <c r="L99" i="17"/>
  <c r="P99" i="17"/>
  <c r="O99" i="17"/>
  <c r="P100" i="17"/>
  <c r="O100" i="17"/>
  <c r="L100" i="17"/>
  <c r="P101" i="17"/>
  <c r="O101" i="17"/>
  <c r="L101" i="17"/>
  <c r="L102" i="17"/>
  <c r="P102" i="17"/>
  <c r="O102" i="17"/>
  <c r="L103" i="17"/>
  <c r="P103" i="17"/>
  <c r="O103" i="17"/>
  <c r="P104" i="17"/>
  <c r="O104" i="17"/>
  <c r="L104" i="17"/>
  <c r="L105" i="17"/>
  <c r="P105" i="17"/>
  <c r="O105" i="17"/>
  <c r="L106" i="17"/>
  <c r="P106" i="17"/>
  <c r="O106" i="17"/>
  <c r="P107" i="17"/>
  <c r="O107" i="17"/>
  <c r="L107" i="17"/>
  <c r="R107" i="17"/>
  <c r="P108" i="17"/>
  <c r="O108" i="17"/>
  <c r="L108" i="17"/>
  <c r="L109" i="17"/>
  <c r="P109" i="17"/>
  <c r="O109" i="17"/>
  <c r="P110" i="17"/>
  <c r="O110" i="17"/>
  <c r="L110" i="17"/>
  <c r="R110" i="17"/>
  <c r="P111" i="17"/>
  <c r="O111" i="17"/>
  <c r="L111" i="17"/>
  <c r="P112" i="17"/>
  <c r="O112" i="17"/>
  <c r="L112" i="17"/>
  <c r="P113" i="17"/>
  <c r="O113" i="17"/>
  <c r="L113" i="17"/>
  <c r="P114" i="17"/>
  <c r="O114" i="17"/>
  <c r="L114" i="17"/>
  <c r="R114" i="17"/>
  <c r="P115" i="17"/>
  <c r="O115" i="17"/>
  <c r="L115" i="17"/>
  <c r="R115" i="17"/>
  <c r="L116" i="17"/>
  <c r="P116" i="17"/>
  <c r="O116" i="17"/>
  <c r="L117" i="17"/>
  <c r="P117" i="17"/>
  <c r="O117" i="17"/>
  <c r="L118" i="17"/>
  <c r="P118" i="17"/>
  <c r="O118" i="17"/>
  <c r="L119" i="17"/>
  <c r="P119" i="17"/>
  <c r="O119" i="17"/>
  <c r="L120" i="17"/>
  <c r="P120" i="17"/>
  <c r="O120" i="17"/>
  <c r="L121" i="17"/>
  <c r="P121" i="17"/>
  <c r="O121" i="17"/>
  <c r="P122" i="17"/>
  <c r="O122" i="17"/>
  <c r="L122" i="17"/>
  <c r="R122" i="17"/>
  <c r="P123" i="17"/>
  <c r="O123" i="17"/>
  <c r="L123" i="17"/>
  <c r="R123" i="17"/>
  <c r="L124" i="17"/>
  <c r="R124" i="17"/>
  <c r="P124" i="17"/>
  <c r="O124" i="17"/>
  <c r="L125" i="17"/>
  <c r="P125" i="17"/>
  <c r="O125" i="17"/>
  <c r="L126" i="17"/>
  <c r="R126" i="17"/>
  <c r="P126" i="17"/>
  <c r="O126" i="17"/>
  <c r="L127" i="17"/>
  <c r="P127" i="17"/>
  <c r="O127" i="17"/>
  <c r="L128" i="17"/>
  <c r="P128" i="17"/>
  <c r="O128" i="17"/>
  <c r="L129" i="17"/>
  <c r="R129" i="17"/>
  <c r="P129" i="17"/>
  <c r="O129" i="17"/>
  <c r="P130" i="17"/>
  <c r="O130" i="17"/>
  <c r="L130" i="17"/>
  <c r="R130" i="17"/>
  <c r="P131" i="17"/>
  <c r="O131" i="17"/>
  <c r="L131" i="17"/>
  <c r="R131" i="17"/>
  <c r="P132" i="17"/>
  <c r="O132" i="17"/>
  <c r="L132" i="17"/>
  <c r="R132" i="17"/>
  <c r="P133" i="17"/>
  <c r="O133" i="17"/>
  <c r="L133" i="17"/>
  <c r="P134" i="17"/>
  <c r="O134" i="17"/>
  <c r="L134" i="17"/>
  <c r="P135" i="17"/>
  <c r="O135" i="17"/>
  <c r="L135" i="17"/>
  <c r="R135" i="17"/>
  <c r="P136" i="17"/>
  <c r="O136" i="17"/>
  <c r="L136" i="17"/>
  <c r="P137" i="17"/>
  <c r="O137" i="17"/>
  <c r="L137" i="17"/>
  <c r="L138" i="17"/>
  <c r="P138" i="17"/>
  <c r="O138" i="17"/>
  <c r="C271" i="15"/>
  <c r="C270" i="15"/>
  <c r="C268" i="15"/>
  <c r="C267" i="15"/>
  <c r="C262" i="15"/>
  <c r="C261" i="15"/>
  <c r="C260" i="15"/>
  <c r="C258" i="15"/>
  <c r="C257" i="15"/>
  <c r="C252" i="15"/>
  <c r="C251" i="15"/>
  <c r="C250" i="15"/>
  <c r="C248" i="15"/>
  <c r="C247" i="15"/>
  <c r="C246" i="15"/>
  <c r="C242" i="15"/>
  <c r="C241" i="15"/>
  <c r="C240" i="15"/>
  <c r="C238" i="15"/>
  <c r="C237" i="15"/>
  <c r="C236" i="15"/>
  <c r="C232" i="15"/>
  <c r="C231" i="15"/>
  <c r="C230" i="15"/>
  <c r="C228" i="15"/>
  <c r="C226" i="15"/>
  <c r="C222" i="15"/>
  <c r="C221" i="15"/>
  <c r="C220" i="15"/>
  <c r="C218" i="15"/>
  <c r="C216" i="15"/>
  <c r="C213" i="15"/>
  <c r="C212" i="15"/>
  <c r="C210" i="15"/>
  <c r="C208" i="15"/>
  <c r="C206" i="15"/>
  <c r="C203" i="15"/>
  <c r="C202" i="15"/>
  <c r="C200" i="15"/>
  <c r="C198" i="15"/>
  <c r="C196" i="15"/>
  <c r="C193" i="15"/>
  <c r="C192" i="15"/>
  <c r="N6" i="23"/>
  <c r="P152" i="17"/>
  <c r="R138" i="17"/>
  <c r="Q138" i="17"/>
  <c r="N138" i="17"/>
  <c r="R137" i="17"/>
  <c r="Q137" i="17"/>
  <c r="N137" i="17"/>
  <c r="R136" i="17"/>
  <c r="N136" i="17"/>
  <c r="Q136" i="17"/>
  <c r="N135" i="17"/>
  <c r="Q135" i="17"/>
  <c r="R134" i="17"/>
  <c r="N134" i="17"/>
  <c r="Q134" i="17"/>
  <c r="R133" i="17"/>
  <c r="N133" i="17"/>
  <c r="Q133" i="17"/>
  <c r="N132" i="17"/>
  <c r="Q132" i="17"/>
  <c r="N131" i="17"/>
  <c r="Q131" i="17"/>
  <c r="N130" i="17"/>
  <c r="Q130" i="17"/>
  <c r="N129" i="17"/>
  <c r="Q129" i="17"/>
  <c r="R128" i="17"/>
  <c r="N128" i="17"/>
  <c r="Q128" i="17"/>
  <c r="R127" i="17"/>
  <c r="N127" i="17"/>
  <c r="Q127" i="17"/>
  <c r="N126" i="17"/>
  <c r="Q126" i="17"/>
  <c r="R125" i="17"/>
  <c r="N125" i="17"/>
  <c r="Q125" i="17"/>
  <c r="N124" i="17"/>
  <c r="Q124" i="17"/>
  <c r="N123" i="17"/>
  <c r="Q123" i="17"/>
  <c r="N122" i="17"/>
  <c r="Q122" i="17"/>
  <c r="R121" i="17"/>
  <c r="N121" i="17"/>
  <c r="Q121" i="17"/>
  <c r="R120" i="17"/>
  <c r="N120" i="17"/>
  <c r="Q120" i="17"/>
  <c r="R119" i="17"/>
  <c r="N119" i="17"/>
  <c r="Q119" i="17"/>
  <c r="R118" i="17"/>
  <c r="N118" i="17"/>
  <c r="Q118" i="17"/>
  <c r="R117" i="17"/>
  <c r="N117" i="17"/>
  <c r="Q117" i="17"/>
  <c r="R116" i="17"/>
  <c r="N116" i="17"/>
  <c r="Q116" i="17"/>
  <c r="N115" i="17"/>
  <c r="Q115" i="17"/>
  <c r="N114" i="17"/>
  <c r="Q114" i="17"/>
  <c r="R113" i="17"/>
  <c r="N113" i="17"/>
  <c r="Q113" i="17"/>
  <c r="R112" i="17"/>
  <c r="N112" i="17"/>
  <c r="Q112" i="17"/>
  <c r="R111" i="17"/>
  <c r="N111" i="17"/>
  <c r="Q111" i="17"/>
  <c r="N110" i="17"/>
  <c r="Q110" i="17"/>
  <c r="R109" i="17"/>
  <c r="N109" i="17"/>
  <c r="Q109" i="17"/>
  <c r="R108" i="17"/>
  <c r="N108" i="17"/>
  <c r="Q108" i="17"/>
  <c r="N107" i="17"/>
  <c r="Q107" i="17"/>
  <c r="R106" i="17"/>
  <c r="N106" i="17"/>
  <c r="Q106" i="17"/>
  <c r="R105" i="17"/>
  <c r="N105" i="17"/>
  <c r="Q105" i="17"/>
  <c r="R104" i="17"/>
  <c r="N104" i="17"/>
  <c r="Q104" i="17"/>
  <c r="R103" i="17"/>
  <c r="N103" i="17"/>
  <c r="Q103" i="17"/>
  <c r="R102" i="17"/>
  <c r="N102" i="17"/>
  <c r="Q102" i="17"/>
  <c r="R101" i="17"/>
  <c r="N101" i="17"/>
  <c r="Q101" i="17"/>
  <c r="R100" i="17"/>
  <c r="N100" i="17"/>
  <c r="Q100" i="17"/>
  <c r="R99" i="17"/>
  <c r="N99" i="17"/>
  <c r="Q99" i="17"/>
  <c r="R98" i="17"/>
  <c r="N98" i="17"/>
  <c r="Q98" i="17"/>
  <c r="R97" i="17"/>
  <c r="N97" i="17"/>
  <c r="Q97" i="17"/>
  <c r="R96" i="17"/>
  <c r="N96" i="17"/>
  <c r="Q96" i="17"/>
  <c r="R95" i="17"/>
  <c r="N95" i="17"/>
  <c r="Q95" i="17"/>
  <c r="R94" i="17"/>
  <c r="N94" i="17"/>
  <c r="Q94" i="17"/>
  <c r="R93" i="17"/>
  <c r="N93" i="17"/>
  <c r="Q93" i="17"/>
  <c r="N92" i="17"/>
  <c r="Q92" i="17"/>
  <c r="N91" i="17"/>
  <c r="Q91" i="17"/>
  <c r="R90" i="17"/>
  <c r="N90" i="17"/>
  <c r="Q90" i="17"/>
  <c r="R89" i="17"/>
  <c r="N89" i="17"/>
  <c r="Q89" i="17"/>
  <c r="R88" i="17"/>
  <c r="N88" i="17"/>
  <c r="Q88" i="17"/>
  <c r="R87" i="17"/>
  <c r="N87" i="17"/>
  <c r="Q87" i="17"/>
  <c r="R86" i="17"/>
  <c r="N86" i="17"/>
  <c r="Q86" i="17"/>
  <c r="N85" i="17"/>
  <c r="Q85" i="17"/>
  <c r="R84" i="17"/>
  <c r="N84" i="17"/>
  <c r="Q84" i="17"/>
  <c r="R83" i="17"/>
  <c r="N83" i="17"/>
  <c r="Q83" i="17"/>
  <c r="R82" i="17"/>
  <c r="N82" i="17"/>
  <c r="Q82" i="17"/>
  <c r="R81" i="17"/>
  <c r="N81" i="17"/>
  <c r="Q81" i="17"/>
  <c r="R80" i="17"/>
  <c r="N80" i="17"/>
  <c r="Q80" i="17"/>
  <c r="R79" i="17"/>
  <c r="N79" i="17"/>
  <c r="Q79" i="17"/>
  <c r="R78" i="17"/>
  <c r="N78" i="17"/>
  <c r="Q78" i="17"/>
  <c r="R77" i="17"/>
  <c r="N77" i="17"/>
  <c r="Q77" i="17"/>
  <c r="R76" i="17"/>
  <c r="N76" i="17"/>
  <c r="Q76" i="17"/>
  <c r="R75" i="17"/>
  <c r="N75" i="17"/>
  <c r="Q75" i="17"/>
  <c r="R74" i="17"/>
  <c r="N74" i="17"/>
  <c r="Q74" i="17"/>
  <c r="R73" i="17"/>
  <c r="N73" i="17"/>
  <c r="Q73" i="17"/>
  <c r="R72" i="17"/>
  <c r="N72" i="17"/>
  <c r="Q72" i="17"/>
  <c r="N71" i="17"/>
  <c r="Q71" i="17"/>
  <c r="N70" i="17"/>
  <c r="Q70" i="17"/>
  <c r="R69" i="17"/>
  <c r="N69" i="17"/>
  <c r="Q69" i="17"/>
  <c r="R68" i="17"/>
  <c r="N68" i="17"/>
  <c r="Q68" i="17"/>
  <c r="R67" i="17"/>
  <c r="N67" i="17"/>
  <c r="Q67" i="17"/>
  <c r="R66" i="17"/>
  <c r="N66" i="17"/>
  <c r="Q66" i="17"/>
  <c r="N65" i="17"/>
  <c r="Q65" i="17"/>
  <c r="R64" i="17"/>
  <c r="N64" i="17"/>
  <c r="Q64" i="17"/>
  <c r="R63" i="17"/>
  <c r="N63" i="17"/>
  <c r="Q63" i="17"/>
  <c r="R62" i="17"/>
  <c r="N62" i="17"/>
  <c r="Q62" i="17"/>
  <c r="R61" i="17"/>
  <c r="N61" i="17"/>
  <c r="Q61" i="17"/>
  <c r="R60" i="17"/>
  <c r="N60" i="17"/>
  <c r="Q60" i="17"/>
  <c r="R59" i="17"/>
  <c r="N59" i="17"/>
  <c r="Q59" i="17"/>
  <c r="R58" i="17"/>
  <c r="N58" i="17"/>
  <c r="Q58" i="17"/>
  <c r="R57" i="17"/>
  <c r="N57" i="17"/>
  <c r="Q57" i="17"/>
  <c r="R56" i="17"/>
  <c r="N56" i="17"/>
  <c r="Q56" i="17"/>
  <c r="N55" i="17"/>
  <c r="Q55" i="17"/>
  <c r="R54" i="17"/>
  <c r="N54" i="17"/>
  <c r="Q54" i="17"/>
  <c r="R53" i="17"/>
  <c r="N53" i="17"/>
  <c r="Q53" i="17"/>
  <c r="R52" i="17"/>
  <c r="N52" i="17"/>
  <c r="Q52" i="17"/>
  <c r="R51" i="17"/>
  <c r="N51" i="17"/>
  <c r="Q51" i="17"/>
  <c r="R50" i="17"/>
  <c r="N50" i="17"/>
  <c r="Q50" i="17"/>
  <c r="R49" i="17"/>
  <c r="N49" i="17"/>
  <c r="Q49" i="17"/>
  <c r="N48" i="17"/>
  <c r="Q48" i="17"/>
  <c r="R46" i="17"/>
  <c r="N46" i="17"/>
  <c r="Q46" i="17"/>
  <c r="R45" i="17"/>
  <c r="N45" i="17"/>
  <c r="Q45" i="17"/>
  <c r="R44" i="17"/>
  <c r="N44" i="17"/>
  <c r="Q44" i="17"/>
  <c r="N43" i="17"/>
  <c r="Q43" i="17"/>
  <c r="R42" i="17"/>
  <c r="N42" i="17"/>
  <c r="Q42" i="17"/>
  <c r="N41" i="17"/>
  <c r="Q41" i="17"/>
  <c r="R40" i="17"/>
  <c r="N40" i="17"/>
  <c r="Q40" i="17"/>
  <c r="R39" i="17"/>
  <c r="N39" i="17"/>
  <c r="Q39" i="17"/>
  <c r="N38" i="17"/>
  <c r="Q38" i="17"/>
  <c r="R37" i="17"/>
  <c r="N37" i="17"/>
  <c r="Q37" i="17"/>
  <c r="R36" i="17"/>
  <c r="N36" i="17"/>
  <c r="Q36" i="17"/>
  <c r="R35" i="17"/>
  <c r="N35" i="17"/>
  <c r="Q35" i="17"/>
  <c r="R34" i="17"/>
  <c r="N34" i="17"/>
  <c r="Q34" i="17"/>
  <c r="N33" i="17"/>
  <c r="Q33" i="17"/>
  <c r="N32" i="17"/>
  <c r="Q32" i="17"/>
  <c r="R31" i="17"/>
  <c r="N31" i="17"/>
  <c r="Q31" i="17"/>
  <c r="R30" i="17"/>
  <c r="N30" i="17"/>
  <c r="Q30" i="17"/>
  <c r="N29" i="17"/>
  <c r="Q29" i="17"/>
  <c r="R28" i="17"/>
  <c r="N28" i="17"/>
  <c r="Q28" i="17"/>
  <c r="N27" i="17"/>
  <c r="Q27" i="17"/>
  <c r="R26" i="17"/>
  <c r="N26" i="17"/>
  <c r="Q26" i="17"/>
  <c r="R25" i="17"/>
  <c r="N25" i="17"/>
  <c r="Q25" i="17"/>
  <c r="R24" i="17"/>
  <c r="N24" i="17"/>
  <c r="Q24" i="17"/>
  <c r="N23" i="17"/>
  <c r="Q23" i="17"/>
  <c r="R22" i="17"/>
  <c r="N22" i="17"/>
  <c r="Q22" i="17"/>
  <c r="R21" i="17"/>
  <c r="N21" i="17"/>
  <c r="Q21" i="17"/>
  <c r="R20" i="17"/>
  <c r="Q20" i="17"/>
  <c r="N20" i="17"/>
  <c r="N19" i="17"/>
  <c r="Q19" i="17"/>
  <c r="R18" i="17"/>
  <c r="N18" i="17"/>
  <c r="Q18" i="17"/>
  <c r="R17" i="17"/>
  <c r="N17" i="17"/>
  <c r="Q17" i="17"/>
  <c r="R16" i="17"/>
  <c r="Q16" i="17"/>
  <c r="N16" i="17"/>
  <c r="Q15" i="17"/>
  <c r="N15" i="17"/>
  <c r="Q14" i="17"/>
  <c r="N14" i="17"/>
  <c r="N13" i="17"/>
  <c r="Q13" i="17"/>
  <c r="N12" i="17"/>
  <c r="Q12" i="17"/>
  <c r="Q11" i="17"/>
  <c r="N11" i="17"/>
  <c r="R10" i="17"/>
  <c r="N10" i="17"/>
  <c r="Q10" i="17"/>
  <c r="N9" i="17"/>
  <c r="Q9" i="17"/>
  <c r="R8" i="17"/>
  <c r="N8" i="17"/>
  <c r="Q8" i="17"/>
  <c r="R7" i="17"/>
  <c r="Q7" i="17"/>
  <c r="N7" i="17"/>
  <c r="N6" i="17"/>
  <c r="Q6" i="17"/>
  <c r="N5" i="17"/>
  <c r="Q5" i="17"/>
  <c r="N4" i="17"/>
  <c r="Q4" i="17"/>
  <c r="N3" i="17"/>
  <c r="Q3" i="17"/>
  <c r="O2" i="17"/>
  <c r="O152" i="17"/>
  <c r="Q2" i="17"/>
  <c r="N2" i="17"/>
  <c r="T98" i="17"/>
  <c r="L47" i="17"/>
  <c r="N47" i="17"/>
  <c r="R47" i="17"/>
  <c r="Q47" i="17"/>
  <c r="Q152" i="17"/>
  <c r="G22" i="17" a="1"/>
  <c r="G12" i="17" a="1"/>
  <c r="G21" i="17" a="1"/>
  <c r="H21" i="17"/>
  <c r="G14" i="17" a="1"/>
  <c r="H14" i="17"/>
  <c r="G3" i="17" a="1"/>
  <c r="G37" i="17" a="1"/>
  <c r="G20" i="17" a="1"/>
  <c r="H20" i="17"/>
  <c r="G28" i="17" a="1"/>
  <c r="G17" i="17" a="1"/>
  <c r="G2" i="17" a="1"/>
  <c r="J2" i="17"/>
  <c r="I2" i="17"/>
  <c r="G33" i="17" a="1"/>
  <c r="G32" i="17" a="1"/>
  <c r="G19" i="17" a="1"/>
  <c r="G8" i="17" a="1"/>
  <c r="G36" i="17" a="1"/>
  <c r="G18" i="17" a="1"/>
  <c r="G30" i="17" a="1"/>
  <c r="G4" i="17" a="1"/>
  <c r="G6" i="17" a="1"/>
  <c r="G27" i="17" a="1"/>
  <c r="G15" i="17" a="1"/>
  <c r="G26" i="17" a="1"/>
  <c r="G11" i="17" a="1"/>
  <c r="G23" i="17" a="1"/>
  <c r="G10" i="17" a="1"/>
  <c r="G24" i="17" a="1"/>
  <c r="H24" i="17"/>
  <c r="G13" i="17" a="1"/>
  <c r="G7" i="17" a="1"/>
  <c r="G38" i="17" a="1"/>
  <c r="G31" i="17" a="1"/>
  <c r="G25" i="17" a="1"/>
  <c r="G29" i="17" a="1"/>
  <c r="G35" i="17" a="1"/>
  <c r="G39" i="17" a="1"/>
  <c r="G9" i="17" a="1"/>
  <c r="G5" i="17" a="1"/>
  <c r="G16" i="17" a="1"/>
  <c r="G34" i="17" a="1"/>
  <c r="K21" i="17" a="1"/>
  <c r="K20" i="17" a="1"/>
  <c r="K24" i="17" a="1"/>
  <c r="K2" i="17" a="1"/>
  <c r="J14" i="17"/>
  <c r="K14" i="17" a="1"/>
  <c r="J5" i="17"/>
  <c r="I5" i="17"/>
  <c r="H5" i="17"/>
  <c r="J29" i="17"/>
  <c r="H29" i="17"/>
  <c r="J7" i="17"/>
  <c r="H7" i="17"/>
  <c r="J23" i="17"/>
  <c r="I23" i="17"/>
  <c r="H23" i="17"/>
  <c r="J27" i="17"/>
  <c r="H27" i="17"/>
  <c r="J18" i="17"/>
  <c r="H18" i="17"/>
  <c r="J32" i="17"/>
  <c r="H32" i="17"/>
  <c r="J28" i="17"/>
  <c r="H28" i="17"/>
  <c r="K23" i="17" a="1"/>
  <c r="J9" i="17"/>
  <c r="H9" i="17"/>
  <c r="H25" i="17"/>
  <c r="J25" i="17"/>
  <c r="J13" i="17"/>
  <c r="H13" i="17"/>
  <c r="H11" i="17"/>
  <c r="J11" i="17"/>
  <c r="H6" i="17"/>
  <c r="J6" i="17"/>
  <c r="H36" i="17"/>
  <c r="J36" i="17"/>
  <c r="H33" i="17"/>
  <c r="J33" i="17"/>
  <c r="K5" i="17" a="1"/>
  <c r="J34" i="17"/>
  <c r="H34" i="17"/>
  <c r="J39" i="17"/>
  <c r="I39" i="17"/>
  <c r="H39" i="17"/>
  <c r="J31" i="17"/>
  <c r="H31" i="17"/>
  <c r="J26" i="17"/>
  <c r="H26" i="17"/>
  <c r="H4" i="17"/>
  <c r="J4" i="17"/>
  <c r="J8" i="17"/>
  <c r="H8" i="17"/>
  <c r="H37" i="17"/>
  <c r="J37" i="17"/>
  <c r="H12" i="17"/>
  <c r="J12" i="17"/>
  <c r="H16" i="17"/>
  <c r="J16" i="17"/>
  <c r="J35" i="17"/>
  <c r="H35" i="17"/>
  <c r="J38" i="17"/>
  <c r="H38" i="17"/>
  <c r="H10" i="17"/>
  <c r="J10" i="17"/>
  <c r="J15" i="17"/>
  <c r="H15" i="17"/>
  <c r="H30" i="17"/>
  <c r="J30" i="17"/>
  <c r="J19" i="17"/>
  <c r="H19" i="17"/>
  <c r="H17" i="17"/>
  <c r="J17" i="17"/>
  <c r="J3" i="17"/>
  <c r="H3" i="17"/>
  <c r="J22" i="17"/>
  <c r="H22" i="17"/>
  <c r="I14" i="17"/>
  <c r="I38" i="17"/>
  <c r="K38" i="17" a="1"/>
  <c r="I17" i="17"/>
  <c r="K17" i="17" a="1"/>
  <c r="I30" i="17"/>
  <c r="H2" i="17"/>
  <c r="K30" i="17" a="1"/>
  <c r="I10" i="17"/>
  <c r="K10" i="17" a="1"/>
  <c r="I12" i="17"/>
  <c r="K12" i="17" a="1"/>
  <c r="I22" i="17"/>
  <c r="K22" i="17" a="1"/>
  <c r="I35" i="17"/>
  <c r="K35" i="17" a="1"/>
  <c r="I8" i="17"/>
  <c r="K8" i="17" a="1"/>
  <c r="I26" i="17"/>
  <c r="K26" i="17" a="1"/>
  <c r="I33" i="17"/>
  <c r="K33" i="17" a="1"/>
  <c r="I6" i="17"/>
  <c r="K6" i="17" a="1"/>
  <c r="I28" i="17"/>
  <c r="K28" i="17" a="1"/>
  <c r="I18" i="17"/>
  <c r="K18" i="17" a="1"/>
  <c r="I29" i="17"/>
  <c r="K29" i="17" a="1"/>
  <c r="I16" i="17"/>
  <c r="K16" i="17" a="1"/>
  <c r="I37" i="17"/>
  <c r="K37" i="17" a="1"/>
  <c r="I4" i="17"/>
  <c r="K4" i="17" a="1"/>
  <c r="I13" i="17"/>
  <c r="K13" i="17" a="1"/>
  <c r="I9" i="17"/>
  <c r="K9" i="17" a="1"/>
  <c r="I3" i="17"/>
  <c r="K3" i="17" a="1"/>
  <c r="J40" i="17"/>
  <c r="K40" i="17" a="1"/>
  <c r="I19" i="17"/>
  <c r="K19" i="17" a="1"/>
  <c r="I15" i="17"/>
  <c r="K15" i="17" a="1"/>
  <c r="I31" i="17"/>
  <c r="K31" i="17" a="1"/>
  <c r="I34" i="17"/>
  <c r="K34" i="17" a="1"/>
  <c r="I36" i="17"/>
  <c r="K36" i="17" a="1"/>
  <c r="I11" i="17"/>
  <c r="K11" i="17" a="1"/>
  <c r="I25" i="17"/>
  <c r="K25" i="17" a="1"/>
  <c r="I32" i="17"/>
  <c r="K32" i="17" a="1"/>
  <c r="I27" i="17"/>
  <c r="K27" i="17" a="1"/>
  <c r="I7" i="17"/>
  <c r="K7" i="17" a="1"/>
  <c r="I40" i="17"/>
  <c r="E6" i="17"/>
  <c r="D6" i="17"/>
  <c r="E9" i="17"/>
  <c r="D9" i="17"/>
  <c r="E10" i="17"/>
  <c r="D10" i="17"/>
  <c r="E14" i="17"/>
  <c r="D14" i="17"/>
  <c r="E3" i="17"/>
  <c r="D3" i="17"/>
  <c r="E16" i="17"/>
  <c r="D16" i="17"/>
  <c r="E34" i="17"/>
  <c r="D34" i="17"/>
  <c r="E11" i="17"/>
  <c r="D11" i="17"/>
  <c r="E22" i="17"/>
  <c r="D22" i="17"/>
  <c r="E31" i="17"/>
  <c r="D31" i="17"/>
  <c r="E32" i="17"/>
  <c r="D32" i="17"/>
  <c r="E25" i="17"/>
  <c r="D25" i="17"/>
  <c r="E28" i="17"/>
  <c r="D28" i="17"/>
  <c r="E20" i="17"/>
  <c r="D20" i="17"/>
  <c r="E12" i="17"/>
  <c r="D12" i="17"/>
  <c r="E17" i="17"/>
  <c r="D17" i="17"/>
  <c r="E24" i="17"/>
  <c r="D24" i="17"/>
  <c r="E15" i="17"/>
  <c r="D15" i="17"/>
  <c r="E33" i="17"/>
  <c r="D33" i="17"/>
  <c r="E13" i="17"/>
  <c r="D13" i="17"/>
  <c r="E7" i="17"/>
  <c r="D7" i="17"/>
  <c r="E30" i="17"/>
  <c r="D30" i="17"/>
  <c r="E8" i="17"/>
  <c r="D8" i="17"/>
  <c r="E21" i="17"/>
  <c r="D21" i="17"/>
  <c r="E5" i="17"/>
  <c r="D5" i="17"/>
  <c r="E18" i="17"/>
  <c r="D18" i="17"/>
  <c r="E23" i="17"/>
  <c r="D23" i="17"/>
  <c r="E27" i="17"/>
  <c r="D27" i="17"/>
  <c r="E29" i="17"/>
  <c r="D29" i="17"/>
  <c r="E19" i="17"/>
  <c r="D19" i="17"/>
  <c r="E26" i="17"/>
  <c r="D26" i="17"/>
  <c r="E4" i="17"/>
  <c r="D4" i="17"/>
  <c r="E2" i="17"/>
  <c r="F26" i="17" a="1"/>
  <c r="F29" i="17" a="1"/>
  <c r="F6" i="17" a="1"/>
  <c r="F25" i="17" a="1"/>
  <c r="F14" i="17" a="1"/>
  <c r="F28" i="17" a="1"/>
  <c r="F21" i="17" a="1"/>
  <c r="F23" i="17" a="1"/>
  <c r="F22" i="17" a="1"/>
  <c r="F10" i="17" a="1"/>
  <c r="F27" i="17" a="1"/>
  <c r="F34" i="17" a="1"/>
  <c r="F12" i="17" a="1"/>
  <c r="F2" i="17" a="1"/>
  <c r="F3" i="17" a="1"/>
  <c r="F5" i="17" a="1"/>
  <c r="F7" i="17" a="1"/>
  <c r="F31" i="17" a="1"/>
  <c r="F17" i="17" a="1"/>
  <c r="F19" i="17" a="1"/>
  <c r="F33" i="17" a="1"/>
  <c r="F8" i="17" a="1"/>
  <c r="F24" i="17" a="1"/>
  <c r="F13" i="17" a="1"/>
  <c r="F32" i="17" a="1"/>
  <c r="F4" i="17" a="1"/>
  <c r="F11" i="17" a="1"/>
  <c r="F18" i="17" a="1"/>
  <c r="F9" i="17" a="1"/>
  <c r="F20" i="17" a="1"/>
  <c r="F16" i="17" a="1"/>
  <c r="F15" i="17" a="1"/>
  <c r="F30" i="17" a="1"/>
  <c r="E36" i="17"/>
  <c r="D2" i="17"/>
  <c r="D36" i="17"/>
  <c r="I57" i="23"/>
  <c r="H57" i="23"/>
  <c r="F57" i="23"/>
  <c r="E57" i="23"/>
  <c r="D57" i="23"/>
  <c r="C57" i="23"/>
  <c r="I56" i="23"/>
  <c r="H56" i="23"/>
  <c r="F56" i="23"/>
  <c r="E56" i="23"/>
  <c r="D56" i="23"/>
  <c r="C56" i="23"/>
  <c r="I55" i="23"/>
  <c r="H55" i="23"/>
  <c r="F55" i="23"/>
  <c r="E55" i="23"/>
  <c r="D55" i="23"/>
  <c r="C55" i="23"/>
  <c r="I54" i="23"/>
  <c r="H54" i="23"/>
  <c r="F54" i="23"/>
  <c r="E54" i="23"/>
  <c r="D54" i="23"/>
  <c r="C54" i="23"/>
  <c r="I53" i="23"/>
  <c r="H53" i="23"/>
  <c r="F53" i="23"/>
  <c r="E53" i="23"/>
  <c r="D53" i="23"/>
  <c r="C53" i="23"/>
  <c r="I52" i="23"/>
  <c r="H52" i="23"/>
  <c r="F52" i="23"/>
  <c r="E52" i="23"/>
  <c r="D52" i="23"/>
  <c r="C52" i="23"/>
  <c r="I51" i="23"/>
  <c r="H51" i="23"/>
  <c r="F51" i="23"/>
  <c r="E51" i="23"/>
  <c r="D51" i="23"/>
  <c r="C51" i="23"/>
  <c r="I50" i="23"/>
  <c r="H50" i="23"/>
  <c r="F50" i="23"/>
  <c r="E50" i="23"/>
  <c r="D50" i="23"/>
  <c r="C50" i="23"/>
  <c r="I49" i="23"/>
  <c r="H49" i="23"/>
  <c r="F49" i="23"/>
  <c r="E49" i="23"/>
  <c r="D49" i="23"/>
  <c r="C49" i="23"/>
  <c r="I48" i="23"/>
  <c r="H48" i="23"/>
  <c r="F48" i="23"/>
  <c r="E48" i="23"/>
  <c r="D48" i="23"/>
  <c r="C48" i="23"/>
  <c r="I47" i="23"/>
  <c r="H47" i="23"/>
  <c r="F47" i="23"/>
  <c r="E47" i="23"/>
  <c r="D47" i="23"/>
  <c r="C47" i="23"/>
  <c r="I46" i="23"/>
  <c r="H46" i="23"/>
  <c r="F46" i="23"/>
  <c r="E46" i="23"/>
  <c r="D46" i="23"/>
  <c r="C46" i="23"/>
  <c r="I45" i="23"/>
  <c r="H45" i="23"/>
  <c r="F45" i="23"/>
  <c r="E45" i="23"/>
  <c r="D45" i="23"/>
  <c r="C45" i="23"/>
  <c r="I44" i="23"/>
  <c r="H44" i="23"/>
  <c r="F44" i="23"/>
  <c r="E44" i="23"/>
  <c r="D44" i="23"/>
  <c r="C44" i="23"/>
  <c r="I43" i="23"/>
  <c r="H43" i="23"/>
  <c r="F43" i="23"/>
  <c r="E43" i="23"/>
  <c r="D43" i="23"/>
  <c r="C43" i="23"/>
  <c r="I42" i="23"/>
  <c r="H42" i="23"/>
  <c r="F42" i="23"/>
  <c r="E42" i="23"/>
  <c r="D42" i="23"/>
  <c r="C42" i="23"/>
  <c r="I41" i="23"/>
  <c r="H41" i="23"/>
  <c r="F41" i="23"/>
  <c r="E41" i="23"/>
  <c r="D41" i="23"/>
  <c r="C41" i="23"/>
  <c r="I40" i="23"/>
  <c r="H40" i="23"/>
  <c r="F40" i="23"/>
  <c r="E40" i="23"/>
  <c r="D40" i="23"/>
  <c r="C40" i="23"/>
  <c r="I39" i="23"/>
  <c r="H39" i="23"/>
  <c r="F39" i="23"/>
  <c r="E39" i="23"/>
  <c r="D39" i="23"/>
  <c r="C39" i="23"/>
  <c r="I38" i="23"/>
  <c r="H38" i="23"/>
  <c r="F38" i="23"/>
  <c r="E38" i="23"/>
  <c r="D38" i="23"/>
  <c r="C38" i="23"/>
  <c r="I37" i="23"/>
  <c r="H37" i="23"/>
  <c r="F37" i="23"/>
  <c r="E37" i="23"/>
  <c r="D37" i="23"/>
  <c r="C37" i="23"/>
  <c r="I36" i="23"/>
  <c r="H36" i="23"/>
  <c r="F36" i="23"/>
  <c r="E36" i="23"/>
  <c r="D36" i="23"/>
  <c r="C36" i="23"/>
  <c r="I35" i="23"/>
  <c r="H35" i="23"/>
  <c r="F35" i="23"/>
  <c r="E35" i="23"/>
  <c r="D35" i="23"/>
  <c r="C35" i="23"/>
  <c r="I34" i="23"/>
  <c r="H34" i="23"/>
  <c r="F34" i="23"/>
  <c r="E34" i="23"/>
  <c r="D34" i="23"/>
  <c r="C34" i="23"/>
  <c r="I33" i="23"/>
  <c r="H33" i="23"/>
  <c r="F33" i="23"/>
  <c r="E33" i="23"/>
  <c r="D33" i="23"/>
  <c r="C33" i="23"/>
  <c r="I32" i="23"/>
  <c r="H32" i="23"/>
  <c r="F32" i="23"/>
  <c r="E32" i="23"/>
  <c r="D32" i="23"/>
  <c r="C32" i="23"/>
  <c r="I31" i="23"/>
  <c r="H31" i="23"/>
  <c r="F31" i="23"/>
  <c r="E31" i="23"/>
  <c r="D31" i="23"/>
  <c r="C31" i="23"/>
  <c r="I30" i="23"/>
  <c r="H30" i="23"/>
  <c r="F30" i="23"/>
  <c r="E30" i="23"/>
  <c r="D30" i="23"/>
  <c r="C30" i="23"/>
  <c r="I29" i="23"/>
  <c r="H29" i="23"/>
  <c r="F29" i="23"/>
  <c r="E29" i="23"/>
  <c r="D29" i="23"/>
  <c r="C29" i="23"/>
  <c r="I28" i="23"/>
  <c r="H28" i="23"/>
  <c r="F28" i="23"/>
  <c r="E28" i="23"/>
  <c r="D28" i="23"/>
  <c r="C28" i="23"/>
  <c r="I27" i="23"/>
  <c r="H27" i="23"/>
  <c r="F27" i="23"/>
  <c r="E27" i="23"/>
  <c r="D27" i="23"/>
  <c r="C27" i="23"/>
  <c r="I26" i="23"/>
  <c r="H26" i="23"/>
  <c r="F26" i="23"/>
  <c r="E26" i="23"/>
  <c r="D26" i="23"/>
  <c r="C26" i="23"/>
  <c r="I25" i="23"/>
  <c r="H25" i="23"/>
  <c r="F25" i="23"/>
  <c r="E25" i="23"/>
  <c r="D25" i="23"/>
  <c r="C25" i="23"/>
  <c r="I24" i="23"/>
  <c r="H24" i="23"/>
  <c r="F24" i="23"/>
  <c r="E24" i="23"/>
  <c r="D24" i="23"/>
  <c r="C24" i="23"/>
  <c r="I23" i="23"/>
  <c r="H23" i="23"/>
  <c r="F23" i="23"/>
  <c r="E23" i="23"/>
  <c r="D23" i="23"/>
  <c r="C23" i="23"/>
  <c r="I22" i="23"/>
  <c r="H22" i="23"/>
  <c r="F22" i="23"/>
  <c r="E22" i="23"/>
  <c r="D22" i="23"/>
  <c r="C22" i="23"/>
  <c r="I21" i="23"/>
  <c r="H21" i="23"/>
  <c r="F21" i="23"/>
  <c r="E21" i="23"/>
  <c r="D21" i="23"/>
  <c r="C21" i="23"/>
  <c r="I20" i="23"/>
  <c r="H20" i="23"/>
  <c r="F20" i="23"/>
  <c r="E20" i="23"/>
  <c r="D20" i="23"/>
  <c r="C20" i="23"/>
  <c r="I19" i="23"/>
  <c r="H19" i="23"/>
  <c r="F19" i="23"/>
  <c r="E19" i="23"/>
  <c r="D19" i="23"/>
  <c r="C19" i="23"/>
  <c r="I18" i="23"/>
  <c r="H18" i="23"/>
  <c r="F18" i="23"/>
  <c r="E18" i="23"/>
  <c r="D18" i="23"/>
  <c r="C18" i="23"/>
  <c r="I17" i="23"/>
  <c r="H17" i="23"/>
  <c r="F17" i="23"/>
  <c r="E17" i="23"/>
  <c r="D17" i="23"/>
  <c r="C17" i="23"/>
  <c r="I16" i="23"/>
  <c r="H16" i="23"/>
  <c r="F16" i="23"/>
  <c r="E16" i="23"/>
  <c r="D16" i="23"/>
  <c r="C16" i="23"/>
  <c r="I15" i="23"/>
  <c r="H15" i="23"/>
  <c r="F15" i="23"/>
  <c r="E15" i="23"/>
  <c r="D15" i="23"/>
  <c r="C15" i="23"/>
  <c r="I14" i="23"/>
  <c r="H14" i="23"/>
  <c r="F14" i="23"/>
  <c r="E14" i="23"/>
  <c r="D14" i="23"/>
  <c r="C14" i="23"/>
  <c r="I13" i="23"/>
  <c r="H13" i="23"/>
  <c r="F13" i="23"/>
  <c r="E13" i="23"/>
  <c r="D13" i="23"/>
  <c r="C13" i="23"/>
  <c r="I12" i="23"/>
  <c r="H12" i="23"/>
  <c r="F12" i="23"/>
  <c r="E12" i="23"/>
  <c r="D12" i="23"/>
  <c r="C12" i="23"/>
  <c r="I11" i="23"/>
  <c r="H11" i="23"/>
  <c r="F11" i="23"/>
  <c r="E11" i="23"/>
  <c r="D11" i="23"/>
  <c r="C11" i="23"/>
  <c r="I10" i="23"/>
  <c r="H10" i="23"/>
  <c r="F10" i="23"/>
  <c r="E10" i="23"/>
  <c r="D10" i="23"/>
  <c r="C10" i="23"/>
  <c r="I9" i="23"/>
  <c r="H9" i="23"/>
  <c r="F9" i="23"/>
  <c r="E9" i="23"/>
  <c r="D9" i="23"/>
  <c r="C9" i="23"/>
  <c r="I8" i="23"/>
  <c r="H8" i="23"/>
  <c r="F8" i="23"/>
  <c r="E8" i="23"/>
  <c r="D8" i="23"/>
  <c r="C8" i="23"/>
  <c r="I7" i="23"/>
  <c r="F7" i="23"/>
  <c r="E7" i="23"/>
  <c r="D7" i="23"/>
  <c r="C7" i="23"/>
  <c r="I6" i="23"/>
  <c r="H6" i="23"/>
  <c r="F6" i="23"/>
  <c r="E6" i="23"/>
  <c r="D6" i="23"/>
  <c r="C6" i="23"/>
  <c r="I5" i="23"/>
  <c r="F5" i="23"/>
  <c r="E5" i="23"/>
  <c r="D5" i="23"/>
  <c r="C5" i="23"/>
  <c r="O33" i="14"/>
  <c r="O32" i="14"/>
  <c r="O31" i="14"/>
  <c r="O30" i="14"/>
  <c r="O29" i="14"/>
  <c r="O28" i="14"/>
  <c r="O26" i="14"/>
  <c r="O25" i="14"/>
  <c r="O24" i="14"/>
  <c r="O23" i="14"/>
  <c r="O22" i="14"/>
  <c r="O21" i="14"/>
  <c r="O20" i="14"/>
  <c r="O19" i="14"/>
  <c r="O18" i="14"/>
  <c r="O17" i="14"/>
  <c r="O16" i="14"/>
  <c r="O15" i="14"/>
  <c r="O14" i="14"/>
  <c r="O13" i="14"/>
  <c r="O12" i="14"/>
  <c r="O11" i="14"/>
  <c r="O10" i="14"/>
  <c r="O9" i="14"/>
  <c r="O8" i="14"/>
  <c r="O7" i="14"/>
  <c r="O6" i="14"/>
  <c r="O5" i="14"/>
  <c r="O4" i="14"/>
  <c r="O3" i="14"/>
  <c r="O2" i="14"/>
  <c r="M150" i="17"/>
  <c r="M149" i="17"/>
  <c r="M148" i="17"/>
  <c r="M147" i="17"/>
  <c r="M146" i="17"/>
  <c r="M145" i="17"/>
  <c r="M144" i="17"/>
  <c r="M143" i="17"/>
  <c r="M142" i="17"/>
  <c r="M141" i="17"/>
  <c r="M140" i="17"/>
  <c r="M139" i="17"/>
  <c r="M138" i="17"/>
  <c r="K138" i="17"/>
  <c r="M137" i="17"/>
  <c r="K137" i="17"/>
  <c r="M136" i="17"/>
  <c r="K136" i="17"/>
  <c r="M135" i="17"/>
  <c r="K135" i="17"/>
  <c r="M134" i="17"/>
  <c r="K134" i="17"/>
  <c r="M133" i="17"/>
  <c r="K133" i="17"/>
  <c r="M132" i="17"/>
  <c r="K132" i="17"/>
  <c r="M131" i="17"/>
  <c r="K131" i="17"/>
  <c r="M130" i="17"/>
  <c r="K130" i="17"/>
  <c r="M129" i="17"/>
  <c r="K129" i="17"/>
  <c r="M128" i="17"/>
  <c r="K128" i="17"/>
  <c r="M127" i="17"/>
  <c r="K127" i="17"/>
  <c r="M126" i="17"/>
  <c r="K126" i="17"/>
  <c r="M125" i="17"/>
  <c r="K125" i="17"/>
  <c r="M124" i="17"/>
  <c r="K124" i="17"/>
  <c r="M123" i="17"/>
  <c r="K123" i="17"/>
  <c r="M122" i="17"/>
  <c r="K122" i="17"/>
  <c r="M121" i="17"/>
  <c r="K121" i="17"/>
  <c r="M120" i="17"/>
  <c r="K120" i="17"/>
  <c r="M119" i="17"/>
  <c r="K119" i="17"/>
  <c r="M118" i="17"/>
  <c r="K118" i="17"/>
  <c r="M117" i="17"/>
  <c r="K117" i="17"/>
  <c r="M116" i="17"/>
  <c r="K116" i="17"/>
  <c r="M115" i="17"/>
  <c r="K115" i="17"/>
  <c r="M114" i="17"/>
  <c r="K114" i="17"/>
  <c r="M113" i="17"/>
  <c r="K113" i="17"/>
  <c r="M112" i="17"/>
  <c r="K112" i="17"/>
  <c r="M111" i="17"/>
  <c r="K111" i="17"/>
  <c r="M110" i="17"/>
  <c r="K110" i="17"/>
  <c r="M109" i="17"/>
  <c r="K109" i="17"/>
  <c r="M108" i="17"/>
  <c r="K108" i="17"/>
  <c r="M107" i="17"/>
  <c r="K107" i="17"/>
  <c r="M106" i="17"/>
  <c r="K106" i="17"/>
  <c r="M105" i="17"/>
  <c r="K105" i="17"/>
  <c r="M104" i="17"/>
  <c r="K104" i="17"/>
  <c r="M103" i="17"/>
  <c r="K103" i="17"/>
  <c r="M102" i="17"/>
  <c r="K102" i="17"/>
  <c r="M101" i="17"/>
  <c r="K101" i="17"/>
  <c r="M100" i="17"/>
  <c r="K100" i="17"/>
  <c r="M99" i="17"/>
  <c r="K99" i="17"/>
  <c r="M98" i="17"/>
  <c r="K98" i="17"/>
  <c r="M97" i="17"/>
  <c r="K97" i="17"/>
  <c r="M96" i="17"/>
  <c r="K96" i="17"/>
  <c r="M95" i="17"/>
  <c r="K95" i="17"/>
  <c r="M94" i="17"/>
  <c r="K94" i="17"/>
  <c r="M93" i="17"/>
  <c r="K93" i="17"/>
  <c r="M92" i="17"/>
  <c r="K92" i="17"/>
  <c r="M91" i="17"/>
  <c r="K91" i="17"/>
  <c r="M90" i="17"/>
  <c r="K90" i="17"/>
  <c r="M89" i="17"/>
  <c r="K89" i="17"/>
  <c r="M88" i="17"/>
  <c r="K88" i="17"/>
  <c r="M87" i="17"/>
  <c r="K87" i="17"/>
  <c r="M86" i="17"/>
  <c r="K86" i="17"/>
  <c r="M85" i="17"/>
  <c r="K85" i="17"/>
  <c r="M84" i="17"/>
  <c r="K84" i="17"/>
  <c r="M83" i="17"/>
  <c r="K83" i="17"/>
  <c r="M82" i="17"/>
  <c r="K82" i="17"/>
  <c r="M81" i="17"/>
  <c r="K81" i="17"/>
  <c r="M80" i="17"/>
  <c r="K80" i="17"/>
  <c r="M79" i="17"/>
  <c r="K79" i="17"/>
  <c r="M78" i="17"/>
  <c r="K78" i="17"/>
  <c r="M77" i="17"/>
  <c r="K77" i="17"/>
  <c r="M76" i="17"/>
  <c r="K76" i="17"/>
  <c r="M75" i="17"/>
  <c r="K75" i="17"/>
  <c r="M74" i="17"/>
  <c r="K74" i="17"/>
  <c r="M73" i="17"/>
  <c r="K73" i="17"/>
  <c r="M72" i="17"/>
  <c r="K72" i="17"/>
  <c r="M71" i="17"/>
  <c r="K71" i="17"/>
  <c r="M70" i="17"/>
  <c r="K70" i="17"/>
  <c r="M69" i="17"/>
  <c r="K69" i="17"/>
  <c r="M68" i="17"/>
  <c r="K68" i="17"/>
  <c r="M67" i="17"/>
  <c r="K67" i="17"/>
  <c r="M66" i="17"/>
  <c r="K66" i="17"/>
  <c r="M65" i="17"/>
  <c r="K65" i="17"/>
  <c r="M64" i="17"/>
  <c r="K64" i="17"/>
  <c r="M63" i="17"/>
  <c r="K63" i="17"/>
  <c r="M62" i="17"/>
  <c r="K62" i="17"/>
  <c r="M61" i="17"/>
  <c r="K61" i="17"/>
  <c r="M60" i="17"/>
  <c r="K60" i="17"/>
  <c r="M59" i="17"/>
  <c r="K59" i="17"/>
  <c r="M58" i="17"/>
  <c r="K58" i="17"/>
  <c r="M57" i="17"/>
  <c r="K57" i="17"/>
  <c r="M56" i="17"/>
  <c r="K56" i="17"/>
  <c r="M55" i="17"/>
  <c r="K55" i="17"/>
  <c r="M54" i="17"/>
  <c r="K54" i="17"/>
  <c r="M53" i="17"/>
  <c r="K53" i="17"/>
  <c r="M52" i="17"/>
  <c r="K52" i="17"/>
  <c r="M51" i="17"/>
  <c r="K51" i="17"/>
  <c r="M50" i="17"/>
  <c r="K50" i="17"/>
  <c r="M49" i="17"/>
  <c r="K49" i="17"/>
  <c r="M48" i="17"/>
  <c r="K48" i="17"/>
  <c r="M47" i="17"/>
  <c r="K47" i="17"/>
  <c r="M46" i="17"/>
  <c r="K46" i="17"/>
  <c r="M45" i="17"/>
  <c r="K45" i="17"/>
  <c r="M44" i="17"/>
  <c r="K44" i="17"/>
  <c r="M43" i="17"/>
  <c r="K43" i="17"/>
  <c r="M42" i="17"/>
  <c r="K42" i="17"/>
  <c r="M41" i="17"/>
  <c r="K41" i="17"/>
  <c r="M40" i="17"/>
  <c r="K40" i="17"/>
  <c r="M39" i="17"/>
  <c r="G39" i="17"/>
  <c r="M38" i="17"/>
  <c r="K38" i="17"/>
  <c r="G38" i="17"/>
  <c r="M37" i="17"/>
  <c r="K37" i="17"/>
  <c r="G37" i="17"/>
  <c r="M36" i="17"/>
  <c r="K36" i="17"/>
  <c r="G36" i="17"/>
  <c r="M35" i="17"/>
  <c r="K35" i="17"/>
  <c r="G35" i="17"/>
  <c r="M34" i="17"/>
  <c r="K34" i="17"/>
  <c r="G34" i="17"/>
  <c r="F34" i="17"/>
  <c r="M33" i="17"/>
  <c r="K33" i="17"/>
  <c r="G33" i="17"/>
  <c r="F33" i="17"/>
  <c r="M32" i="17"/>
  <c r="K32" i="17"/>
  <c r="G32" i="17"/>
  <c r="F32" i="17"/>
  <c r="M31" i="17"/>
  <c r="K31" i="17"/>
  <c r="G31" i="17"/>
  <c r="F31" i="17"/>
  <c r="M30" i="17"/>
  <c r="K30" i="17"/>
  <c r="G30" i="17"/>
  <c r="F30" i="17"/>
  <c r="M29" i="17"/>
  <c r="K29" i="17"/>
  <c r="G29" i="17"/>
  <c r="F29" i="17"/>
  <c r="M28" i="17"/>
  <c r="K28" i="17"/>
  <c r="G28" i="17"/>
  <c r="F28" i="17"/>
  <c r="M27" i="17"/>
  <c r="K27" i="17"/>
  <c r="G27" i="17"/>
  <c r="F27" i="17"/>
  <c r="M26" i="17"/>
  <c r="K26" i="17"/>
  <c r="G26" i="17"/>
  <c r="F26" i="17"/>
  <c r="M25" i="17"/>
  <c r="K25" i="17"/>
  <c r="G25" i="17"/>
  <c r="F25" i="17"/>
  <c r="M24" i="17"/>
  <c r="K24" i="17"/>
  <c r="G24" i="17"/>
  <c r="F24" i="17"/>
  <c r="M23" i="17"/>
  <c r="K23" i="17"/>
  <c r="G23" i="17"/>
  <c r="F23" i="17"/>
  <c r="M22" i="17"/>
  <c r="K22" i="17"/>
  <c r="G22" i="17"/>
  <c r="F22" i="17"/>
  <c r="M21" i="17"/>
  <c r="K21" i="17"/>
  <c r="G21" i="17"/>
  <c r="F21" i="17"/>
  <c r="M20" i="17"/>
  <c r="K20" i="17"/>
  <c r="G20" i="17"/>
  <c r="F20" i="17"/>
  <c r="M19" i="17"/>
  <c r="K19" i="17"/>
  <c r="G19" i="17"/>
  <c r="F19" i="17"/>
  <c r="M18" i="17"/>
  <c r="K18" i="17"/>
  <c r="G18" i="17"/>
  <c r="F18" i="17"/>
  <c r="M17" i="17"/>
  <c r="K17" i="17"/>
  <c r="G17" i="17"/>
  <c r="F17" i="17"/>
  <c r="M16" i="17"/>
  <c r="K16" i="17"/>
  <c r="G16" i="17"/>
  <c r="F16" i="17"/>
  <c r="M15" i="17"/>
  <c r="K15" i="17"/>
  <c r="G15" i="17"/>
  <c r="F15" i="17"/>
  <c r="M14" i="17"/>
  <c r="K14" i="17"/>
  <c r="G14" i="17"/>
  <c r="F14" i="17"/>
  <c r="M13" i="17"/>
  <c r="K13" i="17"/>
  <c r="G13" i="17"/>
  <c r="F13" i="17"/>
  <c r="M12" i="17"/>
  <c r="K12" i="17"/>
  <c r="G12" i="17"/>
  <c r="F12" i="17"/>
  <c r="M11" i="17"/>
  <c r="K11" i="17"/>
  <c r="G11" i="17"/>
  <c r="F11" i="17"/>
  <c r="M10" i="17"/>
  <c r="K10" i="17"/>
  <c r="G10" i="17"/>
  <c r="F10" i="17"/>
  <c r="M9" i="17"/>
  <c r="K9" i="17"/>
  <c r="G9" i="17"/>
  <c r="F9" i="17"/>
  <c r="M8" i="17"/>
  <c r="K8" i="17"/>
  <c r="G8" i="17"/>
  <c r="F8" i="17"/>
  <c r="M7" i="17"/>
  <c r="K7" i="17"/>
  <c r="G7" i="17"/>
  <c r="F7" i="17"/>
  <c r="M6" i="17"/>
  <c r="K6" i="17"/>
  <c r="G6" i="17"/>
  <c r="F6" i="17"/>
  <c r="M5" i="17"/>
  <c r="K5" i="17"/>
  <c r="G5" i="17"/>
  <c r="F5" i="17"/>
  <c r="M4" i="17"/>
  <c r="K4" i="17"/>
  <c r="G4" i="17"/>
  <c r="F4" i="17"/>
  <c r="S3" i="17"/>
  <c r="M3" i="17"/>
  <c r="K3" i="17"/>
  <c r="G3" i="17"/>
  <c r="F3" i="17"/>
  <c r="M2" i="17"/>
  <c r="K2" i="17"/>
  <c r="G2" i="17"/>
  <c r="F2" i="17"/>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4" i="2"/>
  <c r="O13" i="2"/>
  <c r="O12" i="2"/>
  <c r="O11" i="2"/>
  <c r="O10" i="2"/>
  <c r="O9" i="2"/>
  <c r="O8" i="2"/>
  <c r="O7" i="2"/>
  <c r="O6" i="2"/>
  <c r="O5" i="2"/>
  <c r="O4" i="2"/>
  <c r="O3" i="2"/>
  <c r="O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tc={AAD6DF84-F41C-C240-866E-78CB56A415CC}</author>
    <author>tc={57A3641F-3DEE-2142-A105-540923C89707}</author>
    <author>tc={E4014CD2-BA88-9E44-900A-DA0AD64D040E}</author>
  </authors>
  <commentList>
    <comment ref="B199" authorId="0" shapeId="0" xr:uid="{AAD6DF84-F41C-C240-866E-78CB56A415CC}">
      <text>
        <t>[Threaded comment]
Your version of Excel allows you to read this threaded comment; however, any edits to it will get removed if the file is opened in a newer version of Excel. Learn more: https://go.microsoft.com/fwlink/?linkid=870924
Comment:
    To be changed as                          OP-Launch Automation, yet to be updated in JIRA</t>
      </text>
    </comment>
    <comment ref="B200" authorId="1" shapeId="0" xr:uid="{57A3641F-3DEE-2142-A105-540923C89707}">
      <text>
        <t>[Threaded comment]
Your version of Excel allows you to read this threaded comment; however, any edits to it will get removed if the file is opened in a newer version of Excel. Learn more: https://go.microsoft.com/fwlink/?linkid=870924
Comment:
    Not relevant</t>
      </text>
    </comment>
    <comment ref="B201" authorId="2" shapeId="0" xr:uid="{E4014CD2-BA88-9E44-900A-DA0AD64D040E}">
      <text>
        <t>[Threaded comment]
Your version of Excel allows you to read this threaded comment; however, any edits to it will get removed if the file is opened in a newer version of Excel. Learn more: https://go.microsoft.com/fwlink/?linkid=870924
Comment:
    Not relevant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tc={2E3A36B5-2C47-4977-BB30-3C848C25F41C}</author>
    <author>tc={1F8FD109-00FD-472D-83EE-E0FAA166DCEE}</author>
    <author>tc={0010283F-2DE5-43D9-9D7A-A3C0A6B7B1E5}</author>
    <author>tc={534331D0-D1A1-44B3-BA5E-6231854DD475}</author>
  </authors>
  <commentList>
    <comment ref="N30" authorId="0" shapeId="0" xr:uid="{2E3A36B5-2C47-4977-BB30-3C848C25F41C}">
      <text>
        <t>[Threaded comment]
Your version of Excel allows you to read this threaded comment; however, any edits to it will get removed if the file is opened in a newer version of Excel. Learn more: https://go.microsoft.com/fwlink/?linkid=870924
Comment:
    @Samarash Basak Please add this https://tekion.atlassian.net/jira/software/c/projects/AHM/boards/11843/backlog</t>
      </text>
    </comment>
    <comment ref="O30" authorId="1" shapeId="0" xr:uid="{1F8FD109-00FD-472D-83EE-E0FAA166DCEE}">
      <text>
        <t>[Threaded comment]
Your version of Excel allows you to read this threaded comment; however, any edits to it will get removed if the file is opened in a newer version of Excel. Learn more: https://go.microsoft.com/fwlink/?linkid=870924
Comment:
    @Samarash Basak Please update thishttps://tekion.atlassian.net/jira/plans/10574/scenarios/10574/timeline?vid=12757</t>
      </text>
    </comment>
    <comment ref="N31" authorId="2" shapeId="0" xr:uid="{0010283F-2DE5-43D9-9D7A-A3C0A6B7B1E5}">
      <text>
        <t>[Threaded comment]
Your version of Excel allows you to read this threaded comment; however, any edits to it will get removed if the file is opened in a newer version of Excel. Learn more: https://go.microsoft.com/fwlink/?linkid=870924
Comment:
    @Samarash Basak Please add this https://tekion.atlassian.net/jira/software/c/projects/AHM/boards/11843/backlog</t>
      </text>
    </comment>
    <comment ref="O31" authorId="3" shapeId="0" xr:uid="{534331D0-D1A1-44B3-BA5E-6231854DD475}">
      <text>
        <t>[Threaded comment]
Your version of Excel allows you to read this threaded comment; however, any edits to it will get removed if the file is opened in a newer version of Excel. Learn more: https://go.microsoft.com/fwlink/?linkid=870924
Comment:
    @Samarash Basak Please add this https://tekion.atlassian.net/jira/plans/10574/scenarios/10574/timeline?vid=12757</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<sst xmlns="http://schemas.openxmlformats.org/spreadsheetml/2006/main" count="12895" uniqueCount="3521">
  <si>
    <t>Updated on</t>
  </si>
  <si>
    <t xml:space="preserve">Engg VP </t>
  </si>
  <si>
    <t>Engg Director</t>
  </si>
  <si>
    <t>Component</t>
  </si>
  <si>
    <t>Count of Sub-component</t>
  </si>
  <si>
    <t>Justin Hou</t>
  </si>
  <si>
    <t>Koyeli Dasgupta</t>
  </si>
  <si>
    <t>L&amp;D</t>
  </si>
  <si>
    <t>Confluence</t>
  </si>
  <si>
    <t>Keith Wiseman</t>
  </si>
  <si>
    <t>Vaibhav Saini</t>
  </si>
  <si>
    <t>APC</t>
  </si>
  <si>
    <t>https://tekion.atlassian.net/wiki/spaces/TW/pages/4454875476/JIRA+Component+Sub-Component+Cleanup</t>
  </si>
  <si>
    <t>ApplicationPlatforms</t>
  </si>
  <si>
    <t>Bobby Alexander</t>
  </si>
  <si>
    <t>OnboardingPlatforms</t>
  </si>
  <si>
    <t>ZEBRA</t>
  </si>
  <si>
    <t>Kunal Bhattacharya</t>
  </si>
  <si>
    <t>Kapileshwar Punna</t>
  </si>
  <si>
    <t>Security</t>
  </si>
  <si>
    <t>Marc Stillman</t>
  </si>
  <si>
    <t>Gaurav Sharma</t>
  </si>
  <si>
    <t>VOC</t>
  </si>
  <si>
    <t>Raghu Edalur</t>
  </si>
  <si>
    <t>Jawahar Prasad</t>
  </si>
  <si>
    <t>ORBIT</t>
  </si>
  <si>
    <t>T1Platform</t>
  </si>
  <si>
    <t>Parul Jain</t>
  </si>
  <si>
    <t>HorizontalPlatforms</t>
  </si>
  <si>
    <t>Architecture</t>
  </si>
  <si>
    <t>Santosh Golecha</t>
  </si>
  <si>
    <t>Aditya Kolli</t>
  </si>
  <si>
    <t>AEPlatform</t>
  </si>
  <si>
    <t>AMC</t>
  </si>
  <si>
    <t>Ankur Agarwal</t>
  </si>
  <si>
    <t>DR_Honda</t>
  </si>
  <si>
    <t>DR_Hyundai</t>
  </si>
  <si>
    <t>Fleet_Honda</t>
  </si>
  <si>
    <t>IOT</t>
  </si>
  <si>
    <t>Manoj Kansal</t>
  </si>
  <si>
    <t>DR_GM</t>
  </si>
  <si>
    <t>AECIntegration</t>
  </si>
  <si>
    <t>DR_Ford</t>
  </si>
  <si>
    <t>Sanyam Agrawal</t>
  </si>
  <si>
    <t>Ambuj Mehra</t>
  </si>
  <si>
    <t>PayTek</t>
  </si>
  <si>
    <t>Anirudh Agarwal</t>
  </si>
  <si>
    <t>Parts</t>
  </si>
  <si>
    <t>Fahad Tasleem</t>
  </si>
  <si>
    <t>Accounting</t>
  </si>
  <si>
    <t>Cashiering</t>
  </si>
  <si>
    <t>eSign_Platform</t>
  </si>
  <si>
    <t>Payroll</t>
  </si>
  <si>
    <t>Prashant Gupta, Vraj Solanki</t>
  </si>
  <si>
    <t>Service</t>
  </si>
  <si>
    <t>Satish Sallakonda</t>
  </si>
  <si>
    <t>Anvesh Aileni</t>
  </si>
  <si>
    <t>Analytics</t>
  </si>
  <si>
    <t>Bob Wagoner</t>
  </si>
  <si>
    <t>Data_Services</t>
  </si>
  <si>
    <t>Prakash Mohan</t>
  </si>
  <si>
    <t>ARCIntegration</t>
  </si>
  <si>
    <t>AI_Core</t>
  </si>
  <si>
    <t>APEX</t>
  </si>
  <si>
    <t>Ajay Rao</t>
  </si>
  <si>
    <t>DataPlatform</t>
  </si>
  <si>
    <t>Satyajeet Singh</t>
  </si>
  <si>
    <t>AIE_Core</t>
  </si>
  <si>
    <t>AIE_Platform</t>
  </si>
  <si>
    <t>Srin Tangirala</t>
  </si>
  <si>
    <t>Arul Jothi</t>
  </si>
  <si>
    <t>DataEngg</t>
  </si>
  <si>
    <t>Professional_Services</t>
  </si>
  <si>
    <t>Teza Mukkavilli</t>
  </si>
  <si>
    <t>Ramesh Sarabu</t>
  </si>
  <si>
    <t>TOC_Horizontal</t>
  </si>
  <si>
    <t>Vijay Kumar</t>
  </si>
  <si>
    <t>IT_Team</t>
  </si>
  <si>
    <t>TOC</t>
  </si>
  <si>
    <t>Ved Singh</t>
  </si>
  <si>
    <t>Arun Gangadhar</t>
  </si>
  <si>
    <t>Campaign</t>
  </si>
  <si>
    <t>CRM</t>
  </si>
  <si>
    <t>Damodara Reddy</t>
  </si>
  <si>
    <t>FnI</t>
  </si>
  <si>
    <t>Galaxy</t>
  </si>
  <si>
    <t>TDP</t>
  </si>
  <si>
    <t>Karan Jeet Singh</t>
  </si>
  <si>
    <t>Retail</t>
  </si>
  <si>
    <t>Ketan Dikshit</t>
  </si>
  <si>
    <t>AIBDC</t>
  </si>
  <si>
    <t>Communication</t>
  </si>
  <si>
    <t>DigitalRetailing</t>
  </si>
  <si>
    <t>Viraj Patel</t>
  </si>
  <si>
    <t>Saurabh Goyal</t>
  </si>
  <si>
    <t>Infra</t>
  </si>
  <si>
    <t>PerformanceEngg</t>
  </si>
  <si>
    <t>(blank)</t>
  </si>
  <si>
    <t>Turker Coskun</t>
  </si>
  <si>
    <t>SIPlatform</t>
  </si>
  <si>
    <t>Sowmya Shivalli Malliah</t>
  </si>
  <si>
    <t>People_Team</t>
  </si>
  <si>
    <t>Grand Total</t>
  </si>
  <si>
    <t>Core</t>
  </si>
  <si>
    <t>Uma Shanker</t>
  </si>
  <si>
    <t>RuleEngine</t>
  </si>
  <si>
    <t>Bootstrapping</t>
  </si>
  <si>
    <t>Satish</t>
  </si>
  <si>
    <t>CMS</t>
  </si>
  <si>
    <t>ML</t>
  </si>
  <si>
    <t>Sanyam</t>
  </si>
  <si>
    <t>MobilePlatform</t>
  </si>
  <si>
    <t>Platform</t>
  </si>
  <si>
    <t>AECPlatform</t>
  </si>
  <si>
    <t>Insights</t>
  </si>
  <si>
    <t>TAP</t>
  </si>
  <si>
    <t>Teza</t>
  </si>
  <si>
    <t>Viraj</t>
  </si>
  <si>
    <t>IOT/Hardware</t>
  </si>
  <si>
    <t>DealerLaunchAutomation</t>
  </si>
  <si>
    <t>MLPlatform</t>
  </si>
  <si>
    <t>HR_Team</t>
  </si>
  <si>
    <t>Unique Projects</t>
  </si>
  <si>
    <t>JIRA Key</t>
  </si>
  <si>
    <t>Phase</t>
  </si>
  <si>
    <t>Capacity per Release</t>
  </si>
  <si>
    <t>Starts</t>
  </si>
  <si>
    <t>Accounting &amp; Payroll</t>
  </si>
  <si>
    <t>ACCT</t>
  </si>
  <si>
    <t>GA</t>
  </si>
  <si>
    <t>Pilot v1</t>
  </si>
  <si>
    <t>July sprint</t>
  </si>
  <si>
    <t>AEC Platform</t>
  </si>
  <si>
    <t>AECP</t>
  </si>
  <si>
    <t>Pilot v2</t>
  </si>
  <si>
    <t>Aug sprint</t>
  </si>
  <si>
    <t>Data &amp; Analytics</t>
  </si>
  <si>
    <t>DATA</t>
  </si>
  <si>
    <t>Oct sprint</t>
  </si>
  <si>
    <t>Integration</t>
  </si>
  <si>
    <t>INT</t>
  </si>
  <si>
    <t>PYTK</t>
  </si>
  <si>
    <t>CORE</t>
  </si>
  <si>
    <t>Migration &amp; Conversion</t>
  </si>
  <si>
    <t>MICV</t>
  </si>
  <si>
    <t>FNI</t>
  </si>
  <si>
    <t>GAL</t>
  </si>
  <si>
    <t>Mobile</t>
  </si>
  <si>
    <t>MOB</t>
  </si>
  <si>
    <t>PART</t>
  </si>
  <si>
    <t>PLTF</t>
  </si>
  <si>
    <t>RETL</t>
  </si>
  <si>
    <t>SERV</t>
  </si>
  <si>
    <t>Hyundai</t>
  </si>
  <si>
    <t>HYUN</t>
  </si>
  <si>
    <t>AIB</t>
  </si>
  <si>
    <t>Reliability</t>
  </si>
  <si>
    <t>RELB</t>
  </si>
  <si>
    <t>Engg Director / Leader</t>
  </si>
  <si>
    <t>Project</t>
  </si>
  <si>
    <t>Key</t>
  </si>
  <si>
    <t>Remarks</t>
  </si>
  <si>
    <t>To be discussed later</t>
  </si>
  <si>
    <t>Venkateswarlu Yerramalli</t>
  </si>
  <si>
    <t>Abhishek Agarwala</t>
  </si>
  <si>
    <t>Merged under CRM</t>
  </si>
  <si>
    <t>Prashant Gupta</t>
  </si>
  <si>
    <t>Needs discussion as Engg team reports to Prashant Gupta</t>
  </si>
  <si>
    <t>Surya Narayanan</t>
  </si>
  <si>
    <t>Raghu Ram Vengalil</t>
  </si>
  <si>
    <t>Robert Manoharan</t>
  </si>
  <si>
    <t>Nitika Gupta</t>
  </si>
  <si>
    <t>Needs discussion</t>
  </si>
  <si>
    <t>DOS project?? Needs discussion</t>
  </si>
  <si>
    <t>Anirudh Agrawal</t>
  </si>
  <si>
    <t>Ved Surtani</t>
  </si>
  <si>
    <t>To be merged with Infra? VOC?</t>
  </si>
  <si>
    <t>Works on TAP</t>
  </si>
  <si>
    <t>Merged with Other Component</t>
  </si>
  <si>
    <t>New project not needed</t>
  </si>
  <si>
    <t>Component JIRA mapping</t>
  </si>
  <si>
    <t>Sub-component JIRA mapping</t>
  </si>
  <si>
    <t>Issue type</t>
  </si>
  <si>
    <t>Required</t>
  </si>
  <si>
    <t>Create Screen</t>
  </si>
  <si>
    <t>View Screen</t>
  </si>
  <si>
    <t>Edit Screen</t>
  </si>
  <si>
    <t>Mandatory</t>
  </si>
  <si>
    <t>ENG</t>
  </si>
  <si>
    <t>Story</t>
  </si>
  <si>
    <t>Y</t>
  </si>
  <si>
    <t>Bug</t>
  </si>
  <si>
    <t>N</t>
  </si>
  <si>
    <t>Transition</t>
  </si>
  <si>
    <t>Epic</t>
  </si>
  <si>
    <t>Feature</t>
  </si>
  <si>
    <t>HFR</t>
  </si>
  <si>
    <t>TAP Ticket</t>
  </si>
  <si>
    <t>Task</t>
  </si>
  <si>
    <t>TBD</t>
  </si>
  <si>
    <t>Sub-task</t>
  </si>
  <si>
    <t>TCC Incident</t>
  </si>
  <si>
    <t>PM</t>
  </si>
  <si>
    <t>Initiative</t>
  </si>
  <si>
    <t>SCR</t>
  </si>
  <si>
    <t>Sub-component</t>
  </si>
  <si>
    <t>Sub-Component Owner - EM</t>
  </si>
  <si>
    <t>Sr. Engg Manager</t>
  </si>
  <si>
    <t>Sr. Engg Director</t>
  </si>
  <si>
    <t>Manager, PM</t>
  </si>
  <si>
    <t>Sr. Manager, PM</t>
  </si>
  <si>
    <t>Product Director</t>
  </si>
  <si>
    <t>Sr. Product Director</t>
  </si>
  <si>
    <t>Product VP</t>
  </si>
  <si>
    <t>SDET</t>
  </si>
  <si>
    <t>Scrum Team</t>
  </si>
  <si>
    <t>PDLC Project Key</t>
  </si>
  <si>
    <t>TPM Assigned</t>
  </si>
  <si>
    <t>Old Sub-component Name</t>
  </si>
  <si>
    <t>CRM-Lead_Assignment</t>
  </si>
  <si>
    <t>Nitesh Khadanga</t>
  </si>
  <si>
    <t>Shivam Arora</t>
  </si>
  <si>
    <t>Subhash Mohan</t>
  </si>
  <si>
    <t>Rashmi Prakash</t>
  </si>
  <si>
    <t>Gaurav Gupta</t>
  </si>
  <si>
    <t>Satyavrat Mudgil</t>
  </si>
  <si>
    <t>Komala</t>
  </si>
  <si>
    <t>Srividya Mandalapu</t>
  </si>
  <si>
    <t>CRM-Leads</t>
  </si>
  <si>
    <t>Jitendra Rahangdale</t>
  </si>
  <si>
    <t>CRM-Migration</t>
  </si>
  <si>
    <t>Mani T</t>
  </si>
  <si>
    <t>CRM-Mobile</t>
  </si>
  <si>
    <t>CRM-Task</t>
  </si>
  <si>
    <t>Jyothi Vejju</t>
  </si>
  <si>
    <t>CRM-Appointment</t>
  </si>
  <si>
    <t>CRM-Reports</t>
  </si>
  <si>
    <t>Nawaz Baba</t>
  </si>
  <si>
    <t>CRM-Dashboards</t>
  </si>
  <si>
    <t>CRM-AI</t>
  </si>
  <si>
    <t>CRM-Retail_Mobile</t>
  </si>
  <si>
    <t>Palash Sanjay Kotgirwar</t>
  </si>
  <si>
    <t>Hardik Paharia</t>
  </si>
  <si>
    <t>CRM-Sales_AI</t>
  </si>
  <si>
    <t>Preetiranjan Pradhan</t>
  </si>
  <si>
    <t>CRM-Pro</t>
  </si>
  <si>
    <t>CRM-Compliance</t>
  </si>
  <si>
    <t>Piyush Kumar</t>
  </si>
  <si>
    <t>Avin Jain</t>
  </si>
  <si>
    <t>Ashish Kalya</t>
  </si>
  <si>
    <t>Shiva Somasundaram</t>
  </si>
  <si>
    <t>CRM-Communication_Preferences</t>
  </si>
  <si>
    <t>CRM-CDM</t>
  </si>
  <si>
    <t>Siddharth Gaur</t>
  </si>
  <si>
    <t>CRM-CMS</t>
  </si>
  <si>
    <t>Campaign-Core</t>
  </si>
  <si>
    <t>Uday Jumle</t>
  </si>
  <si>
    <t>Communication-Calling</t>
  </si>
  <si>
    <t>Vikash kumar</t>
  </si>
  <si>
    <t>Jutla Manaswini</t>
  </si>
  <si>
    <t>COMM</t>
  </si>
  <si>
    <t>CRM-Communication</t>
  </si>
  <si>
    <t>Communication-Texting</t>
  </si>
  <si>
    <t>Communication-Email</t>
  </si>
  <si>
    <t>Abhinav Wagadre</t>
  </si>
  <si>
    <t>Communication-Live_Chat</t>
  </si>
  <si>
    <t>Communication-Unified_Platform</t>
  </si>
  <si>
    <t>Communication-Platform</t>
  </si>
  <si>
    <t>AP-Compliance</t>
  </si>
  <si>
    <t>Venkatesh naik</t>
  </si>
  <si>
    <t xml:space="preserve">Lohit Reddy </t>
  </si>
  <si>
    <t>Vamsee Krishna Mullapudi</t>
  </si>
  <si>
    <t>Vijayakumar B</t>
  </si>
  <si>
    <t>Shashi Kumar</t>
  </si>
  <si>
    <t>APLT</t>
  </si>
  <si>
    <t>Rahul Rathore</t>
  </si>
  <si>
    <t>Core-Compliance</t>
  </si>
  <si>
    <t>AP-Printers_ Scanners</t>
  </si>
  <si>
    <t>Priyansu Singh</t>
  </si>
  <si>
    <t>Core-PrinterScanner</t>
  </si>
  <si>
    <t>AP-Enterprise</t>
  </si>
  <si>
    <t>Aditya Pandey</t>
  </si>
  <si>
    <t>Sudeep Kapadia</t>
  </si>
  <si>
    <t>Core-Foundation</t>
  </si>
  <si>
    <t>AP-Config_Studio</t>
  </si>
  <si>
    <t>Anshika Chaturvedi</t>
  </si>
  <si>
    <t>Core-DealerConfigurations</t>
  </si>
  <si>
    <t>AP-Workflow_Engine</t>
  </si>
  <si>
    <t>Jaideep Gangwar</t>
  </si>
  <si>
    <t>Core-RuleEngine</t>
  </si>
  <si>
    <t>AP-Identity_Mgt</t>
  </si>
  <si>
    <t>Jayashri Soundararajan</t>
  </si>
  <si>
    <t>Core-IdentityManagement</t>
  </si>
  <si>
    <t>AP-Audit_Approval</t>
  </si>
  <si>
    <t>ZEBRA-Bootstrapping</t>
  </si>
  <si>
    <t>Shivam Goyal</t>
  </si>
  <si>
    <t>No PM Coverage</t>
  </si>
  <si>
    <t>ZEB</t>
  </si>
  <si>
    <t>ZEBRA-GoLiveSupport</t>
  </si>
  <si>
    <t>ZEBRA-InternalTools</t>
  </si>
  <si>
    <t>Core-InternalTools</t>
  </si>
  <si>
    <t>ARCIntegration-Accounting</t>
  </si>
  <si>
    <t>Raghavendra Pai</t>
  </si>
  <si>
    <t>Bismah Kiani</t>
  </si>
  <si>
    <t>Hanuth Singh</t>
  </si>
  <si>
    <t>Abhinandan Srinivas</t>
  </si>
  <si>
    <t>INTG</t>
  </si>
  <si>
    <t>Nishanth Nag</t>
  </si>
  <si>
    <t>ARCIntegration-Core</t>
  </si>
  <si>
    <t>Tom Jude Ammanthurutil</t>
  </si>
  <si>
    <t>ARCIntegration-CreditApp&amp;eContracting</t>
  </si>
  <si>
    <t>Mudra Surana</t>
  </si>
  <si>
    <t>Saurabh Birla</t>
  </si>
  <si>
    <t>Irfan Presswala</t>
  </si>
  <si>
    <t>ARCIntegration-CRM</t>
  </si>
  <si>
    <t>Siddharth Bountra</t>
  </si>
  <si>
    <t>ARCIntegration-DRS</t>
  </si>
  <si>
    <t>Ankush Kedia</t>
  </si>
  <si>
    <t>Suraj Jain</t>
  </si>
  <si>
    <t>ARCIntegration-F&amp;I</t>
  </si>
  <si>
    <t>Prakhar Gaur</t>
  </si>
  <si>
    <t>ARCIntegration-Parts</t>
  </si>
  <si>
    <t>D M Raj Karthick</t>
  </si>
  <si>
    <t>Uday Wadhera</t>
  </si>
  <si>
    <t>Arjun Rajeev</t>
  </si>
  <si>
    <t>ARCIntegration-Platform</t>
  </si>
  <si>
    <t>Advait Anand</t>
  </si>
  <si>
    <t>Dhanapal Mohanaswamy</t>
  </si>
  <si>
    <t>ARCIntegration-Retail</t>
  </si>
  <si>
    <t>Diksha Jain</t>
  </si>
  <si>
    <t>ARCIntegration-Service</t>
  </si>
  <si>
    <t>ARCIntegration-VinDecoding</t>
  </si>
  <si>
    <t>ARCIntegration-Payroll&amp;Cashiering</t>
  </si>
  <si>
    <t>Glenn Joseph</t>
  </si>
  <si>
    <t>Sundar Rajagopalan</t>
  </si>
  <si>
    <t>ARCIntegration-Comms</t>
  </si>
  <si>
    <t>Galaxy-Core</t>
  </si>
  <si>
    <t>Sunil Garg</t>
  </si>
  <si>
    <t>Prashant Khulbe</t>
  </si>
  <si>
    <t>Hardik Patel</t>
  </si>
  <si>
    <t>Galaxy-CMS_Decoder</t>
  </si>
  <si>
    <t>Sudhanshu Madhur</t>
  </si>
  <si>
    <t>Galaxy-US</t>
  </si>
  <si>
    <t>Galaxy-Canada</t>
  </si>
  <si>
    <t>Galaxy-UK</t>
  </si>
  <si>
    <t>Galaxy-TDP_Modernisation</t>
  </si>
  <si>
    <t>Abhijeet Singh</t>
  </si>
  <si>
    <t>TDP-Business</t>
  </si>
  <si>
    <t>Jerson Maglasang</t>
  </si>
  <si>
    <t>Retail-Desking</t>
  </si>
  <si>
    <t>Patel Abhijit Sunil</t>
  </si>
  <si>
    <t>Naman Jain</t>
  </si>
  <si>
    <t>Lokesh Suresh</t>
  </si>
  <si>
    <t>Retail-Deals</t>
  </si>
  <si>
    <t>Harish Nanjundaiah</t>
  </si>
  <si>
    <t>Avinash Kumar</t>
  </si>
  <si>
    <t>Nilesh Rana</t>
  </si>
  <si>
    <t>Retail-Vehicle_Inventory</t>
  </si>
  <si>
    <t>Bogadapati Rupesh</t>
  </si>
  <si>
    <t>Akash Upadhyay</t>
  </si>
  <si>
    <t>Retail-Pricing</t>
  </si>
  <si>
    <t>Rakesh Reddy Nallagangula</t>
  </si>
  <si>
    <t>Rishabh Dwivedi</t>
  </si>
  <si>
    <t>Retail-IMS</t>
  </si>
  <si>
    <t>Samanwita De</t>
  </si>
  <si>
    <t>Hinal Kumar Mistry</t>
  </si>
  <si>
    <t>Retail-Caviar</t>
  </si>
  <si>
    <t>Ashish Rajput</t>
  </si>
  <si>
    <t>Retail-Mobile</t>
  </si>
  <si>
    <t>Accounting-Core</t>
  </si>
  <si>
    <t>Ankita Bhandarkar</t>
  </si>
  <si>
    <t>Mudit Singhal</t>
  </si>
  <si>
    <t>Saanya Singh</t>
  </si>
  <si>
    <t>Akanksha Jadli</t>
  </si>
  <si>
    <t>Accounting-AP</t>
  </si>
  <si>
    <t>Spurthi Gouthareddy</t>
  </si>
  <si>
    <t>Jalu Ram</t>
  </si>
  <si>
    <t>Accounting-AR</t>
  </si>
  <si>
    <t>Charu Kulshrestha</t>
  </si>
  <si>
    <t>Rohith Thommandru</t>
  </si>
  <si>
    <t>Accounting-FS</t>
  </si>
  <si>
    <t>Calvin William Miranda</t>
  </si>
  <si>
    <t>Accounting-Core2</t>
  </si>
  <si>
    <t>Accounting-Platform</t>
  </si>
  <si>
    <t>Accounting-AP-Payments</t>
  </si>
  <si>
    <t>Accounting-VMS</t>
  </si>
  <si>
    <t>Abhishek Ghildiyal</t>
  </si>
  <si>
    <t>Aurum</t>
  </si>
  <si>
    <t>Payroll-V1</t>
  </si>
  <si>
    <t>Suhail Jain</t>
  </si>
  <si>
    <t>Preston Griffin</t>
  </si>
  <si>
    <t>PYRL</t>
  </si>
  <si>
    <t>Payroll-V2</t>
  </si>
  <si>
    <t>Jeremy Atkin</t>
  </si>
  <si>
    <t>Payroll-EH_V1</t>
  </si>
  <si>
    <t>Glen Joseph</t>
  </si>
  <si>
    <t>Payroll-EH_V2</t>
  </si>
  <si>
    <t>Sireesha Yakkali</t>
  </si>
  <si>
    <t>Jagadish M</t>
  </si>
  <si>
    <t>ESGN</t>
  </si>
  <si>
    <t>Kumar Gaurav</t>
  </si>
  <si>
    <t>Babu Pasupathy</t>
  </si>
  <si>
    <t>CASH</t>
  </si>
  <si>
    <t>Service-RO_Core</t>
  </si>
  <si>
    <t>Prasad Nagraj</t>
  </si>
  <si>
    <t>Darshan Dange</t>
  </si>
  <si>
    <t>Rishabh Dassani</t>
  </si>
  <si>
    <t>Alok Joshi</t>
  </si>
  <si>
    <t>Sangeetha Sharma</t>
  </si>
  <si>
    <t>Service-RO_Web</t>
  </si>
  <si>
    <t>Service-Platform</t>
  </si>
  <si>
    <t>Syed Absar Ahmad</t>
  </si>
  <si>
    <t>Amit Parpiyani</t>
  </si>
  <si>
    <t>Ayush Aditya</t>
  </si>
  <si>
    <t>Service-Scheduling</t>
  </si>
  <si>
    <t>Raj Patel</t>
  </si>
  <si>
    <t>Sivarprasad Danthuluri</t>
  </si>
  <si>
    <t>Service-Reporting</t>
  </si>
  <si>
    <t>Himani Gandhi</t>
  </si>
  <si>
    <t>Service-Setups</t>
  </si>
  <si>
    <t>Ankith NVP</t>
  </si>
  <si>
    <t>Service-Integrations</t>
  </si>
  <si>
    <t>Service-Dealer_Apps</t>
  </si>
  <si>
    <t>Jyothish</t>
  </si>
  <si>
    <t>Pranav Kothiwal</t>
  </si>
  <si>
    <t>Service-Consumer_Apps</t>
  </si>
  <si>
    <t>Faheem Ahmad</t>
  </si>
  <si>
    <t>Rakshit Agnihotri</t>
  </si>
  <si>
    <t>Service-Core</t>
  </si>
  <si>
    <t>Service-Mobile</t>
  </si>
  <si>
    <t>Service-MobilePlatform_Android</t>
  </si>
  <si>
    <t>Service-MobilePlatform_iOS</t>
  </si>
  <si>
    <t>Jayshri Soundarajan</t>
  </si>
  <si>
    <t>Service-MobilePlatform_RN</t>
  </si>
  <si>
    <t>Service-ServiceOutboundAI</t>
  </si>
  <si>
    <t>Parts-Inventory</t>
  </si>
  <si>
    <t>Jay Doshi</t>
  </si>
  <si>
    <t>Akshay Nagpurkar</t>
  </si>
  <si>
    <t>Ritesh Batra</t>
  </si>
  <si>
    <t>Sarita Surapaneni</t>
  </si>
  <si>
    <t>Venkateswara Rao Gudipati</t>
  </si>
  <si>
    <t>Parts-Physical_Inventory</t>
  </si>
  <si>
    <t>Nandu Battula</t>
  </si>
  <si>
    <t>Parts-Purchase_Order</t>
  </si>
  <si>
    <t>Snigdha Sahoo</t>
  </si>
  <si>
    <t>Hemant Agarwal</t>
  </si>
  <si>
    <t>Parts-Receiving</t>
  </si>
  <si>
    <t>Rounak Das</t>
  </si>
  <si>
    <t>Parts-Sales_Order</t>
  </si>
  <si>
    <t>Vidit Gupta</t>
  </si>
  <si>
    <t>Prajjwal Khandelwal</t>
  </si>
  <si>
    <t>Parts-Special_Order_Request</t>
  </si>
  <si>
    <t>Sumedha Sagar</t>
  </si>
  <si>
    <t>Parts-Label_Configurator</t>
  </si>
  <si>
    <t>Parts-Repair_Order_Sales</t>
  </si>
  <si>
    <t>Prajesh Sahoo</t>
  </si>
  <si>
    <t>Parts-Picklist</t>
  </si>
  <si>
    <t>Parts-Dirty_Core_Inventory</t>
  </si>
  <si>
    <t>Parts-Material_Return</t>
  </si>
  <si>
    <t>Parts-Price_Tape</t>
  </si>
  <si>
    <t>Pranjal Pushp</t>
  </si>
  <si>
    <t>Parts-Supersession</t>
  </si>
  <si>
    <t>Karthik Kameshwaran</t>
  </si>
  <si>
    <t>Parts-Setups</t>
  </si>
  <si>
    <t>Parts-APC</t>
  </si>
  <si>
    <t>Parts-Integrations</t>
  </si>
  <si>
    <t>Parts-SI</t>
  </si>
  <si>
    <t>Parts-Open_Replay</t>
  </si>
  <si>
    <t>Parts-Platform</t>
  </si>
  <si>
    <t>Parts-Reporting</t>
  </si>
  <si>
    <t>Parts-Onboarding</t>
  </si>
  <si>
    <t>PayTek-Front_Office</t>
  </si>
  <si>
    <t>Shree Ram Bansal</t>
  </si>
  <si>
    <t>Jeeth Jose, Babu Pasupathy</t>
  </si>
  <si>
    <t>PayTek-Back_Office</t>
  </si>
  <si>
    <t>Jaymil Koshiya</t>
  </si>
  <si>
    <t>Jeeth Jose, Kumar Gaurav</t>
  </si>
  <si>
    <t>HP-Registries_and_Config_Stores</t>
  </si>
  <si>
    <t>Surendra Gandham</t>
  </si>
  <si>
    <t>No PM coverage</t>
  </si>
  <si>
    <t>HPLT</t>
  </si>
  <si>
    <t>Platform-Foundations</t>
  </si>
  <si>
    <t>HP-Routing_and_Reliability</t>
  </si>
  <si>
    <t>HP-Utilities</t>
  </si>
  <si>
    <t>HP-Technologies_and_RnD</t>
  </si>
  <si>
    <t>HP-Central_Setups</t>
  </si>
  <si>
    <t>Sandhya Singh</t>
  </si>
  <si>
    <t>Platform-CentralSetups</t>
  </si>
  <si>
    <t>HP-Data_and_Content_Mgmt</t>
  </si>
  <si>
    <t>HP-Presentation_Centric_Platforms</t>
  </si>
  <si>
    <t>HP-Interaction_Platforms</t>
  </si>
  <si>
    <t>HP-Persistence</t>
  </si>
  <si>
    <t>Rushikesh</t>
  </si>
  <si>
    <t>Platform-DBAAS</t>
  </si>
  <si>
    <t>HP-Caching_and_Messaging</t>
  </si>
  <si>
    <t>Platform-Caching</t>
  </si>
  <si>
    <t>HP-UI_Platforms</t>
  </si>
  <si>
    <t>Sandesh</t>
  </si>
  <si>
    <t>Platform-UI</t>
  </si>
  <si>
    <t>HP-AI_Native</t>
  </si>
  <si>
    <t>Mrunal Chimmalagi</t>
  </si>
  <si>
    <t>Bhuvana Vanama</t>
  </si>
  <si>
    <t>APC-IEX</t>
  </si>
  <si>
    <t>Pushpam</t>
  </si>
  <si>
    <t>Shashank Jaisawal</t>
  </si>
  <si>
    <t>Pavithra Ravi</t>
  </si>
  <si>
    <t>APC-Cortex</t>
  </si>
  <si>
    <t>APC-PEX</t>
  </si>
  <si>
    <t>DataPlatform-Ingestion</t>
  </si>
  <si>
    <t>Surya Vikram</t>
  </si>
  <si>
    <t>Chevviyan K</t>
  </si>
  <si>
    <t>DPLT</t>
  </si>
  <si>
    <t>DataPlatform-Platform</t>
  </si>
  <si>
    <t>DataPlatform-Serving</t>
  </si>
  <si>
    <t>DataPlatform-DCP</t>
  </si>
  <si>
    <t>DataPlatform-ADM</t>
  </si>
  <si>
    <t>DataPlatform-CDM</t>
  </si>
  <si>
    <t>DataPlatform-RB</t>
  </si>
  <si>
    <t>DataPlatform-FC</t>
  </si>
  <si>
    <t>DataPlatform-Analytics</t>
  </si>
  <si>
    <t>DR-Secure_Checkout</t>
  </si>
  <si>
    <t>Muralidhar Devanga Karna</t>
  </si>
  <si>
    <t>Abhieraaj Chaudhary</t>
  </si>
  <si>
    <t>DGRT</t>
  </si>
  <si>
    <t>DR-Legacy</t>
  </si>
  <si>
    <t>Nirmal Sajo Thomas</t>
  </si>
  <si>
    <t>DR-AEC_Studio</t>
  </si>
  <si>
    <t>Akshay Champavat</t>
  </si>
  <si>
    <t>DR-AEC_Website_Setup</t>
  </si>
  <si>
    <t>Rohit Bhangale</t>
  </si>
  <si>
    <t>DR-SRCHAT</t>
  </si>
  <si>
    <t>Analytics-ARC</t>
  </si>
  <si>
    <t>Mani Gupta</t>
  </si>
  <si>
    <t>ANLY</t>
  </si>
  <si>
    <t>Analytics-Platform</t>
  </si>
  <si>
    <t>Analytics-Clickstream</t>
  </si>
  <si>
    <t>Analytics-Report_Builder</t>
  </si>
  <si>
    <t>Analytics-2.0</t>
  </si>
  <si>
    <t>DataEngg-Migration</t>
  </si>
  <si>
    <t>Senthilkumar V</t>
  </si>
  <si>
    <t>Dinesh Kumar Pannirselvam</t>
  </si>
  <si>
    <t>DataEngg-Migrated_Documents</t>
  </si>
  <si>
    <t>Durgesh Tiwari</t>
  </si>
  <si>
    <t>DataEngg-Conversion</t>
  </si>
  <si>
    <t>Infra-CloudOps</t>
  </si>
  <si>
    <t>Umar Farook</t>
  </si>
  <si>
    <t>Nikhil Madgavkar</t>
  </si>
  <si>
    <t>-</t>
  </si>
  <si>
    <t>Infra-DBA</t>
  </si>
  <si>
    <t>Kailash Kumawat</t>
  </si>
  <si>
    <t>Infra-SRE</t>
  </si>
  <si>
    <t>Ashish Kumar</t>
  </si>
  <si>
    <t>Infra-CloudAutomation</t>
  </si>
  <si>
    <t>Raghuram Korukonda</t>
  </si>
  <si>
    <t>Infra-FinOps</t>
  </si>
  <si>
    <t>Kaushik Hajjaji Shivaprasad</t>
  </si>
  <si>
    <t>Infra-SecOps</t>
  </si>
  <si>
    <t>Pradeep Goyal</t>
  </si>
  <si>
    <t>Infra-ML_Platform_Ops</t>
  </si>
  <si>
    <t>Infra-TOC</t>
  </si>
  <si>
    <t>Infra-NetEngg</t>
  </si>
  <si>
    <t>Tyrel Schroeder</t>
  </si>
  <si>
    <t>Infra-TCC</t>
  </si>
  <si>
    <t>Praveen Mathiyazhagan</t>
  </si>
  <si>
    <t>Hubert Dsouza</t>
  </si>
  <si>
    <t>IOT-CD</t>
  </si>
  <si>
    <t>Raja Lingam Jeeva Rethinam</t>
  </si>
  <si>
    <t>Harish Manoharan</t>
  </si>
  <si>
    <t>Venkatesh Mahalingam</t>
  </si>
  <si>
    <t>IOT-OBD</t>
  </si>
  <si>
    <t>IOT-RFID</t>
  </si>
  <si>
    <t>IOT-Sharebox</t>
  </si>
  <si>
    <t>Suhas R</t>
  </si>
  <si>
    <t>Vidya B Halanayaka</t>
  </si>
  <si>
    <t>DR_Ford-BNP</t>
  </si>
  <si>
    <t>Dharmaraj Kartikeyan</t>
  </si>
  <si>
    <t>Satendra Jain</t>
  </si>
  <si>
    <t>DR_Ford-OEM_Q2O</t>
  </si>
  <si>
    <t>DR_Ford-Dealer_Q2O</t>
  </si>
  <si>
    <t>AECIntegration-GMDRP</t>
  </si>
  <si>
    <t>Anamik Adhikary</t>
  </si>
  <si>
    <t>Abhi Thadeshwar</t>
  </si>
  <si>
    <t>M Uday Kiran Reddy</t>
  </si>
  <si>
    <t>AECIntegration-Honda</t>
  </si>
  <si>
    <t>Anandharaman Pattabiraman</t>
  </si>
  <si>
    <t>Navnika Wason</t>
  </si>
  <si>
    <t>Karuppiah Anburaja</t>
  </si>
  <si>
    <t>AECIntegration-Ford</t>
  </si>
  <si>
    <t>L&amp;D-Knowledge_Base</t>
  </si>
  <si>
    <t>DR_Honda-PCX</t>
  </si>
  <si>
    <t>Vittal DS</t>
  </si>
  <si>
    <t>AHM</t>
  </si>
  <si>
    <t>Deepak Singh</t>
  </si>
  <si>
    <t>DR_Honda-AEC_Integration</t>
  </si>
  <si>
    <t>DR_Honda-DX_OMS</t>
  </si>
  <si>
    <t>Sandeep Bansi Jumani</t>
  </si>
  <si>
    <t>DR_Honda-Deals</t>
  </si>
  <si>
    <t>DR_Honda-Desking</t>
  </si>
  <si>
    <t>DR_Honda-VI</t>
  </si>
  <si>
    <t>DR_Honda-F&amp;I</t>
  </si>
  <si>
    <t>DR_Honda-Checkout</t>
  </si>
  <si>
    <t>DR_Honda-Forms</t>
  </si>
  <si>
    <t>DR_Honda-Credit_Application</t>
  </si>
  <si>
    <t>DR_Honda-Analytics</t>
  </si>
  <si>
    <t>DR_Honda-Galaxy</t>
  </si>
  <si>
    <t>DR_Honda-CMS</t>
  </si>
  <si>
    <t>DR_Honda-eSign_Platform</t>
  </si>
  <si>
    <t>DR_Honda-eSign_Docs</t>
  </si>
  <si>
    <t>DR_Honda-OEM_Portal</t>
  </si>
  <si>
    <t>Fleet_Honda-Integration</t>
  </si>
  <si>
    <t>Viswanathan Pachaiyappan</t>
  </si>
  <si>
    <t>Fleet_Honda-Approval_Workflows</t>
  </si>
  <si>
    <t>Fleet_Honda-Forecast</t>
  </si>
  <si>
    <t>Fleet_Honda-Notification</t>
  </si>
  <si>
    <t>Fleet_Honda-Order</t>
  </si>
  <si>
    <t>Fleet_Honda-Others</t>
  </si>
  <si>
    <t>Fleet_Honda-Quote</t>
  </si>
  <si>
    <t>Fleet_Honda-Reporting_Analytics</t>
  </si>
  <si>
    <t>Fleet_Honda-Setups</t>
  </si>
  <si>
    <t>Fleet_Honda-User Access_Permissions</t>
  </si>
  <si>
    <t>OP-Setup_Mgt</t>
  </si>
  <si>
    <t>Darshan R</t>
  </si>
  <si>
    <t>Prem Bihari</t>
  </si>
  <si>
    <t>OPLT</t>
  </si>
  <si>
    <t xml:space="preserve">DLA-Setup_Management </t>
  </si>
  <si>
    <t>OP-Setup_Adoption</t>
  </si>
  <si>
    <t>DLA-Setup_FW_Adoption</t>
  </si>
  <si>
    <t>OP-Launch_Center</t>
  </si>
  <si>
    <t>Nitish Kumar</t>
  </si>
  <si>
    <t>OP-MAutomation</t>
  </si>
  <si>
    <t>OP-CAutomation</t>
  </si>
  <si>
    <t>OP-GAutomation</t>
  </si>
  <si>
    <t>OP-PLG</t>
  </si>
  <si>
    <t>Aditya Sankrantipati, Charu Papneja</t>
  </si>
  <si>
    <t>PLG</t>
  </si>
  <si>
    <t>OP-Schema_Curator</t>
  </si>
  <si>
    <t>OP-TAO</t>
  </si>
  <si>
    <t>Prajna S Puthran</t>
  </si>
  <si>
    <t>FnI-FormsPro</t>
  </si>
  <si>
    <t>Trapti Mittal</t>
  </si>
  <si>
    <t>Varun A</t>
  </si>
  <si>
    <t>Rahul Mendiretta</t>
  </si>
  <si>
    <t>FnI-eContracting</t>
  </si>
  <si>
    <t>Ayush Dash</t>
  </si>
  <si>
    <t>Muskan Singh</t>
  </si>
  <si>
    <t>FnI-eSign_Docs</t>
  </si>
  <si>
    <t>Yogesh Kumar</t>
  </si>
  <si>
    <t>FnI-Menu_DX</t>
  </si>
  <si>
    <t>Nirupam Chakrabarti</t>
  </si>
  <si>
    <t>FnI-Menu_CX</t>
  </si>
  <si>
    <t>Ankur Dubey</t>
  </si>
  <si>
    <t>FnI-DFE</t>
  </si>
  <si>
    <t>FnI-FI_Aggregator</t>
  </si>
  <si>
    <t>FnI-Compliance</t>
  </si>
  <si>
    <t>AIBDC-Agent_Application</t>
  </si>
  <si>
    <t>Akshat Gupta</t>
  </si>
  <si>
    <t>K Manu Mitraan</t>
  </si>
  <si>
    <t>AIBDC-Analytics</t>
  </si>
  <si>
    <t>AIBDC-ML_Platform</t>
  </si>
  <si>
    <t>AIBDC-ML</t>
  </si>
  <si>
    <t>AIBDC-ServiceOutboundAI</t>
  </si>
  <si>
    <t>AIBDC-Comms</t>
  </si>
  <si>
    <t>DR_Hyundai-Deals</t>
  </si>
  <si>
    <t>Aishwarya Dwivedi</t>
  </si>
  <si>
    <t>Saurabh Chaurasia</t>
  </si>
  <si>
    <t>DR_Hyundai-Desking</t>
  </si>
  <si>
    <t>DR_Hyundai-VI</t>
  </si>
  <si>
    <t>DR_Hyundai-F&amp;I</t>
  </si>
  <si>
    <t>Gowtham Sarveswaran</t>
  </si>
  <si>
    <t>Ritesh Kushwaha</t>
  </si>
  <si>
    <t>Security-SOC</t>
  </si>
  <si>
    <t>Girish G Pai</t>
  </si>
  <si>
    <t>Security-PRODSEC</t>
  </si>
  <si>
    <t>Security-CLOUDSEC</t>
  </si>
  <si>
    <t>Security-GRC</t>
  </si>
  <si>
    <t>Security-IAM</t>
  </si>
  <si>
    <t>APEX-VDP</t>
  </si>
  <si>
    <t>Chaitanya Kumar Reddy</t>
  </si>
  <si>
    <t>Sunny Dev</t>
  </si>
  <si>
    <t>Suresha</t>
  </si>
  <si>
    <t>APEX-R3Rewrite</t>
  </si>
  <si>
    <t>Richa Sharma</t>
  </si>
  <si>
    <t>Karthikeyan V</t>
  </si>
  <si>
    <t>APEX-Automations</t>
  </si>
  <si>
    <t>APEX-Taxes</t>
  </si>
  <si>
    <t>APEX-Fees</t>
  </si>
  <si>
    <t>APEX-R3_DataPipelines</t>
  </si>
  <si>
    <t>APEX-LD</t>
  </si>
  <si>
    <t>Rajath Singh</t>
  </si>
  <si>
    <t>Jason Baab</t>
  </si>
  <si>
    <t>APEX-SCP</t>
  </si>
  <si>
    <t>Karthikeyan Ponnusamy</t>
  </si>
  <si>
    <t>Eshaan Ghosh</t>
  </si>
  <si>
    <t xml:space="preserve">APEX-OEMEnhancements </t>
  </si>
  <si>
    <t>APEX-ADHOC</t>
  </si>
  <si>
    <t>ORBIT-Central</t>
  </si>
  <si>
    <t>Anandhkumar Thiyagarajan</t>
  </si>
  <si>
    <t>ORBT</t>
  </si>
  <si>
    <t>ORBIT-Agents_Skills_Plugins</t>
  </si>
  <si>
    <t>Vishal Gupta</t>
  </si>
  <si>
    <t>ORBIT-Deep_Context</t>
  </si>
  <si>
    <t>ORBIT-AIR</t>
  </si>
  <si>
    <t>ORBIT-Analytics</t>
  </si>
  <si>
    <t xml:space="preserve">ORBIT-Q </t>
  </si>
  <si>
    <t>ORBIT-Paper</t>
  </si>
  <si>
    <t>SIPlatform-Core</t>
  </si>
  <si>
    <t>Darshan Srinivas</t>
  </si>
  <si>
    <t>Dhanapal Mohanasamy</t>
  </si>
  <si>
    <t>SIP</t>
  </si>
  <si>
    <t>SIPlatform-Extensions</t>
  </si>
  <si>
    <t>SIPlatform-Configurable_UI</t>
  </si>
  <si>
    <t>SIPlatform-Custom_Fields</t>
  </si>
  <si>
    <t>TOC_Horizontal-Biz_Integrations</t>
  </si>
  <si>
    <t>Thiyagu Kothandan</t>
  </si>
  <si>
    <t>Venugopal Malyala</t>
  </si>
  <si>
    <t>Rajavijayan</t>
  </si>
  <si>
    <t>Srinivas Lingutla</t>
  </si>
  <si>
    <t>Jagadesh</t>
  </si>
  <si>
    <t>TOC_Horizontal-Biz_Lite_Apps</t>
  </si>
  <si>
    <t>C Sricharan</t>
  </si>
  <si>
    <t> </t>
  </si>
  <si>
    <t>TOC_Horizontal-Master_Data_Management</t>
  </si>
  <si>
    <t>Mahesh Kumar K R</t>
  </si>
  <si>
    <t>TOC_Horizontal-Platform</t>
  </si>
  <si>
    <t>Vigneshwar Nellaiyappan</t>
  </si>
  <si>
    <t>Manohar Veera</t>
  </si>
  <si>
    <t>TOC_Horizontal-Biz_Data_Analytics</t>
  </si>
  <si>
    <t>Siva MS</t>
  </si>
  <si>
    <t>TOC_Horizontal-Performance</t>
  </si>
  <si>
    <t>Aravind R</t>
  </si>
  <si>
    <t>TOC_Horizontal-Event_Campaign_Management_System_(ECMS)</t>
  </si>
  <si>
    <t>Deenan Ravindra</t>
  </si>
  <si>
    <t>TOC-Task_Management</t>
  </si>
  <si>
    <t>Nagendra Yadav</t>
  </si>
  <si>
    <t>Sundari</t>
  </si>
  <si>
    <t>TOC-PSA _IM_ST</t>
  </si>
  <si>
    <t>Prakash Ravindran</t>
  </si>
  <si>
    <t>Bharath P Narayan</t>
  </si>
  <si>
    <t>Thilakgowtham T N</t>
  </si>
  <si>
    <t>TOC-PSA _AEC</t>
  </si>
  <si>
    <t>Micheal Rackmann</t>
  </si>
  <si>
    <t>TOC-PSA _Timesheet</t>
  </si>
  <si>
    <t>Shalini Shakthivel</t>
  </si>
  <si>
    <t>TOC-PSA_PRISM</t>
  </si>
  <si>
    <t>Raj Mohan Jayakumar</t>
  </si>
  <si>
    <t>Siva</t>
  </si>
  <si>
    <t>TOC-Success_AM</t>
  </si>
  <si>
    <t>Surendar</t>
  </si>
  <si>
    <t>Praveen G</t>
  </si>
  <si>
    <t>TOC-PSA_DTM</t>
  </si>
  <si>
    <t>Mahadeer M</t>
  </si>
  <si>
    <t>TOC-Support_Center</t>
  </si>
  <si>
    <t>Srinivasan S</t>
  </si>
  <si>
    <t>Keerthikumaran A, Aiswarya Ragavi S</t>
  </si>
  <si>
    <t>Balaji J</t>
  </si>
  <si>
    <t>Polu Karthik</t>
  </si>
  <si>
    <t>TOC-Support_Agent</t>
  </si>
  <si>
    <t>TOC-Support_Integrations</t>
  </si>
  <si>
    <t>TOC-Support_Operations</t>
  </si>
  <si>
    <t>Kiruthika N</t>
  </si>
  <si>
    <t>Keerthikumaran A</t>
  </si>
  <si>
    <t>TOC-Support_AI_Adoption</t>
  </si>
  <si>
    <t>Aiswarya Ragavi S</t>
  </si>
  <si>
    <t>TOC-ARC</t>
  </si>
  <si>
    <t>TOC-Mobile_App</t>
  </si>
  <si>
    <t>Jeya kumar</t>
  </si>
  <si>
    <t>TOC-Website</t>
  </si>
  <si>
    <t>TOC-SalesForce</t>
  </si>
  <si>
    <t>Abhilash</t>
  </si>
  <si>
    <t>Venkat Yennam</t>
  </si>
  <si>
    <t>TOC-Netsuite</t>
  </si>
  <si>
    <t>Jayashree</t>
  </si>
  <si>
    <t>TOC-Partner_Portal</t>
  </si>
  <si>
    <t>Nujita Gutha</t>
  </si>
  <si>
    <t>TOC-Product_Reporting</t>
  </si>
  <si>
    <t>TOC-Superset</t>
  </si>
  <si>
    <t>TOC-Role_Management</t>
  </si>
  <si>
    <t>TOC-Core</t>
  </si>
  <si>
    <t>AIE_Platform-GenAI</t>
  </si>
  <si>
    <t>Saiswaroop Konduru</t>
  </si>
  <si>
    <t>AIPL</t>
  </si>
  <si>
    <t>AIE_Platform-ClassicalML</t>
  </si>
  <si>
    <t>AIE_Platform_ServiceAIBDC</t>
  </si>
  <si>
    <t>Aniket Chhabra</t>
  </si>
  <si>
    <t>AIE_Platform-ServiceAgents</t>
  </si>
  <si>
    <t>AIE_Platform-Sales</t>
  </si>
  <si>
    <t>AIE_Platform-CRMPro</t>
  </si>
  <si>
    <t>AIE_Platform-CRMBase</t>
  </si>
  <si>
    <t>AIE_Platform-UML</t>
  </si>
  <si>
    <t>AIE_Platform-T1</t>
  </si>
  <si>
    <t>AIE_Platform-SCP</t>
  </si>
  <si>
    <t>DR_GM-VSR</t>
  </si>
  <si>
    <t>Sumit Kumar Bansal</t>
  </si>
  <si>
    <t>Laura Howard</t>
  </si>
  <si>
    <t>Sasi Sekaran Chandra Leela</t>
  </si>
  <si>
    <t>GM</t>
  </si>
  <si>
    <t>Preeti Anandan</t>
  </si>
  <si>
    <t>DR_GM-FE_Platform</t>
  </si>
  <si>
    <t>DR_GM-VDP</t>
  </si>
  <si>
    <t>Ankur Priyam</t>
  </si>
  <si>
    <t>DR_GM-LeadForms</t>
  </si>
  <si>
    <t>DR_GM-Configurator</t>
  </si>
  <si>
    <t>Naveen S</t>
  </si>
  <si>
    <t>Mohammad Furqan Mir</t>
  </si>
  <si>
    <t>DR_GM-Myaccounts</t>
  </si>
  <si>
    <t>DR_GM-Appointments</t>
  </si>
  <si>
    <t>DR_GM-WebsiteSetup</t>
  </si>
  <si>
    <t>DR_GM-Ingestion_Discovery</t>
  </si>
  <si>
    <t>Ankur Jain</t>
  </si>
  <si>
    <t>DR_GM-OMS</t>
  </si>
  <si>
    <t>DR_GM-Pricing</t>
  </si>
  <si>
    <t>DR_GM-CustomApps_IC</t>
  </si>
  <si>
    <t>Hunny Mittal</t>
  </si>
  <si>
    <t>Amit Bahedia</t>
  </si>
  <si>
    <t>DR_GM-CustomApps_VI</t>
  </si>
  <si>
    <t>Simran L</t>
  </si>
  <si>
    <t>Akshay Gupta</t>
  </si>
  <si>
    <t>DR_GM-CustomApps_CS</t>
  </si>
  <si>
    <t>DR_GM-CustomApps_Setups</t>
  </si>
  <si>
    <t>DR_GM-SCX_V2</t>
  </si>
  <si>
    <t>DR_GM-SC_IC_VI</t>
  </si>
  <si>
    <t>DR_GM-SC_F&amp;I_Forms</t>
  </si>
  <si>
    <t>DR_GM-SC_Pricing</t>
  </si>
  <si>
    <t>DR_GM-SC_Deals</t>
  </si>
  <si>
    <t>DR_GM-SCX_V1</t>
  </si>
  <si>
    <t>DR_GM-Int_V1</t>
  </si>
  <si>
    <t>DR_GM-Int_V2</t>
  </si>
  <si>
    <t>DR_GM-CustomApps_POQ</t>
  </si>
  <si>
    <t>Marichetty Venkata Teja Vaibhav</t>
  </si>
  <si>
    <t>DR_GM-CustomApps_PI</t>
  </si>
  <si>
    <t>DR_GM-CustomApps_D360</t>
  </si>
  <si>
    <t>DR_GM-CustomApps_Reports</t>
  </si>
  <si>
    <t>DR_GM-CustomApps_Platform</t>
  </si>
  <si>
    <t>DR_GM-Analytics_2.0</t>
  </si>
  <si>
    <t>DR_GM-Custom_Emails</t>
  </si>
  <si>
    <t>DR_GM-Sales Cloud Platform</t>
  </si>
  <si>
    <t>DR_GM-Sales_Cloud_CRM</t>
  </si>
  <si>
    <t>DR_GM-AEO_GEO</t>
  </si>
  <si>
    <t>DR_GM-OEM_Agentic_AI</t>
  </si>
  <si>
    <t>DR_GM-DRP_Integrations</t>
  </si>
  <si>
    <t>DR_GM-3rd_Party_Chat_Integration</t>
  </si>
  <si>
    <t>DR_GM-Observability</t>
  </si>
  <si>
    <t>AIE_Core-Vision</t>
  </si>
  <si>
    <t>AIE_Core-ServiceAIBDC</t>
  </si>
  <si>
    <t>AIE_Core-ServiceAgents</t>
  </si>
  <si>
    <t>AIE_Core-Sales</t>
  </si>
  <si>
    <t>AIE_Core-CRMPro</t>
  </si>
  <si>
    <t>AIE_Core-CRMBase</t>
  </si>
  <si>
    <t>AIE_Core-UML</t>
  </si>
  <si>
    <t>AIE_Core-RnD</t>
  </si>
  <si>
    <t>AIE_Core-ServiceOutboundAI</t>
  </si>
  <si>
    <t>Shivani Jakhmola</t>
  </si>
  <si>
    <t>AIE_Core-Adhoc</t>
  </si>
  <si>
    <t>AIE_Core-SCP</t>
  </si>
  <si>
    <t>AIE_Core-T1</t>
  </si>
  <si>
    <t>Shourya Shukla</t>
  </si>
  <si>
    <t>AI_Core-ServiceAgents</t>
  </si>
  <si>
    <t>Shivendra Kumar</t>
  </si>
  <si>
    <t>AI</t>
  </si>
  <si>
    <t>AI_Core-ServiceAIBDC</t>
  </si>
  <si>
    <t>AI_Core-CRMBase</t>
  </si>
  <si>
    <t>AI_Core-Sales</t>
  </si>
  <si>
    <t>AI_Core-CRMPro</t>
  </si>
  <si>
    <t>AI_Core-UML</t>
  </si>
  <si>
    <t>AI_Core-RnD</t>
  </si>
  <si>
    <t>AI_Core-Adhoc</t>
  </si>
  <si>
    <t>AI_Core-SCP</t>
  </si>
  <si>
    <t>AI_Core-ServiceOutboundAI</t>
  </si>
  <si>
    <t>AI_Core-T1</t>
  </si>
  <si>
    <t>AI_Core-Vision</t>
  </si>
  <si>
    <t>T1-Platform</t>
  </si>
  <si>
    <t>Satya Prasad Pamula</t>
  </si>
  <si>
    <t>Swetha Sundarraj</t>
  </si>
  <si>
    <t>Anil Kumar GK</t>
  </si>
  <si>
    <t>T1PL</t>
  </si>
  <si>
    <t>T1-Tools</t>
  </si>
  <si>
    <t>T1-Skills</t>
  </si>
  <si>
    <t>AEPlatform-Core</t>
  </si>
  <si>
    <t>Shruti Agarwal</t>
  </si>
  <si>
    <t>Satendra Kumar Jain</t>
  </si>
  <si>
    <t>AEP</t>
  </si>
  <si>
    <t>AEPlatform-Platform</t>
  </si>
  <si>
    <t>AEPlatform-Retail</t>
  </si>
  <si>
    <t>Srijata Chakraborty</t>
  </si>
  <si>
    <t>AEPlatform-Galaxy</t>
  </si>
  <si>
    <t>AEPlatform-FNI</t>
  </si>
  <si>
    <t>John Gonsalves</t>
  </si>
  <si>
    <t>AEPlatform-CRM</t>
  </si>
  <si>
    <t>AEPlatform-DR</t>
  </si>
  <si>
    <t>AEPlatform-Chat</t>
  </si>
  <si>
    <t>AEPlatform-eSign_Platform</t>
  </si>
  <si>
    <t>AEPlatform-Cashiering</t>
  </si>
  <si>
    <t>AEPlatform-AEC_Integration</t>
  </si>
  <si>
    <t>AEPlatform-Dealer_Onboarding</t>
  </si>
  <si>
    <t>AEPlatform-VI</t>
  </si>
  <si>
    <t>Data_Services-VDP</t>
  </si>
  <si>
    <t>Data_Services-R3</t>
  </si>
  <si>
    <t>Data_Services-Taxes</t>
  </si>
  <si>
    <t>Data_Services-Fees</t>
  </si>
  <si>
    <t>Data_Services-SCP</t>
  </si>
  <si>
    <t>Raghav Madhok</t>
  </si>
  <si>
    <t>AMC-Platform</t>
  </si>
  <si>
    <t>Anurag Hazarika</t>
  </si>
  <si>
    <t>Saurabh Pandey</t>
  </si>
  <si>
    <t>Business_Continuity</t>
  </si>
  <si>
    <t>Business_Continuity-DR</t>
  </si>
  <si>
    <t>Suhail Rahman</t>
  </si>
  <si>
    <t>Jason Tecson</t>
  </si>
  <si>
    <t>Teza Mukkavalli</t>
  </si>
  <si>
    <t>BCMS</t>
  </si>
  <si>
    <t>Project / Space</t>
  </si>
  <si>
    <t xml:space="preserve">Past Velocity </t>
  </si>
  <si>
    <t>Sprint Capacity</t>
  </si>
  <si>
    <t>Monthly Capacity for Calc</t>
  </si>
  <si>
    <t>Discrepancy?</t>
  </si>
  <si>
    <t>Actual Monthly Capacity</t>
  </si>
  <si>
    <t>VP</t>
  </si>
  <si>
    <t>Teams</t>
  </si>
  <si>
    <t>May-25</t>
  </si>
  <si>
    <t>Jun-25</t>
  </si>
  <si>
    <t>Jul-25</t>
  </si>
  <si>
    <t>Velocity</t>
  </si>
  <si>
    <t>Refresh?</t>
  </si>
  <si>
    <t>AI Platform</t>
  </si>
  <si>
    <t>Data Platform Engineering</t>
  </si>
  <si>
    <t>Onboarding Platforms</t>
  </si>
  <si>
    <t>Digital Retailing</t>
  </si>
  <si>
    <t>Honda AHM</t>
  </si>
  <si>
    <t>IOT Engg</t>
  </si>
  <si>
    <t>Orbit</t>
  </si>
  <si>
    <t>Horizontal Platforms</t>
  </si>
  <si>
    <t>SI Platform</t>
  </si>
  <si>
    <t>AECPlatform / DGRT</t>
  </si>
  <si>
    <t>eSign Platform</t>
  </si>
  <si>
    <t>Tekion</t>
  </si>
  <si>
    <t>Scrum Team Name</t>
  </si>
  <si>
    <t>Capacity per Sprint per ST</t>
  </si>
  <si>
    <t>Capacity per Month</t>
  </si>
  <si>
    <t>Sub-Component1</t>
  </si>
  <si>
    <t>Sub-Component2</t>
  </si>
  <si>
    <t>Sub-Component3</t>
  </si>
  <si>
    <t>Sub-Component4</t>
  </si>
  <si>
    <t>Sub-Component5</t>
  </si>
  <si>
    <t>Sub-Component6</t>
  </si>
  <si>
    <t>Sub-Component7</t>
  </si>
  <si>
    <t>Sub-Component8</t>
  </si>
  <si>
    <t>Sub-Component9</t>
  </si>
  <si>
    <t>Sub-Component10</t>
  </si>
  <si>
    <t>Sub-Component11</t>
  </si>
  <si>
    <t>Sub-Component12</t>
  </si>
  <si>
    <t>Program</t>
  </si>
  <si>
    <t>EM</t>
  </si>
  <si>
    <t>Scrum Master [Lead/EM]</t>
  </si>
  <si>
    <t>Product POC</t>
  </si>
  <si>
    <t>Designer</t>
  </si>
  <si>
    <t>Developers</t>
  </si>
  <si>
    <t>Architect
(from Architect Roster)</t>
  </si>
  <si>
    <t>Scrum Team Completion Score</t>
  </si>
  <si>
    <t>Scrum Board Created</t>
  </si>
  <si>
    <t>Automated?</t>
  </si>
  <si>
    <t>EVP</t>
  </si>
  <si>
    <t>ED</t>
  </si>
  <si>
    <t>Scrum Board</t>
  </si>
  <si>
    <t>Filter</t>
  </si>
  <si>
    <t>Gold</t>
  </si>
  <si>
    <t>All</t>
  </si>
  <si>
    <t>Yash Gupta, Mudit</t>
  </si>
  <si>
    <t>Bismah, Saanya</t>
  </si>
  <si>
    <t>Anil Sharma,
Shreyansh Jain,
Shreyan Kashyap,
Sainya Goyal,
Robin Jaiswal,
Yashwant Kumar,
Nitish Kumar Garg,
Parth Prajapati,
Monit Dengi,
Raja Yash Vijaykumar,
Yash Gupta</t>
  </si>
  <si>
    <t>Dhanesh Sharma</t>
  </si>
  <si>
    <t>Yes</t>
  </si>
  <si>
    <t>https://tekion.atlassian.net/jira/software/c/projects/ACCT/boards/9299/backlog</t>
  </si>
  <si>
    <t>https://tekion.atlassian.net/issues/?filter=41805</t>
  </si>
  <si>
    <t>Helium</t>
  </si>
  <si>
    <t>Ankita, Mudit</t>
  </si>
  <si>
    <t>Saanya</t>
  </si>
  <si>
    <t>Akilash, Elancheran</t>
  </si>
  <si>
    <t>Shourya Kohli,
Rahul Kumar,
Akash Jain,
Aneesh Pradeep Mulay,
Pawan Harwani,
Nikhil Jha,
Sahaj Gupta,
Pagadala Narayana</t>
  </si>
  <si>
    <t>https://tekion.atlassian.net/jira/software/c/projects/ACCT/boards/9296/backlog</t>
  </si>
  <si>
    <t>https://tekion.atlassian.net/issues/?filter=41803</t>
  </si>
  <si>
    <t>Hydrogen</t>
  </si>
  <si>
    <t>Mudit</t>
  </si>
  <si>
    <t>Sourabh Sankare, Saanya</t>
  </si>
  <si>
    <t>Udhaykumar S, Prathima</t>
  </si>
  <si>
    <t>Gajji Mallikarjun,
Jyoti Sharma,
Ashu Singla,
A R Prashanth,
Kashish Sharma</t>
  </si>
  <si>
    <t>Priyanshu Sinha</t>
  </si>
  <si>
    <t>https://tekion.atlassian.net/jira/software/c/projects/ACCT/boards/9294/backlog</t>
  </si>
  <si>
    <t>https://tekion.atlassian.net/issues/?filter=41798</t>
  </si>
  <si>
    <t>Oxygen</t>
  </si>
  <si>
    <t>Fahad, Saanya</t>
  </si>
  <si>
    <t>Akash Kumar,
Ankit Jangid,
Ayush khandelwal,
Harsh Mishra,
Rahul Kumar Singh,
Sachin Agarwal,
Kiran Tadisetti</t>
  </si>
  <si>
    <t>https://tekion.atlassian.net/jira/software/c/projects/ACCT/boards/9295/backlog</t>
  </si>
  <si>
    <t>https://tekion.atlassian.net/issues/?filter=41802</t>
  </si>
  <si>
    <t>Platinum</t>
  </si>
  <si>
    <t>Spurthi &amp; Charu, Mudit</t>
  </si>
  <si>
    <t>Payal Jain, Saanya</t>
  </si>
  <si>
    <t>Suraj Giri</t>
  </si>
  <si>
    <t>Yash Parashar,
Dhvanil Vadher,
Snehith Reddy Patlolla,
Pravesh Vyas,
Mahendar Singh Rathod,
Kripa Sindhu Bairagi,
Deepak Agarwal,
Charu Kulshrestha</t>
  </si>
  <si>
    <t>https://tekion.atlassian.net/jira/software/c/projects/ACCT/boards/9298/backlog</t>
  </si>
  <si>
    <t>https://tekion.atlassian.net/issues/?filter=41804</t>
  </si>
  <si>
    <t>Spurthi</t>
  </si>
  <si>
    <t>Rohit Kumar , Anjali Taksali</t>
  </si>
  <si>
    <t>Yashwant Kumar</t>
  </si>
  <si>
    <t>AEP Chat</t>
  </si>
  <si>
    <t>NA</t>
  </si>
  <si>
    <t>Hemant Upasak, Aniket Singh</t>
  </si>
  <si>
    <t>AEP Checkout</t>
  </si>
  <si>
    <t>Saichandana S</t>
  </si>
  <si>
    <t>Arpan Pandey, Parth Tyagi, Prince Jayaseelan C, Saichandana S</t>
  </si>
  <si>
    <t>https://tekion.atlassian.net/jira/software/c/projects/AEP/boards/14430</t>
  </si>
  <si>
    <t>https://tekion.atlassian.net/issues?filter=58754</t>
  </si>
  <si>
    <t>AEP Core</t>
  </si>
  <si>
    <t>Ashish Bhounsle</t>
  </si>
  <si>
    <t>Vishesh Kumar Jyani, Aman Panwar, Aayush Maurya, Shubham Chaudhary, Ishan Dube, Sunny Chaturvedi, Ashish Bhounsle</t>
  </si>
  <si>
    <t>AEP Retail</t>
  </si>
  <si>
    <t>Jagdish Chaudhary, Ravikant Vaishnav, Raviteja Kamalapuram, Aayush Sinha, Guhan Murugesan, Dhinesh Kumar B, Piyush Gurjar, Ravi Raj</t>
  </si>
  <si>
    <t>AEP FnI</t>
  </si>
  <si>
    <t>AEP Pricing</t>
  </si>
  <si>
    <t>AEP VI</t>
  </si>
  <si>
    <t>AI-Generic</t>
  </si>
  <si>
    <t>No</t>
  </si>
  <si>
    <t>Jagat, Sarthak, Dhruv, Rutvik,, Shubham</t>
  </si>
  <si>
    <t>https://tekion.atlassian.net/jira/software/c/projects/AI/boards/13349</t>
  </si>
  <si>
    <t>https://tekion.atlassian.net/issues?filter=52500</t>
  </si>
  <si>
    <t>AI-Retail</t>
  </si>
  <si>
    <t>Preetiranjan</t>
  </si>
  <si>
    <t>Nikhil Khetan, Shashank, Samriddh, Jagat Bhatt, Tejas, Tushar</t>
  </si>
  <si>
    <t>https://tekion.atlassian.net/jira/software/c/projects/AI/boards/13348</t>
  </si>
  <si>
    <t>https://tekion.atlassian.net/issues?filter=52499</t>
  </si>
  <si>
    <t>AI-SCP</t>
  </si>
  <si>
    <t>Basavaraj , Amit Kumar Sharma</t>
  </si>
  <si>
    <t>https://tekion.atlassian.net/jira/software/c/projects/AI/boards/13350</t>
  </si>
  <si>
    <t>https://tekion.atlassian.net/issues?filter=52501</t>
  </si>
  <si>
    <t>AI-Service</t>
  </si>
  <si>
    <t>Eshaan/Aniket</t>
  </si>
  <si>
    <t>Vineeta</t>
  </si>
  <si>
    <t>Rutvik, Piyush</t>
  </si>
  <si>
    <t>https://tekion.atlassian.net/jira/software/c/projects/AI/boards/13347</t>
  </si>
  <si>
    <t>https://tekion.atlassian.net/issues?filter=52497</t>
  </si>
  <si>
    <t>Tushar Gupta</t>
  </si>
  <si>
    <t>Rounak Agarwal, Saptak Sengupta, Akshay Choulwar, Neeraj Prasadd, Hitesh Kumar, Shubham Choudhary</t>
  </si>
  <si>
    <t>Mukesh Bansal, 
Anuj Vaijapurkar</t>
  </si>
  <si>
    <t>https://tekion.atlassian.net/jira/software/c/projects/AIB/boards/6983</t>
  </si>
  <si>
    <t>https://tekion.atlassian.net/issues/?filter=38769</t>
  </si>
  <si>
    <t>AIE-Generic</t>
  </si>
  <si>
    <t>https://tekion.atlassian.net/jira/software/c/projects/AIPL/boards/13353/backlog</t>
  </si>
  <si>
    <t>https://tekion.atlassian.net/issues?filter=52504</t>
  </si>
  <si>
    <t>AIE-Retail</t>
  </si>
  <si>
    <t>https://tekion.atlassian.net/jira/software/c/projects/AIPL/boards/13352/backlog</t>
  </si>
  <si>
    <t>https://tekion.atlassian.net/issues?filter=52503</t>
  </si>
  <si>
    <t>AIE-Service</t>
  </si>
  <si>
    <t>Abhishek, Sushant, Karthikeya</t>
  </si>
  <si>
    <t>https://tekion.atlassian.net/jira/software/c/projects/AIPL/boards/13351/backlog</t>
  </si>
  <si>
    <t>https://tekion.atlassian.net/issues?filter=52502</t>
  </si>
  <si>
    <t>Harshit, Kashyap, Chitranshu, Suman, Sadiq</t>
  </si>
  <si>
    <t>https://tekion.atlassian.net/jira/software/c/projects/AIPL/boards/13354/backlog</t>
  </si>
  <si>
    <t>https://tekion.atlassian.net/issues?filter=52505</t>
  </si>
  <si>
    <t>Analytics-Eng</t>
  </si>
  <si>
    <t>Sushant Kumar</t>
  </si>
  <si>
    <t>Deepak Kumar</t>
  </si>
  <si>
    <t>Udgeeth Aggarwal, Amit Kumar, Tanushree Panpalia, Vamshi Chennoju, Aaryamaan Singh Chauhan, Karan Nainwal, Anand Kumar, Pratim Kundu, Divas Kumar, Nihar Sanjeev Kumar Srivastava, Deepan Agrawal</t>
  </si>
  <si>
    <t>Venkateswarlu</t>
  </si>
  <si>
    <t>IEX</t>
  </si>
  <si>
    <t>Pushpam V</t>
  </si>
  <si>
    <t>Vinoth</t>
  </si>
  <si>
    <t>Annie</t>
  </si>
  <si>
    <t>Niranjan</t>
  </si>
  <si>
    <t>Deep Gajera
Piyush Somani
Jaymeen Kachrola
Sejal Mehta
Swapnil Gupta
SivaDatta M
Sriman Narayana Kakkunur
Hari Krishna K</t>
  </si>
  <si>
    <t>Mahin Agrawal</t>
  </si>
  <si>
    <t>https://tekion.atlassian.net/jira/software/c/projects/APC/boards/9330</t>
  </si>
  <si>
    <t>https://tekion.atlassian.net/issues/?filter=41867</t>
  </si>
  <si>
    <t>PEX</t>
  </si>
  <si>
    <t>Pavithra</t>
  </si>
  <si>
    <t>Rupesh Khattar
Rohan Kumar Jha
Aditya Gujrati 
Prashant Jakhad
 Jaydeep Kakadiya
Apurv Thakur
Vidushi Tiwari  
Jaydeep Meena</t>
  </si>
  <si>
    <t>https://tekion.atlassian.net/jira/software/c/projects/APC/boards/9331</t>
  </si>
  <si>
    <t>https://tekion.atlassian.net/issues/?filter=41868</t>
  </si>
  <si>
    <t>Cortex</t>
  </si>
  <si>
    <t>Jaymeen Kachrola
Rohan Kumar Jha
Piyush Somani
Swapnil Gupta
Vidushi Tiwari  
Sriman Narayana Kakkunuri</t>
  </si>
  <si>
    <t>https://tekion.atlassian.net/jira/software/c/projects/APC/boards/17459</t>
  </si>
  <si>
    <t>R3, LD &amp; Automation</t>
  </si>
  <si>
    <t>Shubham Namdeo</t>
  </si>
  <si>
    <t>Rajat Singh , TBH</t>
  </si>
  <si>
    <t>Sujitra</t>
  </si>
  <si>
    <t>Shubham, Dileepkumar Reddy, Rishika Reddy, Manishkumar V</t>
  </si>
  <si>
    <t>https://tekion.atlassian.net/jira/software/c/projects/APEX/boards/12148</t>
  </si>
  <si>
    <t>https://tekion.atlassian.net/issues/?filter=46533</t>
  </si>
  <si>
    <t>SCP</t>
  </si>
  <si>
    <t>Bagepalli Goutham, Sivakumaaran M, Chandan R</t>
  </si>
  <si>
    <t>https://tekion.atlassian.net/jira/software/c/projects/APEX/boards/12150</t>
  </si>
  <si>
    <t>https://tekion.atlassian.net/issues/?filter=46535</t>
  </si>
  <si>
    <t>Tax &amp; Fee</t>
  </si>
  <si>
    <t>Saloni Khandelwal</t>
  </si>
  <si>
    <t>Dustin Rocha</t>
  </si>
  <si>
    <t>Anetthala Bhanu Prakash</t>
  </si>
  <si>
    <t>Saloni, Yash Pareskh, TBH, TBD</t>
  </si>
  <si>
    <t>https://tekion.atlassian.net/jira/software/c/projects/APEX/boards/12149</t>
  </si>
  <si>
    <t>https://tekion.atlassian.net/issues/?filter=46534</t>
  </si>
  <si>
    <t>VDP &amp; Rewrite</t>
  </si>
  <si>
    <t>Anudeep Vishwakarma</t>
  </si>
  <si>
    <t>Akash Upadhyay, TBH</t>
  </si>
  <si>
    <t>Suresha R.Y.</t>
  </si>
  <si>
    <t>Anudeep, Rohit Pandey, Pravin Kumar, Soumya Guptha</t>
  </si>
  <si>
    <t>https://tekion.atlassian.net/jira/software/c/projects/APEX/boards/12147</t>
  </si>
  <si>
    <t>https://tekion.atlassian.net/issues/?filter=46532</t>
  </si>
  <si>
    <t>Audit &amp; Approval</t>
  </si>
  <si>
    <t>Sudeep</t>
  </si>
  <si>
    <t>Shalini</t>
  </si>
  <si>
    <t>Brighu Raina
Gurjeet Singh Dhillon
Abhishek Soni
Vaibhav Galle
Sumit Pal</t>
  </si>
  <si>
    <t>Allwin S, Jayaprakash Chandrasekaran</t>
  </si>
  <si>
    <t>https://tekion.atlassian.net/jira/software/c/projects/APLT/boards/9335</t>
  </si>
  <si>
    <t>https://tekion.atlassian.net/issues/?filter=41856</t>
  </si>
  <si>
    <t>Compliance</t>
  </si>
  <si>
    <t>Venkatesh Naik</t>
  </si>
  <si>
    <t>Suhas</t>
  </si>
  <si>
    <t>Praveen</t>
  </si>
  <si>
    <t>Kishan
Alka Bharti
Aman Jha</t>
  </si>
  <si>
    <t>https://tekion.atlassian.net/jira/software/c/projects/APLT/boards/9332</t>
  </si>
  <si>
    <t>https://tekion.atlassian.net/issues/?filter=41852</t>
  </si>
  <si>
    <t>Configuration Studio</t>
  </si>
  <si>
    <t>Ragini Yadav</t>
  </si>
  <si>
    <t>Vijay KB</t>
  </si>
  <si>
    <t>Deepa</t>
  </si>
  <si>
    <t>Akshay Kanyan
Rahul Singh
Jay Prakash
Ankit Kumar (June 4th)
Rajkumar N.</t>
  </si>
  <si>
    <t>https://tekion.atlassian.net/jira/software/c/projects/APLT/boards/9339</t>
  </si>
  <si>
    <t>https://tekion.atlassian.net/issues/?filter=50021</t>
  </si>
  <si>
    <t>Enterprise</t>
  </si>
  <si>
    <t>Anshika</t>
  </si>
  <si>
    <t>Shweta, Jitendra</t>
  </si>
  <si>
    <t>Balamurugan TS
Raushan Kumar
Amar Narute
Aditya Barve
Harjeet Singh
Sukrit Akhauri
Tushar Gupta
Amit Lalwani</t>
  </si>
  <si>
    <t>https://tekion.atlassian.net/jira/software/c/projects/APLT/boards/9336</t>
  </si>
  <si>
    <t>https://tekion.atlassian.net/issues/?filter=41858</t>
  </si>
  <si>
    <t>Identity Management</t>
  </si>
  <si>
    <t>Ratnadeep Das</t>
  </si>
  <si>
    <t>Sougata</t>
  </si>
  <si>
    <t>Sarthak Yadav
Harsh Rawat
Satyam Kumar
Dhanush P M Naik
Vaibhav Tomar</t>
  </si>
  <si>
    <t>https://tekion.atlassian.net/jira/software/c/projects/APLT/boards/13836</t>
  </si>
  <si>
    <t>https://tekion.atlassian.net/issues/?filter=55293</t>
  </si>
  <si>
    <t>Printers &amp; Scanners</t>
  </si>
  <si>
    <t>AP-Printers_Scanners</t>
  </si>
  <si>
    <t>Lohith</t>
  </si>
  <si>
    <t>Viraj Patel
Raghu Ram Reddy T
Anand Pandey
Sagar Kumar
Fareha Shakoor</t>
  </si>
  <si>
    <t>https://tekion.atlassian.net/jira/software/c/projects/APLT/boards/9338</t>
  </si>
  <si>
    <t>https://tekion.atlassian.net/issues/?filter=41860</t>
  </si>
  <si>
    <t>Workflow Engine</t>
  </si>
  <si>
    <t>Shwetha Sundarraj</t>
  </si>
  <si>
    <t>Maria</t>
  </si>
  <si>
    <t>Chandra Mouli Gupta
Robin Thomas
Riya Varyani
Aman kumar Jaiswal
Khushi mittal</t>
  </si>
  <si>
    <t>https://tekion.atlassian.net/jira/software/c/projects/APLT/boards/9337</t>
  </si>
  <si>
    <t>https://tekion.atlassian.net/issues/?filter=51612</t>
  </si>
  <si>
    <t>Credit &amp; FNI Integrations</t>
  </si>
  <si>
    <t>Shreya Prakash/
Raghavendra Pai</t>
  </si>
  <si>
    <t>Credit App - Anandharaman Pattabiraman,
FNI - Dinesh Kumar Kanakala,
Accounting - Sanya Singh,
Core - Prem Bihari,
Payments - Kumar Gaurav,
Payroll - Glen Joseph</t>
  </si>
  <si>
    <t>Teja Sree,
Automation QA - 1</t>
  </si>
  <si>
    <t>Vignesh Kirubanandam,
Miral Pareshkumar Modi,
Aarnav Rastogi,
Gopal Singh,
Vidhika Sirwani,
Abhijit Mohapatra,
Contractor - 5,
Software Engineer I - 1</t>
  </si>
  <si>
    <t>INTG05-Credit &amp; FNI Integrations - Backlog - JIRA</t>
  </si>
  <si>
    <t>https://tekion.atlassian.net/issues/?filter=45268</t>
  </si>
  <si>
    <t>FixedOps Integration 1</t>
  </si>
  <si>
    <t>US &amp; others except UK &amp; CA</t>
  </si>
  <si>
    <t>Nitesh Kumar/
D M Raj Karthick</t>
  </si>
  <si>
    <t>Adnan Khan,
Automation QA - 3</t>
  </si>
  <si>
    <t>Abhishek Tiwari,
Staff Engineer - 2,
Anil Sitharam Thappa,
Bijan Kumar Dey,
Barkha Rander,
Richa Dixit,
Rohan Raj David,
Sai Abhinash Hanuman</t>
  </si>
  <si>
    <t>INTG06-FixedOps Integration 1 - Backlog - JIRA</t>
  </si>
  <si>
    <t>https://tekion.atlassian.net/issues/?filter=45271</t>
  </si>
  <si>
    <t>FixedOps Integration 2</t>
  </si>
  <si>
    <t>ARC UK &amp; ARC Canada</t>
  </si>
  <si>
    <t>Shreya Mohan</t>
  </si>
  <si>
    <t>Sounderyan Baluswamy,
Biswajit,
Mukesh Gupta,
D Ganesh,
Harshit Tiwari,
Contractor - 4,
Contractor - 2</t>
  </si>
  <si>
    <t>INTG07-FixedOps Integration 2 - Backlog - JIRA</t>
  </si>
  <si>
    <t>https://tekion.atlassian.net/issues/?filter=45272</t>
  </si>
  <si>
    <t>FixedOps Integration 3</t>
  </si>
  <si>
    <t>Paviyarasu Vetrivel/
D M Raj Karthick</t>
  </si>
  <si>
    <t>Parts: Uday Wadhera,
Service: Rishabh Dassani</t>
  </si>
  <si>
    <t>Vinay K C</t>
  </si>
  <si>
    <t>Narasimha Vineeth,
NItesh Soni,
Gyanenjay Rout,
Yeshwanth Babu,
Mohanraj B,
Senior Software Engineer - 1</t>
  </si>
  <si>
    <t>INTG08-FixedOps Integration 3 - Backlog - JIRA</t>
  </si>
  <si>
    <t>https://tekion.atlassian.net/issues/?filter=45273</t>
  </si>
  <si>
    <t>Platform Integrations</t>
  </si>
  <si>
    <t>ARCIntegration-SRE</t>
  </si>
  <si>
    <t>Rohan Kumar Sinha/
DM Raj Karthick</t>
  </si>
  <si>
    <t>Dhananjaya J,
Automation QA - 2</t>
  </si>
  <si>
    <t>Akshat Agarwal,
Sambram HR,
Naveen K,
Lawrence Lee,
Anil Kumar,
Nitin Mathew,
Pranav Goswami,
Archit Saxena,
Harshdeep Dhiman,
Contractor - 1,
Software Engineer II - 1</t>
  </si>
  <si>
    <t>INTG02-Platform Integrations - Backlog - JIRA</t>
  </si>
  <si>
    <t>https://tekion.atlassian.net/issues/?filter=45265</t>
  </si>
  <si>
    <t>Retail Integration 1</t>
  </si>
  <si>
    <t>Rajat Thapliyal/
Raghavendra Pai</t>
  </si>
  <si>
    <t>Ravi Ranjan Pandey</t>
  </si>
  <si>
    <t>Suchithra M L</t>
  </si>
  <si>
    <t>Sourabh Kumar,
Abhishek Upadhyay,
Gourav Bhosle,
Dikshant Lutra,
Sumanth Vemula,
Naresh Malle</t>
  </si>
  <si>
    <t>INTG03-Retail Integration 1 - Backlog - JIRA</t>
  </si>
  <si>
    <t>https://tekion.atlassian.net/issues/?filter=45266</t>
  </si>
  <si>
    <t>Retail Integration 2</t>
  </si>
  <si>
    <t>Moorthy C</t>
  </si>
  <si>
    <t xml:space="preserve">
Staff Software Engineer - 1,
Senior Software Engineer - 3,
Manoj Kumawat,
Khushi Gupta,
Satish K,
Contractor - 3</t>
  </si>
  <si>
    <t>INTG04-Retail Integration 2 - Backlog - JIRA</t>
  </si>
  <si>
    <t>https://tekion.atlassian.net/issues/?filter=45267</t>
  </si>
  <si>
    <t>Bishop</t>
  </si>
  <si>
    <t>Vanitha Sushma</t>
  </si>
  <si>
    <t>Gaurav Garg</t>
  </si>
  <si>
    <t>https://tekion.atlassian.net/jira/software/c/projects/CRM/boards/7005</t>
  </si>
  <si>
    <t>https://tekion.atlassian.net/issues/?filter=38783</t>
  </si>
  <si>
    <t>Ujjawal</t>
  </si>
  <si>
    <t>Babu Pasupathy, Kumar Gaurav, Jeeth Jose</t>
  </si>
  <si>
    <t>Jagadish M, Shobhit Bhushan</t>
  </si>
  <si>
    <t>Kishore S, Gokul Jayabalan</t>
  </si>
  <si>
    <t>Tushar Mahawar, Yogesh Jaiswal</t>
  </si>
  <si>
    <t>https://tekion.atlassian.net/jira/software/c/projects/SERV/boards/11414/backlog</t>
  </si>
  <si>
    <t>https://tekion.atlassian.net/issues?filter=44437</t>
  </si>
  <si>
    <t>Communication-App_Experience</t>
  </si>
  <si>
    <t>Communication-AI_Chat</t>
  </si>
  <si>
    <t>Mukesh Bansal</t>
  </si>
  <si>
    <t>Ram Sunkara</t>
  </si>
  <si>
    <t>Ketan Dixit</t>
  </si>
  <si>
    <t>https://tekion.atlassian.net/projects/COMM</t>
  </si>
  <si>
    <t>https://tekion.atlassian.net/issues?filter=51541</t>
  </si>
  <si>
    <t>Gambit</t>
  </si>
  <si>
    <t>https://tekion.atlassian.net/jira/software/c/projects/CRM/boards/6999</t>
  </si>
  <si>
    <t>https://tekion.atlassian.net/issues/?filter=38777</t>
  </si>
  <si>
    <t>Mystique</t>
  </si>
  <si>
    <t>https://tekion.atlassian.net/jira/software/c/projects/CRM/boards/7002</t>
  </si>
  <si>
    <t>https://tekion.atlassian.net/issues?filter=38780</t>
  </si>
  <si>
    <t>Storm</t>
  </si>
  <si>
    <t>Parmar Vrushin Ashik, Shikhar Goel, Aman Bharti, Manish Kumar Rai, Falak Sharma, Dipu Saha, Malhaar Deepan Thakore</t>
  </si>
  <si>
    <t>https://tekion.atlassian.net/jira/software/c/projects/CRM/boards/6997</t>
  </si>
  <si>
    <t>https://tekion.atlassian.net/issues/?filter=52077</t>
  </si>
  <si>
    <t>Wolverine</t>
  </si>
  <si>
    <t>https://tekion.atlassian.net/jira/software/c/projects/CRM/boards/6996</t>
  </si>
  <si>
    <t>https://tekion.atlassian.net/issues/?filter=38772</t>
  </si>
  <si>
    <t>Data Analytics</t>
  </si>
  <si>
    <t>Ajay Rao / Ashish Kumar Prasad</t>
  </si>
  <si>
    <t>Chevviyan K / Surya Vikram</t>
  </si>
  <si>
    <t>Munagala Snehit; Kashyap Daxini; Nidhi Swami; Shridhan Mahaveer Latthe; Divya Anand</t>
  </si>
  <si>
    <t>DPLT04-Data Analytics - Backlog - JIRA</t>
  </si>
  <si>
    <t>https://tekion.atlassian.net/issues/?filter=42937</t>
  </si>
  <si>
    <t>Data Intelligence</t>
  </si>
  <si>
    <t>Ajay Rao / Saurav Rawat / Gyan Ranjan</t>
  </si>
  <si>
    <t>Sasidharan Ravi</t>
  </si>
  <si>
    <t>Vaishnavi Chakka; Sharan Chiniwar; Shantanu Tripathi; Sanskar Agarwal; P Vishnu Tej; Darshi Gupta; Shivam Kumar; Pragya Singh; Nikhar Mahendraa</t>
  </si>
  <si>
    <t>Sasidhar Janne</t>
  </si>
  <si>
    <t>DPLT03-Data Intelligence - Backlog - JIRA</t>
  </si>
  <si>
    <t>https://tekion.atlassian.net/issues/?filter=42935</t>
  </si>
  <si>
    <t>Data Platform</t>
  </si>
  <si>
    <t>Ajay Rao / Dyanesh Varun; Ishan Koul</t>
  </si>
  <si>
    <t xml:space="preserve"> Prasadh S; Aditya Pandey; Shrvan Warke; Harshalkumar Markana; Ashutosh Sah; Staline Edson D souza; Kalash Kalwani; S Bharath Reddy</t>
  </si>
  <si>
    <t xml:space="preserve">Vinay K L </t>
  </si>
  <si>
    <t>DPLT02-Data Platform - Backlog - JIRA</t>
  </si>
  <si>
    <t>https://tekion.atlassian.net/issues/?filter=42934</t>
  </si>
  <si>
    <t>DR_Checkout</t>
  </si>
  <si>
    <t xml:space="preserve">Chinna, Vedant, Pavitra, Nikhil Gupta, Rohit, Uma Maheshwari      </t>
  </si>
  <si>
    <t>Gaurav Raj</t>
  </si>
  <si>
    <t>https://tekion.atlassian.net/jira/software/c/projects/DGRT/boards/9341/backlog</t>
  </si>
  <si>
    <t>https://tekion.atlassian.net/issues/?filter=41870</t>
  </si>
  <si>
    <t>DR_SRCHAT</t>
  </si>
  <si>
    <t>Prakhar Mittal, Deepak Suthar, Mohit Solanki, Apurva Nigam, Anup Sahu</t>
  </si>
  <si>
    <t>https://tekion.atlassian.net/jira/software/c/projects/DGRT/boards/16128</t>
  </si>
  <si>
    <t xml:space="preserve"> https://tekion.atlassian.net/issues/?filter=64350</t>
  </si>
  <si>
    <t>DR_Studio</t>
  </si>
  <si>
    <t xml:space="preserve">Sanku Rushyender Reddy, Vignesh, Ridham, Pavitra, Aman Yadav, Aman Sinha, Naveen, Shreyansh                </t>
  </si>
  <si>
    <t>https://tekion.atlassian.net/jira/software/c/projects/DGRT/boards/9340/backlog</t>
  </si>
  <si>
    <t>https://tekion.atlassian.net/issues/?filter=41869</t>
  </si>
  <si>
    <t>3rd Party Chat Integrations</t>
  </si>
  <si>
    <t>DR_GM-Chat_Integration</t>
  </si>
  <si>
    <t>Rahul Kumar</t>
  </si>
  <si>
    <t>Maheshprasad GK ​</t>
  </si>
  <si>
    <t>Ashwin Dinesh</t>
  </si>
  <si>
    <t xml:space="preserve">1.Gayathri ​
2.Pravin​
3.Nirmesh Bansal​
4. Soham Ghosh </t>
  </si>
  <si>
    <t>Sarthak</t>
  </si>
  <si>
    <t>AEO-GEO</t>
  </si>
  <si>
    <t>Sasi Sekaran Chandra Leela​,Marichetty Vaibhav​,
Mohammad Furqan Mir</t>
  </si>
  <si>
    <t>Joyston Felix Frenandes​, Anju Haridas</t>
  </si>
  <si>
    <t>Gautam Kumar​
Shivam Rathore​
Mayank Saini​
Sushant Pandey​
Vikram Sangat​
Shreyas Babaladi​
Shravan Tandel​
Nithish S</t>
  </si>
  <si>
    <t>Configurator</t>
  </si>
  <si>
    <t>Furquan Mir</t>
  </si>
  <si>
    <t>Arpitha Salian</t>
  </si>
  <si>
    <t>Akshay Kumar Gupta
Prathamesh P
Venkatesh K
Mukul Saini
Akash Jha
Priya Parmar
Ashish Kumar
Vivek Lambhi</t>
  </si>
  <si>
    <t>Pratik</t>
  </si>
  <si>
    <t>Discovery &amp; Ingestion</t>
  </si>
  <si>
    <t>Ankur Priyan</t>
  </si>
  <si>
    <t>Rishabh Jain</t>
  </si>
  <si>
    <t>Rajat Wadhwa
Surender Saharan
Aditya Daipuria
Sonik N
Shreyash Acharya
Yogesh Kumar Dhruw</t>
  </si>
  <si>
    <t>DX (1.0 Salescloud and 2.0 Custom Apps)</t>
  </si>
  <si>
    <t>Balaji T</t>
  </si>
  <si>
    <t xml:space="preserve">Vaibhav </t>
  </si>
  <si>
    <t>Abhimanyu Singh​</t>
  </si>
  <si>
    <t>1.Sireesha V​
2. Divyanshu T​
3. Kulin G​
4. Leelavathi S​
5. Ananth P</t>
  </si>
  <si>
    <t>GM Integrations (1.0 and 2.0)</t>
  </si>
  <si>
    <t>Simran L, Abhi T</t>
  </si>
  <si>
    <t xml:space="preserve">1.Pravin Kumar​
2.Sadhu Lakshmi​
3. Keshav V ​
4. Keshav Nowahar​
5. Harshvardan Tiwari </t>
  </si>
  <si>
    <t>My Accounts</t>
  </si>
  <si>
    <t>Shubham Raghuwanshi</t>
  </si>
  <si>
    <t>Kavitha</t>
  </si>
  <si>
    <t>Mrinmay Mukherjee
Akashdeep Chandrekar
Shaikh Mushir Shahnawaz
Prajjwal Kumar Jha
Vishnu Priya B
Ankur Kumar
Rupali Vaishnav
Debabrata Pal
Sumit Parmar
Gayathri Venkateswaran</t>
  </si>
  <si>
    <t>OEM - D360 + Analytics</t>
  </si>
  <si>
    <t>Abhijith C S</t>
  </si>
  <si>
    <t>Vaibhav (D360), Amit Bahedia (Analytics), Furqan (Emails)</t>
  </si>
  <si>
    <t>TBA</t>
  </si>
  <si>
    <t>1.Jaykishan Solanki ​
2.Chanakya ​
3. Nawed Diwan​
4. Nikunj</t>
  </si>
  <si>
    <t>OEM Agentic AI</t>
  </si>
  <si>
    <t>Baddam Rakesh</t>
  </si>
  <si>
    <t>Nalina M​</t>
  </si>
  <si>
    <t>1.Suraj Mehta​
2. Divyank Dagur​
3.Medha B​
4. Ankit Kumar​
5. Sagar Gupta</t>
  </si>
  <si>
    <t>OMS &amp; Pricing</t>
  </si>
  <si>
    <t>Divya Priya Venkatesan​</t>
  </si>
  <si>
    <t>"Nandini Sarda
Navneet Singhal
Mohd Asad
Pankaj Takle"</t>
  </si>
  <si>
    <t>SCX (1.0 and 2.0)</t>
  </si>
  <si>
    <t>Vishal L</t>
  </si>
  <si>
    <t xml:space="preserve">1.Ajay Dangil​
2.Aditi Mahajan​
3.Patel Sarthak​
4.Deepankar T​
5. Deekshith K </t>
  </si>
  <si>
    <t>VDP</t>
  </si>
  <si>
    <t>Mohammed Asif</t>
  </si>
  <si>
    <t>Maneesha Konda
Prachi Singhal
Jagath J K
Sushant Kumar Pandey
Manoj Kumar M
Avinash Bondapalli
Elipe Safeen</t>
  </si>
  <si>
    <t>VSR, FE Platform</t>
  </si>
  <si>
    <t>Shubham Raghuvanshi</t>
  </si>
  <si>
    <t>Arpita B</t>
  </si>
  <si>
    <t>Kashish Bhandula
Sushant Kumar
Konathala Venkata Siva Apparao
Md Shamim Akhtar
Vignesh R
Kartikey Rohila
Akash Mehrotra</t>
  </si>
  <si>
    <t>Honda DX</t>
  </si>
  <si>
    <t>Ashutosh Arun Morey</t>
  </si>
  <si>
    <t>Navnika, Anandharaman Pattabiraman, Vittal D S</t>
  </si>
  <si>
    <t>Abhijith D N, Vignesh Srinivasan</t>
  </si>
  <si>
    <t>Ajeya Sharma</t>
  </si>
  <si>
    <t>Dhananjay Sharma, Shubham Shreshth, Paridhi Jain, Sagar Bhattacharya</t>
  </si>
  <si>
    <t>https://tekion.atlassian.net/jira/software/c/projects/AHM/boards/11843/backlog</t>
  </si>
  <si>
    <t>Honda Integration</t>
  </si>
  <si>
    <t>Navnika, Viswanathan Pachaiyappan</t>
  </si>
  <si>
    <t>Vishal Satapute</t>
  </si>
  <si>
    <t>Aviral Gupta</t>
  </si>
  <si>
    <t>Honda PCX</t>
  </si>
  <si>
    <t>Mrugesh Thaker</t>
  </si>
  <si>
    <t>Navnika, Sreerag K, Vittal D S</t>
  </si>
  <si>
    <t>Mohammed Faizaan, Manjunatha S</t>
  </si>
  <si>
    <t>Franklin, Shivansh Gupta, Harshal Mukte, Rishabh Kumar, Vibhor, Mohammad Ismail, Rozen Berg, Srinivasan,  Nagabrahmachary M, Dhruv Singal, Vijay Surya</t>
  </si>
  <si>
    <t>Honda SCX</t>
  </si>
  <si>
    <t>Ankit Upadhyay</t>
  </si>
  <si>
    <t>Navnika, Sreerag K, Vittal</t>
  </si>
  <si>
    <t>Jithendra K N</t>
  </si>
  <si>
    <t>Sharan Ranganathan, Sathish Kumar, Rohit Ramakrishnan</t>
  </si>
  <si>
    <t>Genesis</t>
  </si>
  <si>
    <t>Aiswarya Dwivedi</t>
  </si>
  <si>
    <t>Darshan Yadav J</t>
  </si>
  <si>
    <t>M Wasim Fasil</t>
  </si>
  <si>
    <t>Harshal Mukte, Paridhi Jain, Sathish Babu, Vijay Srinivasan, Kush Jaiswal, Shoibal Karmakar</t>
  </si>
  <si>
    <t>Sarthak Gupta</t>
  </si>
  <si>
    <t>Hardik Patel, Sireesha Yakkali</t>
  </si>
  <si>
    <t>M Wasim Fasil, Prerna Kohli</t>
  </si>
  <si>
    <t>Akash Kumar Singh, Mukul Rathore, Rahul Kumar</t>
  </si>
  <si>
    <t>https://tekion.atlassian.net/jira/software/c/projects/SERV/boards/9524/backlog</t>
  </si>
  <si>
    <t>https://tekion.atlassian.net/issues?filter=42058</t>
  </si>
  <si>
    <t>Honda Fleet</t>
  </si>
  <si>
    <t>Dharmaraj Karthikeyan</t>
  </si>
  <si>
    <t>Navnika</t>
  </si>
  <si>
    <t>Usha, Vishal Bagti, Shanawaz Khan</t>
  </si>
  <si>
    <t>Manu Surendran, Vivekanand Senthilnathan, Shubh Saxena, Aravindan Ravi, Nithish S, Kush Jaiswal,  Sagar Gupta, Siddharth Singh Bhadoriya, Chintusingh Katewa, Mohammed Abrar Mehdi, Soham Ghosh, Goutham Raj Borra, Piyush Khandelwal, Sathish Babu, Vijay Suriya S</t>
  </si>
  <si>
    <t>Ganga</t>
  </si>
  <si>
    <t>Prabhakaran M/ Sheetanshu Kumar</t>
  </si>
  <si>
    <t>Mani Bharathi Ravi</t>
  </si>
  <si>
    <t>"Alagappan,
Arun Senthilkumar,
Dhinesh Kumar B,
Kartik V,
Shashiv Tiwari,
Vivek Garg,
Vivek Kumar,
Prashant Sahu,
Sunil Darji"</t>
  </si>
  <si>
    <t>Somendra Singh</t>
  </si>
  <si>
    <t>https://tekion.atlassian.net/jira/software/c/projects/FNI/boards/6583/backlog</t>
  </si>
  <si>
    <t>https://tekion.atlassian.net/issues/?filter=38110</t>
  </si>
  <si>
    <t>Godavari</t>
  </si>
  <si>
    <t>Dinesh K</t>
  </si>
  <si>
    <t>Ragupathi K</t>
  </si>
  <si>
    <t>Mani Bharathi Ravi / Sanjai R</t>
  </si>
  <si>
    <t>"Kaustavjit Saha,
Nikhil Niket,
Harshdeep Raghuwanshi,
Sanjeev Kumar Rai,
Vandana Gupta,
Varun Joshi"</t>
  </si>
  <si>
    <t>https://tekion.atlassian.net/jira/software/c/projects/FNI/boards/4856/backlog</t>
  </si>
  <si>
    <t>https://tekion.atlassian.net/issues/?filter=37387</t>
  </si>
  <si>
    <t>Krishna</t>
  </si>
  <si>
    <t>Apurva Nigam</t>
  </si>
  <si>
    <t>"Guhan Murugesan,
Ravish Sharma,
Savan Vaghani,
Yamini Shakya"</t>
  </si>
  <si>
    <t>https://tekion.atlassian.net/jira/software/c/projects/FNI/boards/10180/backlog</t>
  </si>
  <si>
    <t>https://tekion.atlassian.net/issues/?filter=43013</t>
  </si>
  <si>
    <t>Saryu</t>
  </si>
  <si>
    <t>Neha Khare</t>
  </si>
  <si>
    <t>"Abhijeet Singh,
Bibhuranjan Sahoo,
Harshit Prajapati,
Mayank Gupta,
Md. Hamid,
Saurabh Agrawal,
Shivam Sharma,
Swapnil Swapnil"</t>
  </si>
  <si>
    <t>https://tekion.atlassian.net/jira/software/c/projects/FNI/boards/4922/backlog</t>
  </si>
  <si>
    <t>https://tekion.atlassian.net/issues/?filter=35848</t>
  </si>
  <si>
    <t>Yamuna</t>
  </si>
  <si>
    <t>Kirthivasan C / Lavanya Muthyala</t>
  </si>
  <si>
    <t>"Mohamed Shiraz Aboobacker,
Naveen Kumar,
Parvati Kasaval,
Raja Sethi,
Rama Subramanian R,
Shubham Sehrawet,
Takshay Makadia ,
Mitesh Thakor"</t>
  </si>
  <si>
    <t>https://tekion.atlassian.net/jira/software/c/projects/FNI/boards/10181/backlog</t>
  </si>
  <si>
    <t>https://tekion.atlassian.net/issues/?filter=43017</t>
  </si>
  <si>
    <t>Kaveri</t>
  </si>
  <si>
    <t>Venkatesh Shankar</t>
  </si>
  <si>
    <t>NA (BE only)</t>
  </si>
  <si>
    <t>"Archit Agrawal,
Aryan Sachan,
Lakshya Singhal,
Sri Lakshmi Dudala,
Venkatesh Kamtham"</t>
  </si>
  <si>
    <t>Vaibhav Kakkar</t>
  </si>
  <si>
    <t>https://tekion.atlassian.net/jira/software/c/projects/GAL/boards/6649/backlog</t>
  </si>
  <si>
    <t>https://tekion.atlassian.net/issues?filter=38306</t>
  </si>
  <si>
    <t>Nisarg A K, Thenukuntla Rohith</t>
  </si>
  <si>
    <t>Arpit Jain</t>
  </si>
  <si>
    <t>https://tekion.atlassian.net/jira/software/c/projects/HPLT/boards/17273</t>
  </si>
  <si>
    <t>https://tekion.atlassian.net/issues/?filter=66065</t>
  </si>
  <si>
    <t>Anirudh, Shivang</t>
  </si>
  <si>
    <t>NA - Testing to be done by dev team only</t>
  </si>
  <si>
    <t>"Gaurav Antil
Shreyansh Gupta 
Shivang Garg
Ayush Anand"</t>
  </si>
  <si>
    <t>https://tekion.atlassian.net/jira/software/c/projects/PLTF/boards/9718</t>
  </si>
  <si>
    <t>https://tekion.atlassian.net/issues/?filter=42332</t>
  </si>
  <si>
    <t>Sandhya</t>
  </si>
  <si>
    <t>Shivam</t>
  </si>
  <si>
    <t>Arjun, Raj</t>
  </si>
  <si>
    <t>https://tekion.atlassian.net/jira/software/c/projects/PLTF/boards/9720</t>
  </si>
  <si>
    <t>https://tekion.atlassian.net/issues/?filter=42336</t>
  </si>
  <si>
    <t>https://tekion.atlassian.net/jira/software/c/projects/PLTF/boards/13213</t>
  </si>
  <si>
    <t>https://tekion.atlassian.net/issues/?filter=51728</t>
  </si>
  <si>
    <t>Pradeep</t>
  </si>
  <si>
    <t>Shikhar</t>
  </si>
  <si>
    <t>https://tekion.atlassian.net/jira/software/c/projects/PLTF/boards/13215</t>
  </si>
  <si>
    <t>https://tekion.atlassian.net/issues/?filter=51730</t>
  </si>
  <si>
    <t>https://tekion.atlassian.net/jira/software/c/projects/PLTF/boards/9719</t>
  </si>
  <si>
    <t>https://tekion.atlassian.net/issues/?filter=42335</t>
  </si>
  <si>
    <t>Ginia, Gaurang</t>
  </si>
  <si>
    <t>https://tekion.atlassian.net/jira/software/c/projects/PLTF/boards/13214</t>
  </si>
  <si>
    <t>https://tekion.atlassian.net/issues/?filter=51729</t>
  </si>
  <si>
    <t>Surendra</t>
  </si>
  <si>
    <t>Arpit + Aman (partial)</t>
  </si>
  <si>
    <t>Darsh</t>
  </si>
  <si>
    <t>Kushal, Uttam</t>
  </si>
  <si>
    <t>https://tekion.atlassian.net/jira/software/c/projects/PLTF/boards/9722</t>
  </si>
  <si>
    <t>https://tekion.atlassian.net/issues/?filter=42338</t>
  </si>
  <si>
    <t>Nisarg, Mithilesh, Rohit</t>
  </si>
  <si>
    <t>https://tekion.atlassian.net/jira/software/c/projects/PLTF/boards/13211</t>
  </si>
  <si>
    <t>https://tekion.atlassian.net/issues/?filter=51725</t>
  </si>
  <si>
    <t>https://tekion.atlassian.net/jira/software/c/projects/PLTF/boards/13178</t>
  </si>
  <si>
    <t>https://tekion.atlassian.net/issues/?filter=51716</t>
  </si>
  <si>
    <t>Sumit</t>
  </si>
  <si>
    <t>https://tekion.atlassian.net/jira/software/c/projects/PLTF/boards/9721</t>
  </si>
  <si>
    <t>https://tekion.atlassian.net/issues/?filter=42337</t>
  </si>
  <si>
    <t>Meet, Satya, Asutosh</t>
  </si>
  <si>
    <t>https://tekion.atlassian.net/jira/software/c/projects/PLTF/boards/13212</t>
  </si>
  <si>
    <t>https://tekion.atlassian.net/issues/?filter=51727</t>
  </si>
  <si>
    <t>Lakshmi Narasimman Deivasigamani,
Srija Ramesh</t>
  </si>
  <si>
    <t>Suhas R, 
Harish Manoharan</t>
  </si>
  <si>
    <t>Venkatesh Mahalinga,
Mohan Thimmarayappa</t>
  </si>
  <si>
    <t>Gokul Jayabalan</t>
  </si>
  <si>
    <t>Vijay Suriya S,
Advaith Raij Venkhed BaJinia Konar,
Prakash Ravichandran,
Meganathan M</t>
  </si>
  <si>
    <t>CAutomation</t>
  </si>
  <si>
    <t>Nitish</t>
  </si>
  <si>
    <t>Bobby/ Dharmendra</t>
  </si>
  <si>
    <t>Shivakumar Kinagi</t>
  </si>
  <si>
    <t>Jayaprakash Chandrasekaran</t>
  </si>
  <si>
    <t>https://tekion.atlassian.net/jira/software/c/projects/OPLT/boards/15068</t>
  </si>
  <si>
    <t>https://tekion.atlassian.net/issues/?filter=60920</t>
  </si>
  <si>
    <t>GAutomation</t>
  </si>
  <si>
    <t>https://tekion.atlassian.net/jira/software/c/projects/OPLT/boards/15069</t>
  </si>
  <si>
    <t>https://tekion.atlassian.net/issues/?filter=60921</t>
  </si>
  <si>
    <t>Launch_Center</t>
  </si>
  <si>
    <t>Dharmendra Sigh</t>
  </si>
  <si>
    <t>Aman Kumar Mishra</t>
  </si>
  <si>
    <t>Vardhireddy Sai Maheedhar Reddy
Namratha K S</t>
  </si>
  <si>
    <t>Allwin, Roshan Pradeepam</t>
  </si>
  <si>
    <t>https://tekion.atlassian.net/jira/software/c/projects/OPLT/boards/15070</t>
  </si>
  <si>
    <t>https://tekion.atlassian.net/issues/?filter=60923</t>
  </si>
  <si>
    <t>MAutomation</t>
  </si>
  <si>
    <t>https://tekion.atlassian.net/jira/software/c/projects/OPLT/boards/12316</t>
  </si>
  <si>
    <t>https://tekion.atlassian.net/issues/?filter=47685</t>
  </si>
  <si>
    <t>Ashish</t>
  </si>
  <si>
    <t>Sharmila D</t>
  </si>
  <si>
    <t>Abhishek Adhikari</t>
  </si>
  <si>
    <t>Praful Koppalkar
Shamshad Khan
Dinesh Shah
Shah Adit Hiten
Preeti Singh
Devraj Kumar
Aditya Pal
Vaibhav Kumar
Siddharth
Nitish Kumar</t>
  </si>
  <si>
    <t>https://tekion.atlassian.net/jira/software/c/projects/OPLT/boards/15071</t>
  </si>
  <si>
    <t>https://tekion.atlassian.net/issues/?filter=60924</t>
  </si>
  <si>
    <t>Schema_Curator</t>
  </si>
  <si>
    <t>Setup_Adoption</t>
  </si>
  <si>
    <t>Darshan Ranganath</t>
  </si>
  <si>
    <t>Nuteti Vinay Kumar</t>
  </si>
  <si>
    <t>Zakariya Karatu Chali</t>
  </si>
  <si>
    <t>Daminee Sao
Yeshwanth M
Suryakant Sharma
Biplab De</t>
  </si>
  <si>
    <t>https://tekion.atlassian.net/jira/software/c/projects/OPLT/boards/11523</t>
  </si>
  <si>
    <t>https://tekion.atlassian.net/issues/?filter=44580</t>
  </si>
  <si>
    <t>Setup_Mgt</t>
  </si>
  <si>
    <t>Ayush Sharma
Suhail Nazeer</t>
  </si>
  <si>
    <t>Karanveer Singh
Varun Vaibhav 
Jayanandhana Elango
Shubham Upreti
Akshat Gupta
Himanshu Jayant
Gokul J</t>
  </si>
  <si>
    <t>https://tekion.atlassian.net/jira/software/c/projects/DLA/boards/11522</t>
  </si>
  <si>
    <t>https://tekion.atlassian.net/issues/?filter=44579</t>
  </si>
  <si>
    <t>TAO</t>
  </si>
  <si>
    <t>Veeresh Gadag
Prajna S Puthran
Shivakumar Kinagi</t>
  </si>
  <si>
    <t>Yashvi Modh, Sujithra J </t>
  </si>
  <si>
    <t>Allwin S</t>
  </si>
  <si>
    <t>https://tekion.atlassian.net/jira/software/c/projects/OPLT/boards/17275</t>
  </si>
  <si>
    <t>https://tekion.atlassian.net/issues?filter=66102</t>
  </si>
  <si>
    <t>AEC_Onboarding</t>
  </si>
  <si>
    <t>OP-AEC_Onboarding</t>
  </si>
  <si>
    <t>Dataprocessing</t>
  </si>
  <si>
    <t>OP-Dataprocessing</t>
  </si>
  <si>
    <t>Orbit Platform</t>
  </si>
  <si>
    <t>Anandhkumar T</t>
  </si>
  <si>
    <t>Orbit Agents</t>
  </si>
  <si>
    <t>Data Dynamos</t>
  </si>
  <si>
    <r>
      <rPr>
        <sz val="10"/>
        <color rgb="FF000000"/>
        <rFont val="Arial"/>
        <family val="2"/>
      </rPr>
      <t>Karthik,Rounak</t>
    </r>
  </si>
  <si>
    <t>Muniraju
deepika Gupta</t>
  </si>
  <si>
    <t>Shyamashree, Saumya, Manali, Kiran</t>
  </si>
  <si>
    <t>Arun Kumar
Kunal
Divya Aneja
Lakshay Pachori
Dhruv Ojha
Riya Sharma</t>
  </si>
  <si>
    <t>https://tekion.atlassian.net/jira/software/c/projects/PART/boards/9987/backlog</t>
  </si>
  <si>
    <t>https://tekion.atlassian.net/issues/?filter=42571</t>
  </si>
  <si>
    <t>Integrations Connectors</t>
  </si>
  <si>
    <r>
      <rPr>
        <sz val="10"/>
        <color rgb="FF000000"/>
        <rFont val="Arial"/>
        <family val="2"/>
      </rPr>
      <t>Uday, Karthik, Pranjal,Nadhavardhan</t>
    </r>
  </si>
  <si>
    <t>Immanuel</t>
  </si>
  <si>
    <t>Jatin bansal,
Shivansh Srivastava,
Subhash Subhash,
Ayan Giri ,
Vaidik Patel,
harsh Vardhan Singh, Gehlot</t>
  </si>
  <si>
    <t>https://tekion.atlassian.net/jira/software/c/projects/PART/boards/9982/backlog</t>
  </si>
  <si>
    <t>https://tekion.atlassian.net/issues/?filter=42538</t>
  </si>
  <si>
    <t>Inventory Guardians</t>
  </si>
  <si>
    <r>
      <rPr>
        <sz val="10"/>
        <color rgb="FF000000"/>
        <rFont val="Arial"/>
        <family val="2"/>
      </rPr>
      <t>Ritesh, Pranjal and Nadhavardhan</t>
    </r>
  </si>
  <si>
    <t>Poorna Jadhav 
Aditya Duggani</t>
  </si>
  <si>
    <t>Shyamashree, Kiran, Manali, Saumya</t>
  </si>
  <si>
    <t>Md Hamza,
Allen Richards,
Vishal Kathpalia,
Bhavya Dhing,
Naman patidar,
Manan gandhi</t>
  </si>
  <si>
    <t>https://tekion.atlassian.net/jira/software/c/projects/PART/boards/9949/backlog</t>
  </si>
  <si>
    <t>https://tekion.atlassian.net/issues/?filter=42537</t>
  </si>
  <si>
    <t>Ordering Operators</t>
  </si>
  <si>
    <t>Ankit Kumar Singh</t>
  </si>
  <si>
    <r>
      <rPr>
        <sz val="10"/>
        <color rgb="FF000000"/>
        <rFont val="Arial"/>
        <family val="2"/>
      </rPr>
      <t>Snigdha, Rounak</t>
    </r>
  </si>
  <si>
    <t>Drethi Shetty</t>
  </si>
  <si>
    <t>Shyamashree, Saumya, Kiran</t>
  </si>
  <si>
    <t>Shivam Parashar,
Bipul Sharma,
Ishan Chaudhary,
Varum Gautham,
Prasanna Hegde,
Shubham Mishra</t>
  </si>
  <si>
    <t>https://tekion.atlassian.net/jira/software/c/projects/PART/boards/9985/backlog</t>
  </si>
  <si>
    <t>https://tekion.atlassian.net/issues/?filter=42540</t>
  </si>
  <si>
    <t>Platform Optimizers</t>
  </si>
  <si>
    <t>Rahul raman</t>
  </si>
  <si>
    <t>Shyamashree &amp; Kiran</t>
  </si>
  <si>
    <t>Joydeep Das,
Amaan Ali khan,
aman goyal,
Shashank Nandimath,
Ayush Mishra</t>
  </si>
  <si>
    <t>https://tekion.atlassian.net/jira/software/c/projects/PART/boards/9986/backlog</t>
  </si>
  <si>
    <t>https://tekion.atlassian.net/issues/?filter=42541</t>
  </si>
  <si>
    <t>Repair Order Fulfillers</t>
  </si>
  <si>
    <r>
      <rPr>
        <sz val="10"/>
        <color rgb="FF000000"/>
        <rFont val="Arial"/>
        <family val="2"/>
      </rPr>
      <t>Snigdha, Sumedha, Prajjwal</t>
    </r>
  </si>
  <si>
    <t>Viplove Pradhan
Venkatesha P
Dharmendra Singh</t>
  </si>
  <si>
    <t>Shivam Gupta,
Aryan Rawlani,
Santosh Chauhan,
Ritwik Chhawal,
Savan Makwana,
Ankur Adhyapak</t>
  </si>
  <si>
    <t>https://tekion.atlassian.net/jira/software/c/projects/PART/boards/9984/backlog</t>
  </si>
  <si>
    <t>https://tekion.atlassian.net/issues/?filter=42570</t>
  </si>
  <si>
    <t>Sales Order Frontiers</t>
  </si>
  <si>
    <r>
      <rPr>
        <sz val="10"/>
        <color rgb="FF000000"/>
        <rFont val="Arial"/>
        <family val="2"/>
      </rPr>
      <t>Sumedha, Prajjwal</t>
    </r>
  </si>
  <si>
    <t xml:space="preserve">Manigandhan 
Bhumika </t>
  </si>
  <si>
    <t>Anand Ram Rakhyani,
Aryan Pandey,
Yuvraj Pandiyan,
Manas Sharma,
Tushar Gupta,
Shivam Garg</t>
  </si>
  <si>
    <t>https://tekion.atlassian.net/jira/software/c/projects/PART/boards/9983/backlog</t>
  </si>
  <si>
    <t>https://tekion.atlassian.net/issues/?filter=42539</t>
  </si>
  <si>
    <t>Earth</t>
  </si>
  <si>
    <t>Jeremy Atkins, Preston</t>
  </si>
  <si>
    <t>Shobhit, Priyanka M</t>
  </si>
  <si>
    <t>Sujithra</t>
  </si>
  <si>
    <t>Pravin R,
Shubham maheshwari,
Sakshi gupta,
pranav gautam,
aadarsh kumar**,
Bhart sharma,
Pulkit goyal</t>
  </si>
  <si>
    <t>https://tekion.atlassian.net/jira/software/c/projects/PYRL/boards/9322/backlog</t>
  </si>
  <si>
    <t>https://tekion.atlassian.net/issues/?filter=41841</t>
  </si>
  <si>
    <t>Mars</t>
  </si>
  <si>
    <t>Jagadish, Sanjeevi</t>
  </si>
  <si>
    <t>Keval Savaliya,
Prabhat Shukla</t>
  </si>
  <si>
    <t>https://tekion.atlassian.net/jira/software/c/projects/PYRL/boards/9323/backlog</t>
  </si>
  <si>
    <t>https://tekion.atlassian.net/issues/?filter=41842</t>
  </si>
  <si>
    <t>Gryffindor</t>
  </si>
  <si>
    <t>Priya Dhansekar</t>
  </si>
  <si>
    <t>Kishore S</t>
  </si>
  <si>
    <t>"Parita Patel,
Garvit Modi,
Yagyik Prajapat,
Nandini Jha,
Ayushi rawat,
Riza Fareed,
Abhijeet Tomer,
Deepak Yadav"</t>
  </si>
  <si>
    <t>Parital Patel (FE)
Hasan Kohadwala (BE)</t>
  </si>
  <si>
    <t>https://tekion.atlassian.net/jira/software/c/projects/PYTK/boards/9751</t>
  </si>
  <si>
    <t>https://tekion.atlassian.net/issues/?filter=42346</t>
  </si>
  <si>
    <t>Ravenclaw</t>
  </si>
  <si>
    <t>"Hasan Kohandawala,
Vibhav Garg,
Vaibhav Kumar Singh,
Himanshu Pandey,
Aryan Sherawat,
Vivek Sinha,
Sarthak Kaushik"</t>
  </si>
  <si>
    <t>https://tekion.atlassian.net/jira/software/c/projects/PYTK/boards/9752</t>
  </si>
  <si>
    <t>https://tekion.atlassian.net/issues/?filter=42347</t>
  </si>
  <si>
    <t>CAVIAR</t>
  </si>
  <si>
    <t xml:space="preserve">Hardik Pharia </t>
  </si>
  <si>
    <t>Sahil Sharma , Vidhi Shah , Shubhankar Pandey , Vaibhav Sharma , Satyam Sachan</t>
  </si>
  <si>
    <t>Chirag Gupta</t>
  </si>
  <si>
    <t>https://tekion.atlassian.net/jira/software/c/projects/RETL/boards/13005/backlog</t>
  </si>
  <si>
    <t>https://tekion.atlassian.net/issues?filter=50042</t>
  </si>
  <si>
    <t>Deals</t>
  </si>
  <si>
    <t xml:space="preserve">Mamtha and Hema DG 
</t>
  </si>
  <si>
    <t>Abhishek Mishra,
Deborshi Bhattacharjee,
Devam Alkeshbhai Shah,
Harsh Raitani,
Parakh Shah,
Prashanth Ramakrishna,
Prathamesh Sanjay Zingade,
Siddharth Dubey,
Vivek Parihar,</t>
  </si>
  <si>
    <t>https://tekion.atlassian.net/jira/software/c/projects/RETL/boards/10015</t>
  </si>
  <si>
    <t>https://tekion.atlassian.net/issues/?filter=42639</t>
  </si>
  <si>
    <t>Desking</t>
  </si>
  <si>
    <t xml:space="preserve">Pavithra and Punit </t>
  </si>
  <si>
    <t>Alaukik Srivastava,
Anmol Gangwal,
Chintan Ilasaryia,
Bollineni Dinesh,
Aman Sharma,
Sushrut M,
Sunny Singh,
Sanidhya Gupta,
Ajay Bhakhar</t>
  </si>
  <si>
    <t>https://tekion.atlassian.net/jira/software/c/projects/RETL/boards/10016</t>
  </si>
  <si>
    <t>https://tekion.atlassian.net/issues/?filter=42640</t>
  </si>
  <si>
    <t>IMS</t>
  </si>
  <si>
    <t>Kunal Kumar , Ashutosh Ranjan, Tanvee Devra , Pratik Kansara , Gaurav Mohapatra</t>
  </si>
  <si>
    <t>https://tekion.atlassian.net/jira/software/c/projects/RETL/boards/12771/backlog</t>
  </si>
  <si>
    <t>https://tekion.atlassian.net/issues/?filter=49945</t>
  </si>
  <si>
    <t xml:space="preserve">Pricing </t>
  </si>
  <si>
    <t>Pradip Acharya</t>
  </si>
  <si>
    <t>Shivama and Mahumita</t>
  </si>
  <si>
    <t>https://tekion.atlassian.net/jira/software/c/projects/RETL/boards/10018</t>
  </si>
  <si>
    <t>https://tekion.atlassian.net/issues/?filter=42642</t>
  </si>
  <si>
    <t>VI</t>
  </si>
  <si>
    <t>Manoj Kumar(US) and Sonali Dash(UK)</t>
  </si>
  <si>
    <t>Kunal Kumar,
Ankit A,
Rishabh Niranjan,
Annaluru Sivadhar,
Vidhi Sah,
Loganathan D,
Sahil Sharma,
Shubhankar Pandey,
Subramanian Neelakantan,
Souvik Dey,
Vaibhav Sharma,
Shreshtha Gupta</t>
  </si>
  <si>
    <t>https://tekion.atlassian.net/jira/software/c/projects/RETL/boards/10017</t>
  </si>
  <si>
    <t>https://tekion.atlassian.net/issues/?filter=42641</t>
  </si>
  <si>
    <t>Consumer</t>
  </si>
  <si>
    <t>Vidya B Halanayaka, Sheetal Das Mohapatra</t>
  </si>
  <si>
    <t>Shyamashree, Kiran,Twinkle, Alok</t>
  </si>
  <si>
    <t>Naman Pandey,
Darshankumar , Prajapati, 
Bhupendra Bajolia, 
Shreya Anand, 
Shreyansh Saxena, 
Raman Tayal, 
Puneet Kishore, Brahamdev Sharma, 
Jain Jain, 
Thakkar Thakkar, 
Ravi Ravi</t>
  </si>
  <si>
    <t>Vraj Solanki, Ramesh Adabala</t>
  </si>
  <si>
    <t>https://tekion.atlassian.net/jira/software/c/projects/SERV/boards/9326/backlog</t>
  </si>
  <si>
    <t>https://tekion.atlassian.net/issues?filter=41848</t>
  </si>
  <si>
    <t>Dealer-Apps</t>
  </si>
  <si>
    <t>Vishnu Mohan</t>
  </si>
  <si>
    <t>Sarath Balakrishnan, Sangeetha Ram Sharma</t>
  </si>
  <si>
    <t>Shyamashree, Vineeth, Twinkle, Alok, Arushi</t>
  </si>
  <si>
    <t>Vatsal Chandan,
Vivek Agarwal,
Shivendra Tripathi, Yogesh Jaiswal, 
Aiswarya R, 
Roshan Shah, 
Nitin Kumar , 
Govind Ajith</t>
  </si>
  <si>
    <t>Ramesh Adabala</t>
  </si>
  <si>
    <t>https://tekion.atlassian.net/jira/software/c/projects/SERV/boards/9325/backlog</t>
  </si>
  <si>
    <t>https://tekion.atlassian.net/issues?filter=41847</t>
  </si>
  <si>
    <t>Ashish Singh, Syed Absar Ahmad</t>
  </si>
  <si>
    <t>Rakshit</t>
  </si>
  <si>
    <t>Nirosha, Praveen Joshi, Lingaraj S, Animesh Kumar</t>
  </si>
  <si>
    <t xml:space="preserve">Darsh Shah,
Jithin Veeramachaneni,
Abhinav Agarwal,
Saurabh Kumar,
Rishabh Kumar,
Omang Rawat,
Harsh Kishorbhai Bhut,
Aditya Jain,
Vishal Sharma, Aditya Gupta, 
Ashish Singh, 
Praneeth Chokka, Aditya Sonkusare, 
Kritika Jain, 
Shivam Gupta, 
Aishwary Tiwari, 
Ashish Bandil, Aarif Khan, 
Vaibhav Kumar, 
Prakriti Sagar, 
Siddhant Jha, </t>
  </si>
  <si>
    <t>https://tekion.atlassian.net/jira/software/c/projects/SERV/boards/9327/backlog</t>
  </si>
  <si>
    <t>https://tekion.atlassian.net/issues?filter=41849</t>
  </si>
  <si>
    <t>RO-Core</t>
  </si>
  <si>
    <t>Prasad Nagaraj</t>
  </si>
  <si>
    <t>Vinay I V</t>
  </si>
  <si>
    <t>Rameshwar Sankhala, 
Akash Kunwar,
Utkarsh Mishra,
Harshit Malhotra,
Veda Chennupati,
Sourabh Kumar,
Akansh Kumar,
Himanshu Patidar,
Parth Chaturvedi,
Shreyas Bapat,
Niraj Sureshbhai ,Vadhaiya,
Tarique Ahmad</t>
  </si>
  <si>
    <t xml:space="preserve">Service consumer + mobile board is made , this needs deletion or updation </t>
  </si>
  <si>
    <t>https://tekion.atlassian.net/jira/software/c/projects/SERV/boards/9324/backlog</t>
  </si>
  <si>
    <t>https://tekion.atlassian.net/issues?filter=41845</t>
  </si>
  <si>
    <t>Scheduling</t>
  </si>
  <si>
    <t xml:space="preserve">Raj Patel </t>
  </si>
  <si>
    <t>Priyanka</t>
  </si>
  <si>
    <t>Kiran Saha, Ankit Bhatt</t>
  </si>
  <si>
    <t>Shyamashree, Vineeth, Arushi, Alok</t>
  </si>
  <si>
    <t>Akashdeep Singh, 
Rishabh Kumar Singh, 
Nikhil Patel, 
Neelesh Gupta, 
Jnanadeep R, 
Manan Vishalbhai , Makwana, 
Harshit Agrawal, 
Sawan Kumar Kumar , Patodia, Shashank Shekhar, 
Sandesh Suresh Gade</t>
  </si>
  <si>
    <t>https://tekion.atlassian.net/jira/software/c/projects/SERV/boards/9328/backlog</t>
  </si>
  <si>
    <t>https://tekion.atlassian.net/issues/?filter=41850</t>
  </si>
  <si>
    <t>ServiceMobile</t>
  </si>
  <si>
    <t>Rahul</t>
  </si>
  <si>
    <t>Srinivas Ragunathan</t>
  </si>
  <si>
    <t>Shyamashree, Vineeth, Arushi, Twinkle, Alok, Kiran</t>
  </si>
  <si>
    <t>Asharali V U, 
Kumar Aman, 
Ayush Kushwaha</t>
  </si>
  <si>
    <t>Vraj Solanki</t>
  </si>
  <si>
    <t>https://tekion.atlassian.net/jira/software/c/projects/SERV/boards/11415/backlog</t>
  </si>
  <si>
    <t>https://tekion.atlassian.net/issues/?filter=44438</t>
  </si>
  <si>
    <t>SI Platform 1</t>
  </si>
  <si>
    <t>John Jompton/
Raghavendra Pai</t>
  </si>
  <si>
    <t>Darshan Srinivasan, Arjun Rajeev</t>
  </si>
  <si>
    <t>Jenix A</t>
  </si>
  <si>
    <t>Shaan Shivanandan</t>
  </si>
  <si>
    <t>Siddhant Rawat
Akshay Pathak
Rachit Rathore
Harsh Upadhyay</t>
  </si>
  <si>
    <t>https://tekion.atlassian.net/jira/software/c/projects/SIP/boards/12349</t>
  </si>
  <si>
    <t>https://tekion.atlassian.net/issues/?filter=47806</t>
  </si>
  <si>
    <t>SI Platform 2</t>
  </si>
  <si>
    <t>Rahul U J</t>
  </si>
  <si>
    <t xml:space="preserve">
John Jompton (Half Capacity),
Sanup Kumar,
Jijo Jose  ,
Jagdish Kumar, 
Luv Makin</t>
  </si>
  <si>
    <t>https://tekion.atlassian.net/jira/software/c/projects/SIP/boards/12350</t>
  </si>
  <si>
    <t>https://tekion.atlassian.net/issues/?filter=47808</t>
  </si>
  <si>
    <t>T1 Scrum</t>
  </si>
  <si>
    <t>Deepak Dhaka , Vishal Karthik Swaminathan , Arkadyuti Sarkar , Sudhir Singh</t>
  </si>
  <si>
    <t>Arkadyuti Sarkar</t>
  </si>
  <si>
    <t>Zebra</t>
  </si>
  <si>
    <t>Vasavi P</t>
  </si>
  <si>
    <t>Sethubharathi B
Aditya Chaudhary
Devesh Dewangan
Tharun Kumar Boya
Vishal Raj
Sonam Nikhil (Internal)
Krushikbhai savani (Internal)
Vivek Kumar</t>
  </si>
  <si>
    <t>https://tekion.atlassian.net/jira/software/c/projects/ZEB/boards/9988</t>
  </si>
  <si>
    <t>https://tekion.atlassian.net/issues/?filter=40386</t>
  </si>
  <si>
    <t>Count of Scrum Team Name</t>
  </si>
  <si>
    <t>Average of Scrum Team Completion Score</t>
  </si>
  <si>
    <t>Scrum Team Available?</t>
  </si>
  <si>
    <t>Scrum Team Budget</t>
  </si>
  <si>
    <t>Not found</t>
  </si>
  <si>
    <t>Marc</t>
  </si>
  <si>
    <t>Shankar</t>
  </si>
  <si>
    <t>Keith Wiseman Total</t>
  </si>
  <si>
    <t>Ved</t>
  </si>
  <si>
    <t>Accounting Total</t>
  </si>
  <si>
    <t>Raghu Edalur Total</t>
  </si>
  <si>
    <t>Sub-components w/o a scrum team</t>
  </si>
  <si>
    <t>AEPlatform Total</t>
  </si>
  <si>
    <t>DLA</t>
  </si>
  <si>
    <t>Santosh Golecha Total</t>
  </si>
  <si>
    <t>AI_Core Total</t>
  </si>
  <si>
    <t>AIBDC Total</t>
  </si>
  <si>
    <t>AIE_Core Total</t>
  </si>
  <si>
    <t>Sanyam Agrawal Total</t>
  </si>
  <si>
    <t>AIE_Platform Total</t>
  </si>
  <si>
    <t>AMC Total</t>
  </si>
  <si>
    <t>Analytics Total</t>
  </si>
  <si>
    <t>Satish Sallakonda Total</t>
  </si>
  <si>
    <t>APC Total</t>
  </si>
  <si>
    <t>APEX Total</t>
  </si>
  <si>
    <t>Ved Singh Total</t>
  </si>
  <si>
    <t>(blank) Total</t>
  </si>
  <si>
    <t>ApplicationPlatforms Total</t>
  </si>
  <si>
    <t>ARCIntegration Total</t>
  </si>
  <si>
    <t>Campaign Total</t>
  </si>
  <si>
    <t>Cashiering Total</t>
  </si>
  <si>
    <t>Communication Total</t>
  </si>
  <si>
    <t>CRM Total</t>
  </si>
  <si>
    <t>DataPlatform Total</t>
  </si>
  <si>
    <t>DigitalRetailing Total</t>
  </si>
  <si>
    <t>DR_GM Total</t>
  </si>
  <si>
    <t>DR_Honda Total</t>
  </si>
  <si>
    <t>DR_Hyundai Total</t>
  </si>
  <si>
    <t>eSign_Platform Total</t>
  </si>
  <si>
    <t>Fleet_Honda Total</t>
  </si>
  <si>
    <t>FnI Total</t>
  </si>
  <si>
    <t>Galaxy Total</t>
  </si>
  <si>
    <t>HorizontalPlatforms Total</t>
  </si>
  <si>
    <t>IOT Total</t>
  </si>
  <si>
    <t>OnboardingPlatforms Total</t>
  </si>
  <si>
    <t>ORBIT Total</t>
  </si>
  <si>
    <t>Parts Total</t>
  </si>
  <si>
    <t>Payroll Total</t>
  </si>
  <si>
    <t>PayTek Total</t>
  </si>
  <si>
    <t>Retail Total</t>
  </si>
  <si>
    <t>Service Total</t>
  </si>
  <si>
    <t>SIPlatform Total</t>
  </si>
  <si>
    <t>T1Platform Total</t>
  </si>
  <si>
    <t>ZEBRA Total</t>
  </si>
  <si>
    <t>VP / Leader</t>
  </si>
  <si>
    <t>Engg Director / Manager</t>
  </si>
  <si>
    <t>JIRA Project for new PDLC</t>
  </si>
  <si>
    <t>Project Link</t>
  </si>
  <si>
    <t>Status</t>
  </si>
  <si>
    <t>TPM to set-up Projects</t>
  </si>
  <si>
    <t>JIRA Main Board Setup</t>
  </si>
  <si>
    <t>Scrum Team Info</t>
  </si>
  <si>
    <t>Automations</t>
  </si>
  <si>
    <t>Main Board Filter Link</t>
  </si>
  <si>
    <t>JIRA Plan Filter Link</t>
  </si>
  <si>
    <t>DGRT01-Main Board - Backlog - JIRA</t>
  </si>
  <si>
    <t>Created for GA</t>
  </si>
  <si>
    <t>Bhuvana</t>
  </si>
  <si>
    <t>Done</t>
  </si>
  <si>
    <t>Available</t>
  </si>
  <si>
    <t>https://tekion.atlassian.net/issues/?filter=39633</t>
  </si>
  <si>
    <t>https://tekion.atlassian.net/issues/?filter=40657</t>
  </si>
  <si>
    <t>AIB01-Main Board - Backlog - JIRA</t>
  </si>
  <si>
    <t>Created for pilot</t>
  </si>
  <si>
    <t>To be created for GA</t>
  </si>
  <si>
    <t>CRM01-Main Board - Backlog - JIRA</t>
  </si>
  <si>
    <t>https://tekion.atlassian.net/issues/?filter=38056</t>
  </si>
  <si>
    <t>https://tekion.atlassian.net/issues/?filter=40530</t>
  </si>
  <si>
    <t>COMM01-Main Board - Backlog - JIRA</t>
  </si>
  <si>
    <t>https://tekion.atlassian.net/issues/?filter=51541</t>
  </si>
  <si>
    <t>FnI01-Main Board - Backlog - JIRA</t>
  </si>
  <si>
    <t>Saurabh</t>
  </si>
  <si>
    <t>https://tekion.atlassian.net/issues/?filter=37627</t>
  </si>
  <si>
    <t>Decision Needed</t>
  </si>
  <si>
    <t>GAL01-Main Board - Backlog - JIRA</t>
  </si>
  <si>
    <t>https://tekion.atlassian.net/issues?filter=37438</t>
  </si>
  <si>
    <t>https://tekion.atlassian.net/issues/?filter=40528</t>
  </si>
  <si>
    <t>Not Needed</t>
  </si>
  <si>
    <t>RETL01-Main Board - Backlog - JIRA</t>
  </si>
  <si>
    <t>Pilot phase begins from Aug sprint</t>
  </si>
  <si>
    <t>https://tekion.atlassian.net/issues?filter=39531</t>
  </si>
  <si>
    <t>To be Updated</t>
  </si>
  <si>
    <t>ACCT01-Main Board - Backlog - JIRA</t>
  </si>
  <si>
    <t>https://tekion.atlassian.net/issues/?filter=39926</t>
  </si>
  <si>
    <t>https://tekion.atlassian.net/issues/?filter=40658</t>
  </si>
  <si>
    <t>Updated</t>
  </si>
  <si>
    <t>PYRL01-Main Board - Backlog - JIRA</t>
  </si>
  <si>
    <t>https://tekion.atlassian.net/issues/?filter=39927</t>
  </si>
  <si>
    <t>https://tekion.atlassian.net/issues/?filter=40659</t>
  </si>
  <si>
    <t>CASH01-Main Board - Backlog - JIRA</t>
  </si>
  <si>
    <t xml:space="preserve">Moved from Service Project to separate project </t>
  </si>
  <si>
    <t>https://tekion.atlassian.net/issues/?filter=62395</t>
  </si>
  <si>
    <t>https://tekion.atlassian.net/issues/?filter=62857</t>
  </si>
  <si>
    <t>ESGN01-Main Board - Backlog - JIRA</t>
  </si>
  <si>
    <t>https://tekion.atlassian.net/issues/?filter=62446</t>
  </si>
  <si>
    <t>https://tekion.atlassian.net/issues/?filter=62858</t>
  </si>
  <si>
    <t>PART01-Main_Board - Backlog - JIRA</t>
  </si>
  <si>
    <t>https://tekion.atlassian.net/issues/?filter=39634</t>
  </si>
  <si>
    <t>https://tekion.atlassian.net/issues/?filter=40649</t>
  </si>
  <si>
    <t>SERV01-Main Board - Backlog - JIRA</t>
  </si>
  <si>
    <t>https://tekion.atlassian.net/issues/?filter=39932</t>
  </si>
  <si>
    <t>https://tekion.atlassian.net/issues/?filter=40651</t>
  </si>
  <si>
    <t>PYTK01- Main Board - Backlog - JIRA</t>
  </si>
  <si>
    <t>https://tekion.atlassian.net/issues/?filter=38139</t>
  </si>
  <si>
    <t>Plan Filter</t>
  </si>
  <si>
    <t>APC01-Main Board - Backlog - JIRA</t>
  </si>
  <si>
    <t>https://tekion.atlassian.net/issues/?filter=39933</t>
  </si>
  <si>
    <t>ZEB01-Main Board - Backlog - JIRA</t>
  </si>
  <si>
    <t>DOS project exists, Surya asked for a different project for their development effort tracking</t>
  </si>
  <si>
    <t>Application Platforms</t>
  </si>
  <si>
    <t>AP01-Main Board - Backlog - JIRA</t>
  </si>
  <si>
    <t>https://tekion.atlassian.net/issues/?filter=39934</t>
  </si>
  <si>
    <t>OPLT01-Main Board - Backlog - JIRA</t>
  </si>
  <si>
    <t>https://tekion.atlassian.net/issues/?filter=39936</t>
  </si>
  <si>
    <t>INTG01-Main Board - Backlog - JIRA</t>
  </si>
  <si>
    <t>SIP01-Main Board - Backlog - JIRA</t>
  </si>
  <si>
    <t>ANLY01-Main Board - Backlog - JIRA</t>
  </si>
  <si>
    <t>Venkatesh Ganesan</t>
  </si>
  <si>
    <t>APEX01-Main Board - Backlog - JIRA</t>
  </si>
  <si>
    <t>DPLT01-Main Board - Backlog - JIRA</t>
  </si>
  <si>
    <t>AIPL01-Main Board - Backlog - JIRA</t>
  </si>
  <si>
    <t>Ravi</t>
  </si>
  <si>
    <t>ML01-Main Board - Backlog - JIRA</t>
  </si>
  <si>
    <t>General Motors</t>
  </si>
  <si>
    <t>GM01-Main Board - Backlog - JIRA</t>
  </si>
  <si>
    <t>AHM01-Main Board - Backlog - JIRA</t>
  </si>
  <si>
    <t>HYUN01-Main Board - Backlog - JIRA</t>
  </si>
  <si>
    <t>Automotive Enterprise Platform</t>
  </si>
  <si>
    <t>AEP01-Main Board - Backlog - JIRA</t>
  </si>
  <si>
    <t>https://tekion.atlassian.net/issues?filter=58179</t>
  </si>
  <si>
    <t>Mid Jan 2026, got decision that IOT project is not needed.
Mid Apr 2026, got an ask to add sprints to IOT</t>
  </si>
  <si>
    <t>Automotive Marketing Cloud</t>
  </si>
  <si>
    <t>AMC01-Main Board - Scrum Board - JIRA</t>
  </si>
  <si>
    <t>ORBT01-Main Board - Backlog - JIRA</t>
  </si>
  <si>
    <t>https://tekion.atlassian.net/issues/?filter=42062</t>
  </si>
  <si>
    <t>https://tekion.atlassian.net/jira/plans/6806/scenarios/6806/timeline?vid=8163</t>
  </si>
  <si>
    <t>T1PL01-Main Board - Backlog - JIRA</t>
  </si>
  <si>
    <t>https://tekion.atlassian.net/issues/?filter=57138</t>
  </si>
  <si>
    <t>https://tekion.atlassian.net/issues/?filter=58476</t>
  </si>
  <si>
    <t>HPLT01-Main Board - Backlog - JIRA</t>
  </si>
  <si>
    <t>https://tekion.atlassian.net/issues/?filter=39637</t>
  </si>
  <si>
    <t>Teams using PDLC template but not tracked for reporting</t>
  </si>
  <si>
    <t>TOC01-Main Board - Backlog - JIRA</t>
  </si>
  <si>
    <t>Business Continuity</t>
  </si>
  <si>
    <t>BCMS01-Main Board - Backlog - JIRA</t>
  </si>
  <si>
    <t>For tracking Disaster Recovery related tasks to be worked on by Application team within CTO org</t>
  </si>
  <si>
    <t>SHIELD</t>
  </si>
  <si>
    <t>For tracking Security initiatives to be worked on by Application team within CTO org</t>
  </si>
  <si>
    <t>Teams using modified PDLC</t>
  </si>
  <si>
    <t>VOC01-Main Board - Backlog - JIRA</t>
  </si>
  <si>
    <t>Teams Assisting with PDLC</t>
  </si>
  <si>
    <t>Work Types for PDLC</t>
  </si>
  <si>
    <t xml:space="preserve">Automation? </t>
  </si>
  <si>
    <t>Automation Triggered by?</t>
  </si>
  <si>
    <t>Product Marketing (PDLC)</t>
  </si>
  <si>
    <t>PMM</t>
  </si>
  <si>
    <t>PMM board - Backlog - JIRA</t>
  </si>
  <si>
    <t>Release Note</t>
  </si>
  <si>
    <t>Enabled projects to have child tickets from PDLC application team Epics</t>
  </si>
  <si>
    <t>P&amp;S Learning</t>
  </si>
  <si>
    <t>PSEL</t>
  </si>
  <si>
    <t>PDLC KBs - Backlog - JIRA</t>
  </si>
  <si>
    <t>KB Article</t>
  </si>
  <si>
    <t>Janarthanan Rajan</t>
  </si>
  <si>
    <t>Tekion Product Design</t>
  </si>
  <si>
    <t>PD</t>
  </si>
  <si>
    <t>Design Sprints - Backlog - JIRA</t>
  </si>
  <si>
    <t>Design Task</t>
  </si>
  <si>
    <t>Epic - Design Required marked as Yes</t>
  </si>
  <si>
    <t>Jim Shannon</t>
  </si>
  <si>
    <t>BEA</t>
  </si>
  <si>
    <t>BEA - Backlog - JIRA</t>
  </si>
  <si>
    <t>BEA Tracking Story</t>
  </si>
  <si>
    <t>Abhinav Chourasia</t>
  </si>
  <si>
    <t>PRODSEC</t>
  </si>
  <si>
    <t>Security Assessment Ticket</t>
  </si>
  <si>
    <t>PRODSEC exists + Team works on Vulnerability work items</t>
  </si>
  <si>
    <t>Epic - Score based on Security questionnaire</t>
  </si>
  <si>
    <t>ARCH</t>
  </si>
  <si>
    <t>Epic - based on Architecture review as Yes</t>
  </si>
  <si>
    <t>Objective</t>
  </si>
  <si>
    <t>Budget Rollup</t>
  </si>
  <si>
    <t>Capacity Categorisation</t>
  </si>
  <si>
    <t>T1 Intent Layer</t>
  </si>
  <si>
    <t>[T1] Intent Recognition &amp; Accuracy</t>
  </si>
  <si>
    <t>AI, DATA, AND ANALYTICS</t>
  </si>
  <si>
    <t>[T1] ADE Mode Coverage Gaps</t>
  </si>
  <si>
    <t>[T1] Adoption &amp; Onboarding</t>
  </si>
  <si>
    <t>[T1] Persona Workflow Gaps</t>
  </si>
  <si>
    <t>20 AI Agents GA/BEA</t>
  </si>
  <si>
    <t>AI Agent Performance &amp; Quality</t>
  </si>
  <si>
    <t>AI Agent Adoption &amp; Enablement</t>
  </si>
  <si>
    <t>Service AI &amp; BDC AI</t>
  </si>
  <si>
    <t>Service Operations Efficiency</t>
  </si>
  <si>
    <t>Multi-Point Inspection Automation</t>
  </si>
  <si>
    <t>Service Customer Communication</t>
  </si>
  <si>
    <t>Sales AI, F&amp;I Agent &amp; Variable Ops</t>
  </si>
  <si>
    <t>CRM &amp; Lead Management</t>
  </si>
  <si>
    <t>Deal Desk &amp; Structuring</t>
  </si>
  <si>
    <t>F&amp;I Product Presentation &amp; Funding</t>
  </si>
  <si>
    <t>Lending and F&amp;I Apis and Data</t>
  </si>
  <si>
    <t>F&amp;I AI</t>
  </si>
  <si>
    <t>IMS / Inventory AI</t>
  </si>
  <si>
    <t>Acquisition &amp; Appraisal</t>
  </si>
  <si>
    <t>Pricing &amp; Merchandising</t>
  </si>
  <si>
    <t>Recon &amp; Wholesale</t>
  </si>
  <si>
    <t>Parts Management / Parts AI</t>
  </si>
  <si>
    <t>Retail Counter &amp; Service Lane Order Fulfillment</t>
  </si>
  <si>
    <t>Wholesale Enablement</t>
  </si>
  <si>
    <t>Warehouse Management &amp; Multi-warehouse Ops</t>
  </si>
  <si>
    <t>Analytics 2.0 &amp; AI Assistants</t>
  </si>
  <si>
    <t>Natural Language Query &amp; Dashboards</t>
  </si>
  <si>
    <t>Reporting Gaps &amp; Data Availability</t>
  </si>
  <si>
    <t>Predictive Analytics &amp; Forecasting</t>
  </si>
  <si>
    <t>ORBIT Framework</t>
  </si>
  <si>
    <t>ORBIT Agent Development &amp; Deployment</t>
  </si>
  <si>
    <t>Context Lake &amp; Knowledge Management</t>
  </si>
  <si>
    <t>Gateway Infrastructure (LLM + Tool)</t>
  </si>
  <si>
    <t>PDLC Transformation</t>
  </si>
  <si>
    <t>ISD Workflow &amp; Tooling</t>
  </si>
  <si>
    <t>Parallel Workflows (PM/Design/Eng)</t>
  </si>
  <si>
    <t>Development Velocity &amp; Cycle Time</t>
  </si>
  <si>
    <t>LLM / Model Gateway</t>
  </si>
  <si>
    <t>Model Routing &amp; Tier Optimization</t>
  </si>
  <si>
    <t>Cost Tracking &amp; Attribution</t>
  </si>
  <si>
    <t>Agent Orchestration &amp; Policy Lake</t>
  </si>
  <si>
    <t>Workflow Orchestration &amp; Multi-Step Intents</t>
  </si>
  <si>
    <t>Policy Lake &amp; Governance</t>
  </si>
  <si>
    <t>ORBIT Lake + RAG</t>
  </si>
  <si>
    <t>RAG Quality &amp; Grounding</t>
  </si>
  <si>
    <t>Document Ingestion &amp; Indexing</t>
  </si>
  <si>
    <t>Execution Confidence Index (ECI v2)</t>
  </si>
  <si>
    <t>RCI/BRI Separation</t>
  </si>
  <si>
    <t>Autopilot Mode &amp; Autonomous Execution</t>
  </si>
  <si>
    <t>Back Office AI</t>
  </si>
  <si>
    <t>Accounting Agents</t>
  </si>
  <si>
    <t>Payroll Agents</t>
  </si>
  <si>
    <t>PayTek and Cashiering Agents</t>
  </si>
  <si>
    <t>Back Office Roadmap</t>
  </si>
  <si>
    <t>Payment Methods</t>
  </si>
  <si>
    <t>ROADMAP INITIATIVES</t>
  </si>
  <si>
    <t>Tekion Spend</t>
  </si>
  <si>
    <t>In-Person Payments</t>
  </si>
  <si>
    <t>US Integration Delivery</t>
  </si>
  <si>
    <t>US - New Integrations</t>
  </si>
  <si>
    <t>APC + INTEGRATIONS</t>
  </si>
  <si>
    <t>US - Maintenance &amp; Enhancements</t>
  </si>
  <si>
    <t>Legacy Integration Platform</t>
  </si>
  <si>
    <t>Sustenance, Reliability &amp; Scaling</t>
  </si>
  <si>
    <t>LIP - Data Quality &amp; Remediation</t>
  </si>
  <si>
    <t>Security &amp; Compliance</t>
  </si>
  <si>
    <t>LIP - Billing, Reporting &amp; Analytics</t>
  </si>
  <si>
    <t>CDP &amp; Customer Data Platform</t>
  </si>
  <si>
    <t>Unified Customer Profiles</t>
  </si>
  <si>
    <t>Segmentation &amp; Audience Builder</t>
  </si>
  <si>
    <t>Tekion Appstore</t>
  </si>
  <si>
    <t>Pre-Built Integration Catalog</t>
  </si>
  <si>
    <t>Developer Experience &amp; Documentation</t>
  </si>
  <si>
    <t>MVP App Store with Volie Apps</t>
  </si>
  <si>
    <t>App Store with Full Partner Self Serve &amp; Admin Config</t>
  </si>
  <si>
    <t>App Store Migration for All Apps</t>
  </si>
  <si>
    <t>APC &amp; APC Studio</t>
  </si>
  <si>
    <t>Partner Experience</t>
  </si>
  <si>
    <t>Admin &amp; Operations Experience</t>
  </si>
  <si>
    <t>Developer Experience</t>
  </si>
  <si>
    <t>App Component Configuration Experience</t>
  </si>
  <si>
    <t>APC App Components - Service</t>
  </si>
  <si>
    <t>APC App Components - Parts</t>
  </si>
  <si>
    <t>APC App Components - Retail</t>
  </si>
  <si>
    <t>APC App Components - F&amp;I</t>
  </si>
  <si>
    <t>APC App Components - Core</t>
  </si>
  <si>
    <t>APC App Components - CRM</t>
  </si>
  <si>
    <t>APC App Components - Accounting</t>
  </si>
  <si>
    <t>Tekion Pay &amp; Cashiering APIs</t>
  </si>
  <si>
    <t>APC - Data Quality &amp; Remediation</t>
  </si>
  <si>
    <t>APC - Billing, Reporting &amp; Analytics</t>
  </si>
  <si>
    <t>APC Studio Foundations</t>
  </si>
  <si>
    <t>AI-Accelerated Development (LC/NC + AI)</t>
  </si>
  <si>
    <t>Integration Lifecycle Optimization</t>
  </si>
  <si>
    <t>Enterprise Readiness (Asbury &amp; Ken Garff)</t>
  </si>
  <si>
    <t>Enterprise Security &amp; Governance</t>
  </si>
  <si>
    <t>FIELD ENGINEERING</t>
  </si>
  <si>
    <t>Multi-Store Management &amp; Rollup</t>
  </si>
  <si>
    <t>Enterprise Account Delivery</t>
  </si>
  <si>
    <t>International - UK</t>
  </si>
  <si>
    <t>UK - New Integrations</t>
  </si>
  <si>
    <t>ARC INTERNATIONAL</t>
  </si>
  <si>
    <t>UK - Integration Maintenance &amp; Enhancements</t>
  </si>
  <si>
    <t>UK Localization &amp; Compliance</t>
  </si>
  <si>
    <t>UK Dealer Rollout (Hartwell + 50)</t>
  </si>
  <si>
    <t>International - Canada</t>
  </si>
  <si>
    <t>Canada - New Integrations</t>
  </si>
  <si>
    <t>Canada - Integration Maintenance &amp; Enhancements</t>
  </si>
  <si>
    <t>Canada Localization &amp; Compliance</t>
  </si>
  <si>
    <t>Canada Dealer Rollout (90 Rooftops)</t>
  </si>
  <si>
    <t>Product-Led Growth</t>
  </si>
  <si>
    <t>In-Product Upsell &amp; Agent Discovery</t>
  </si>
  <si>
    <t>Expansion &amp; Cross-Sell Motions</t>
  </si>
  <si>
    <t>Dealer Onboarding &amp; Setup Platform</t>
  </si>
  <si>
    <t>Onboarding and Enablement</t>
  </si>
  <si>
    <t>CDP - Data Quality &amp; Identity Resolution</t>
  </si>
  <si>
    <t>Campaigns Pro &amp; Marketing Automation</t>
  </si>
  <si>
    <t>Campaign Builder &amp; Multi-Channel Orchestration</t>
  </si>
  <si>
    <t>Campaign ROI &amp; Performance Tracking</t>
  </si>
  <si>
    <t>Closed-Loop Attribution &amp; DMS ROI</t>
  </si>
  <si>
    <t>Closed-Loop Attribution (Campaign to Sale)</t>
  </si>
  <si>
    <t>Marketing Analytics Dashboards</t>
  </si>
  <si>
    <t>OEM AI Agent Marketplace</t>
  </si>
  <si>
    <t>OEM-Branded AI Agents</t>
  </si>
  <si>
    <t>OEM Governance &amp; Compliance</t>
  </si>
  <si>
    <t>OEM Marketing Cloud &amp; Co-Op</t>
  </si>
  <si>
    <t>OEM Co-Op Campaign Management</t>
  </si>
  <si>
    <t>OEM-Branded Campaign Templates</t>
  </si>
  <si>
    <t>OEM Data &amp; Intelligence Platform</t>
  </si>
  <si>
    <t>Dealer Benchmarking &amp; Performance</t>
  </si>
  <si>
    <t>Predictive Demand &amp; Lifecycle Analytics</t>
  </si>
  <si>
    <t>Digital Retail &amp; ODSX/DRP Integration</t>
  </si>
  <si>
    <t>OEM Digital Retail Integration (ODSX/DRP)</t>
  </si>
  <si>
    <t>OEM Customer Experience Continuity</t>
  </si>
  <si>
    <t>Automotive Marketing Cloud (AMC/TMAC)</t>
  </si>
  <si>
    <t>Campaign Management &amp; Multi-Channel Orchestration</t>
  </si>
  <si>
    <t>CDP Integration &amp; Unified Customer Profiles</t>
  </si>
  <si>
    <t>OEM Co-Op &amp; Dealer Marketing Enablement</t>
  </si>
  <si>
    <t>Central Security Initiatives</t>
  </si>
  <si>
    <t>PII Data Protection &amp; Zero Trust Security</t>
  </si>
  <si>
    <t>SECURITY</t>
  </si>
  <si>
    <t>Platform Security Hardening</t>
  </si>
  <si>
    <t>Third Party &amp; Dependency Vulnerability Management</t>
  </si>
  <si>
    <t>Sustenance</t>
  </si>
  <si>
    <t>Accounting Stability</t>
  </si>
  <si>
    <t>SUSTENANCE</t>
  </si>
  <si>
    <t>Bugs, TAP Support Tickets, Feature Gap/Enhancements</t>
  </si>
  <si>
    <t>Test Automation</t>
  </si>
  <si>
    <t>Test Coverage &amp; E2E Automation</t>
  </si>
  <si>
    <t>TECH INITIATIVES</t>
  </si>
  <si>
    <t>Test Reliability &amp; Sprint Predictability</t>
  </si>
  <si>
    <t>APC - Test Coverage &amp; E2E Automation</t>
  </si>
  <si>
    <t>APC Studio - Test Coverage &amp; E2E Automation</t>
  </si>
  <si>
    <t>OEM Integration - Test Coverage &amp; E2E Automation</t>
  </si>
  <si>
    <t>Platform Stability</t>
  </si>
  <si>
    <t>Platform Performance &amp; Reliability</t>
  </si>
  <si>
    <t>Platform Stability - Data Quality &amp; Identity Resolution</t>
  </si>
  <si>
    <t>Central Tech Initiatives</t>
  </si>
  <si>
    <t>Cost Reduction</t>
  </si>
  <si>
    <t>Performance, Scalability &amp; Reliability</t>
  </si>
  <si>
    <t>Observability</t>
  </si>
  <si>
    <t>Central Productivity Initiatives</t>
  </si>
  <si>
    <t>CI/CD Adoption</t>
  </si>
  <si>
    <t>GitHub Migration</t>
  </si>
  <si>
    <t>Localized Tech Initiatives</t>
  </si>
  <si>
    <t>Tech Re-Architecture</t>
  </si>
  <si>
    <t>Localized Observability &amp; Monitoring</t>
  </si>
  <si>
    <t>Code Quality &amp; Documentation</t>
  </si>
  <si>
    <t>Localized Security Initiatives</t>
  </si>
  <si>
    <t>Security Vulnerability Remediation</t>
  </si>
  <si>
    <t>Sales AI</t>
  </si>
  <si>
    <t>Smart Retail</t>
  </si>
  <si>
    <t>Support Themes</t>
  </si>
  <si>
    <t>Sales - Non AI Roadmap</t>
  </si>
  <si>
    <t>Sales - Campaigns</t>
  </si>
  <si>
    <t>Sales Concierge</t>
  </si>
  <si>
    <t>DRS 1.0</t>
  </si>
  <si>
    <t>Other Variable Ops Features</t>
  </si>
  <si>
    <t>Text Opt-in/Opt-out</t>
  </si>
  <si>
    <t>CA CARS Act</t>
  </si>
  <si>
    <t>Legal/Contractual</t>
  </si>
  <si>
    <t>Galaxy Roadmap</t>
  </si>
  <si>
    <t>Captive Lender Onboarding</t>
  </si>
  <si>
    <t>GALAXY</t>
  </si>
  <si>
    <t>Non Captive Lender Onboarding</t>
  </si>
  <si>
    <t>Taxes and Fees in TDP</t>
  </si>
  <si>
    <t>OEM Digital Retail – DSP</t>
  </si>
  <si>
    <t>DSP - Improve Customer Experience</t>
  </si>
  <si>
    <t>Increase New / Existing User DX Interaction</t>
  </si>
  <si>
    <t>DSP - Increase Lead Generation</t>
  </si>
  <si>
    <t>DSP - Reporting/Analytics</t>
  </si>
  <si>
    <t>Service non-AI Roadmap</t>
  </si>
  <si>
    <t>Usage Analytics</t>
  </si>
  <si>
    <t>Minor Workflow Enhancements</t>
  </si>
  <si>
    <t>Service Paperless Experience</t>
  </si>
  <si>
    <t>Service 3.0 adoption</t>
  </si>
  <si>
    <t>Service Reporting</t>
  </si>
  <si>
    <t>Service Concierge + Remote Servicing</t>
  </si>
  <si>
    <t>Service Mobile Platform</t>
  </si>
  <si>
    <t>Scheduling AI</t>
  </si>
  <si>
    <t>BDC Outreach</t>
  </si>
  <si>
    <t>BDC Scheduling</t>
  </si>
  <si>
    <t>BDC Show Rate</t>
  </si>
  <si>
    <t>Service Lane Tech AI</t>
  </si>
  <si>
    <t>Upsell Opportunities</t>
  </si>
  <si>
    <t>AI Experiment</t>
  </si>
  <si>
    <t>Upsell Conversion</t>
  </si>
  <si>
    <t>Self-Service</t>
  </si>
  <si>
    <t>Service DMS AI</t>
  </si>
  <si>
    <t>Efficiency Gains</t>
  </si>
  <si>
    <t>Workflow Conversion</t>
  </si>
  <si>
    <t>Action driven DMS</t>
  </si>
  <si>
    <t>Workshop Planning</t>
  </si>
  <si>
    <t>Smart Dispatch</t>
  </si>
  <si>
    <t>Service Catalog AI</t>
  </si>
  <si>
    <t>SCP Adoption readiness</t>
  </si>
  <si>
    <t>SCP Penetration</t>
  </si>
  <si>
    <t>Smart Pricing</t>
  </si>
  <si>
    <t>Competitive Parity</t>
  </si>
  <si>
    <t>Roadmap Initiatives</t>
  </si>
  <si>
    <t>Old values</t>
  </si>
  <si>
    <t>AI, Data and Analytics</t>
  </si>
  <si>
    <t>APC + Integration Platform</t>
  </si>
  <si>
    <t>ARC Canada</t>
  </si>
  <si>
    <t>ARC Enterprise</t>
  </si>
  <si>
    <t>ARC UK</t>
  </si>
  <si>
    <t>Back Office</t>
  </si>
  <si>
    <t>Cloud Cost reduction</t>
  </si>
  <si>
    <t>Tech Initiatives</t>
  </si>
  <si>
    <t>Cloud Reliability</t>
  </si>
  <si>
    <t>Conversion as a Service</t>
  </si>
  <si>
    <t>Core &amp; Platform</t>
  </si>
  <si>
    <t>Dev Experience</t>
  </si>
  <si>
    <t>Fixed Ops</t>
  </si>
  <si>
    <t>Forms Pro</t>
  </si>
  <si>
    <t>High Impact Features</t>
  </si>
  <si>
    <t>HIF</t>
  </si>
  <si>
    <t>Integration Automation</t>
  </si>
  <si>
    <t>Learning &amp; Development</t>
  </si>
  <si>
    <t>Operational Readiness</t>
  </si>
  <si>
    <t>Partner Portal</t>
  </si>
  <si>
    <t>Resiliency in Code and Architecture</t>
  </si>
  <si>
    <t>Setup Copy Tool</t>
  </si>
  <si>
    <t>Setup Simplification</t>
  </si>
  <si>
    <t>T1</t>
  </si>
  <si>
    <t>Testing Process (Quality and Performance)</t>
  </si>
  <si>
    <t>Variable Ops</t>
  </si>
  <si>
    <t>Repo</t>
  </si>
  <si>
    <t>Engg VP / Leader</t>
  </si>
  <si>
    <r>
      <rPr>
        <b/>
        <sz val="12"/>
        <color rgb="FF000000"/>
        <rFont val="Aptos Display"/>
        <family val="2"/>
        <scheme val="major"/>
      </rPr>
      <t>Note:</t>
    </r>
    <r>
      <rPr>
        <sz val="12"/>
        <color rgb="FF000000"/>
        <rFont val="Aptos Display"/>
        <family val="2"/>
        <scheme val="major"/>
      </rPr>
      <t xml:space="preserve"> Mapped using Claude via Deepcontext where EM/ED didn't confirm ownership of their repos. Please verify &amp; contact TPM team for changes.</t>
    </r>
  </si>
  <si>
    <t>integration-drp-drp-integrations-vehiclespec-service</t>
  </si>
  <si>
    <t>arc-service-digital-signing-screen-share</t>
  </si>
  <si>
    <t>arc-service-digital-signing-client-api</t>
  </si>
  <si>
    <t>aec-precheckout-honda-aec-cp-ims</t>
  </si>
  <si>
    <t>aec-precheckout-honda-aec-cp-oms-apigateway</t>
  </si>
  <si>
    <t>arc-retail-sales-deals-deal-search-service</t>
  </si>
  <si>
    <t>aec-precheckout-honda-aec-cp-jobs</t>
  </si>
  <si>
    <t>aec-precheckout-honda-aec-cp-content-management-gateway</t>
  </si>
  <si>
    <t>aec-precheckout-honda-aec-cp-content-management</t>
  </si>
  <si>
    <t>aec-precheckout-honda-aec-cp-oms-inbound</t>
  </si>
  <si>
    <t>aec-precheckout-honda-aec-cp-oms-outbound</t>
  </si>
  <si>
    <t>aec-precheckout-honda-aec-cp-security-service</t>
  </si>
  <si>
    <t>aec-precheckout-honda-aec-cp-oms-gateway</t>
  </si>
  <si>
    <t>arc-accounting-customer-portal-gateway</t>
  </si>
  <si>
    <t>arc-retail-caviar-api-caviar</t>
  </si>
  <si>
    <t>arc-parts-migration-scripts</t>
  </si>
  <si>
    <t>aec-precheckout-honda-aec-cp-dealer-settings-service</t>
  </si>
  <si>
    <t>aec-precheckout-honda-aec-cp-dealer-settings-ingestion</t>
  </si>
  <si>
    <t>arc-service-digital-signing-preferences</t>
  </si>
  <si>
    <t>aec-precheckout-honda-aec-cp-dealer-gateway</t>
  </si>
  <si>
    <t>aec-precheckout-honda-aec-cp-suggestion</t>
  </si>
  <si>
    <t>aec-precheckout-honda-aec-cp-dealer-details-ingestion</t>
  </si>
  <si>
    <t>aec-precheckout-honda-aec-cp-dealer-details-service</t>
  </si>
  <si>
    <t>drp-salescloud-drp-dms-core</t>
  </si>
  <si>
    <t>drp-drs-aec-cp-scx-identity-provider</t>
  </si>
  <si>
    <t>arc-crm-threads-pool-threads-commons-lib</t>
  </si>
  <si>
    <t>arc-crm-threads-pool-threads-gateway</t>
  </si>
  <si>
    <t>arc-retail-sales-deal-listners</t>
  </si>
  <si>
    <t>arc-retail-ims-ims-sda-orchestrator</t>
  </si>
  <si>
    <t>arc-service-consumerkeyloungeservice</t>
  </si>
  <si>
    <t>aec-precheckout-honda-aec-cp-myaccount-service</t>
  </si>
  <si>
    <t>aec-precheckout-honda-aec-cp-appointments-outbound</t>
  </si>
  <si>
    <t>OLD-arc-service-quotes</t>
  </si>
  <si>
    <t>arc-retail-caviar-caviar-data-enrichment-service</t>
  </si>
  <si>
    <t>arc-service-trimservice</t>
  </si>
  <si>
    <t>arc-service-signatureservice</t>
  </si>
  <si>
    <t>integration-drp2.0-drp-integrations-event-tracker-service</t>
  </si>
  <si>
    <t>arc-service-service-platform-data-resolver</t>
  </si>
  <si>
    <t>aec-ui-aec-shared-libs</t>
  </si>
  <si>
    <t>aec-precheckout-honda-aec-cp-inventory-common-core</t>
  </si>
  <si>
    <t>aec-precheckout-honda-aec-cp-inventory-inbound-service</t>
  </si>
  <si>
    <t>aec-precheckout-honda-aec-inventory-management-service</t>
  </si>
  <si>
    <t>aec-precheckout-honda-aec-cp-ims-jobs</t>
  </si>
  <si>
    <t>aec-precheckout-honda-aec-cp-discovery-apigateway</t>
  </si>
  <si>
    <t>aec-precheckout-honda-aec-cp-consumerwebsetup-service</t>
  </si>
  <si>
    <t>aec-precheckout-honda-aec-cp-discovery</t>
  </si>
  <si>
    <t>aec-precheckout-honda-aec-cp-consumerwebsetup-gateway-service</t>
  </si>
  <si>
    <t>aec-precheckout-honda-aec-cp-ims-apigateway</t>
  </si>
  <si>
    <t>aec-precheckout-honda-aec-cp-integrations-service</t>
  </si>
  <si>
    <t>aec-precheckout-honda-aec-cp-cms</t>
  </si>
  <si>
    <t>aec-precheckout-honda-aec-cp-cms-gateway</t>
  </si>
  <si>
    <t>OLD-development-hulk-pool-hulk-control-plane</t>
  </si>
  <si>
    <t>arc-service-service-dashboard</t>
  </si>
  <si>
    <t>aec-precheckout-honda-aec-cp-suggestion-apigateway</t>
  </si>
  <si>
    <t>aec-precheckout-honda-aec-cp-configurator</t>
  </si>
  <si>
    <t>galaxy-cms-fees-decoder</t>
  </si>
  <si>
    <t>arc-accounting-customer-portal-ar-service</t>
  </si>
  <si>
    <t>aec-precheckout-honda-aec-cp-configurator-gateway</t>
  </si>
  <si>
    <t>aec-precheckout-honda-aec-cp-audit-service</t>
  </si>
  <si>
    <t>aec-precheckout-aec-cp-content-management-ingestion</t>
  </si>
  <si>
    <t>aec-precheckout-honda-aec-cp-integrations-gateway</t>
  </si>
  <si>
    <t>aec-precheckout-honda-aec-cp-pricing</t>
  </si>
  <si>
    <t>aec-precheckout-honda-aec-cp-pricing-gateway</t>
  </si>
  <si>
    <t>galaxy-payment-r3-service</t>
  </si>
  <si>
    <t>aec-precheckout-honda-aec-cp-lcs</t>
  </si>
  <si>
    <t>aec-precheckout-honda-aec-cp-oms</t>
  </si>
  <si>
    <t>drp-drs-aec-cp-scx-activity</t>
  </si>
  <si>
    <t>drp-drs-aec-cp-scx-document-service</t>
  </si>
  <si>
    <t>drp-salescloud-drp-deal-vdp-inbound</t>
  </si>
  <si>
    <t>galaxy-cds</t>
  </si>
  <si>
    <t>integration-aec-aec-integrations-internal-event-gateway</t>
  </si>
  <si>
    <t>arc-crm-comunicationoptinpreference</t>
  </si>
  <si>
    <t>arc-ui-tekion-login</t>
  </si>
  <si>
    <t>arc-retail-retail-label-printing-service</t>
  </si>
  <si>
    <t>arc-retail-esign-form-api</t>
  </si>
  <si>
    <t>arc-crm-crmonboardingvalidations</t>
  </si>
  <si>
    <t>integration-aec-aec-integrations-internal-event-agent</t>
  </si>
  <si>
    <t>integration-aec-aec-integrations-dms-service</t>
  </si>
  <si>
    <t>aec-ui-aec-web-common</t>
  </si>
  <si>
    <t>arc-crm-drleadstore</t>
  </si>
  <si>
    <t>aec-ford-oemordermanagementservice</t>
  </si>
  <si>
    <t>arc-retail-sales-deals-deals-apc-service</t>
  </si>
  <si>
    <t>arc-payroll-employeehoursservice</t>
  </si>
  <si>
    <t>galaxy-fni-toyota</t>
  </si>
  <si>
    <t>arc-accounting-accounting-ui-meta</t>
  </si>
  <si>
    <t>arc-accounting-config-management</t>
  </si>
  <si>
    <t>drp-drs-dms-scx-outbound</t>
  </si>
  <si>
    <t>arc-parts-parts-selling-price-bulk-update</t>
  </si>
  <si>
    <t>arc-accounting-customer-portal-metadata</t>
  </si>
  <si>
    <t>drp-drs-aec-cp-scx-activity-coordinator</t>
  </si>
  <si>
    <t>drp-drs-digitalretail-core</t>
  </si>
  <si>
    <t>arc-crm-threads-pool-call-weaver</t>
  </si>
  <si>
    <t>arc-retail-formpro-oem-formpro</t>
  </si>
  <si>
    <t>arc-retail-caviar-caviar-inbound-service</t>
  </si>
  <si>
    <t>arc-parts-parts-bulk-action</t>
  </si>
  <si>
    <t>arc-retail-sales-deals-deals-migration</t>
  </si>
  <si>
    <t>aec-ui-tekion-consumer-login</t>
  </si>
  <si>
    <t>integration-aec-aec-integrations-scheduler-service</t>
  </si>
  <si>
    <t>arc-retail-core-retail-core-global-service</t>
  </si>
  <si>
    <t>aec-ford-aecapiservice</t>
  </si>
  <si>
    <t>arc-crm-crm-auto-dedup</t>
  </si>
  <si>
    <t>arc-parts-parts-activity-log</t>
  </si>
  <si>
    <t>arc-retail-fni-dms-api-salestaskmanager</t>
  </si>
  <si>
    <t>arc-retail-oemquoteservice</t>
  </si>
  <si>
    <t>drp-drs-aec-cp-scx-auth</t>
  </si>
  <si>
    <t>arc-retail-docsandesign-service</t>
  </si>
  <si>
    <t>drp-drs-aec-cp-scx-cashiering</t>
  </si>
  <si>
    <t>arc-retail-caviar-caviar-standardisation-service</t>
  </si>
  <si>
    <t>integration-drp2.0-drp-integrations-async-search-service</t>
  </si>
  <si>
    <t>drp-drs-aec-cp-scx-outbound</t>
  </si>
  <si>
    <t>arc-accounting-tekion-tax-codes</t>
  </si>
  <si>
    <t>arc-service-fixedops-customfields-service</t>
  </si>
  <si>
    <t>arc-accounting-acc-central-ack</t>
  </si>
  <si>
    <t>drp-salescloud-drp-dealorchestrator</t>
  </si>
  <si>
    <t>drp-drs-scx_oem_notification_service</t>
  </si>
  <si>
    <t>arc-accounting-customer-portal-onboarding</t>
  </si>
  <si>
    <t>aec-ford-aecvehicleinventoryservice</t>
  </si>
  <si>
    <t>arc-crm-crmcompliance</t>
  </si>
  <si>
    <t>galaxy-fni-compliance-service</t>
  </si>
  <si>
    <t>arc-retail-caviar-caviar-orchestration-service</t>
  </si>
  <si>
    <t>galaxy-dfe-billing</t>
  </si>
  <si>
    <t>integration-aec-aec-integrations-data-ingestion-service</t>
  </si>
  <si>
    <t>drp-drs-aec-cp-scx-inbound</t>
  </si>
  <si>
    <t>arc-retail-sales-deals-deals-accounting-service</t>
  </si>
  <si>
    <t>aec-precheckout-aec-cp-content-management-gateway</t>
  </si>
  <si>
    <t>arc-parts-parts-warranty</t>
  </si>
  <si>
    <t>arc-retail-sales-deals-deals-journey</t>
  </si>
  <si>
    <t>drp-drs-aec-cp-common-core-service</t>
  </si>
  <si>
    <t>arc-parts-Parts-Scheduler-Support</t>
  </si>
  <si>
    <t>galaxy-gm-financials</t>
  </si>
  <si>
    <t>arc-parts-parts-paper-service</t>
  </si>
  <si>
    <t>arc-accounting-accounting-reconciliation</t>
  </si>
  <si>
    <t>arc-retail-core-retail-config-mgmt-serv</t>
  </si>
  <si>
    <t>arc-retail-sales-salesdatamodels</t>
  </si>
  <si>
    <t>galaxy-galaxy-commons</t>
  </si>
  <si>
    <t>galaxy-dfe-configurator-api</t>
  </si>
  <si>
    <t>arc-retail-ordermanagementapiservice</t>
  </si>
  <si>
    <t>aec-aec-studio-aec-cms-service</t>
  </si>
  <si>
    <t>galaxy-r3-taxfee-aggregator</t>
  </si>
  <si>
    <t>aec-aec-studio-aec-studio-cdm-service</t>
  </si>
  <si>
    <t>arc-crm-dealerlaunchpad</t>
  </si>
  <si>
    <t>arc-parts-parts-integration</t>
  </si>
  <si>
    <t>galaxy-fni-portfolio</t>
  </si>
  <si>
    <t>aec-oem-aec-compliance-service</t>
  </si>
  <si>
    <t>aec-ford-aecleadservice</t>
  </si>
  <si>
    <t>galaxy-galaxy-public-api-router</t>
  </si>
  <si>
    <t>arc-retail-formscoreservice</t>
  </si>
  <si>
    <t>galaxy-southwestre</t>
  </si>
  <si>
    <t>drp-salescloud-drp-salesreportingservice</t>
  </si>
  <si>
    <t>arc-retail-itextpdfserver</t>
  </si>
  <si>
    <t>integration-aec-aec-integrations-api-gateway</t>
  </si>
  <si>
    <t>galaxy-gmf-integration</t>
  </si>
  <si>
    <t>arc-service-ro-validation-service</t>
  </si>
  <si>
    <t>arc-parts-parts-po-proxy</t>
  </si>
  <si>
    <t>galaxy-lender-aggregator</t>
  </si>
  <si>
    <t>integration-aec-aec-integrations-core-property</t>
  </si>
  <si>
    <t>galaxy-fni-safeguard</t>
  </si>
  <si>
    <t>arc-crm-communication-service</t>
  </si>
  <si>
    <t>galaxy-cms-tax-fees</t>
  </si>
  <si>
    <t>arc-retail-salesnotificationservice</t>
  </si>
  <si>
    <t>drp-salescloud-drp-deal-outbound</t>
  </si>
  <si>
    <t>integration-aec-aec-integrations-utility-service</t>
  </si>
  <si>
    <t>integration-aec-aec-integrations-leads</t>
  </si>
  <si>
    <t>integration-aec-aec-integrations-master-data-service</t>
  </si>
  <si>
    <t>arc-parts-parts-sales-order</t>
  </si>
  <si>
    <t>arc-retail-salestaskmanager</t>
  </si>
  <si>
    <t>arc-retail-deskingcalculation</t>
  </si>
  <si>
    <t>galaxy-fni-aggregator</t>
  </si>
  <si>
    <t>aec-ford-oem-order-management-api-service</t>
  </si>
  <si>
    <t>arc-service-arc_cashier_inboundservice</t>
  </si>
  <si>
    <t>arc-service-mediamanager</t>
  </si>
  <si>
    <t>arc-service-fixedops-ai-service</t>
  </si>
  <si>
    <t>arc-retail-dealdocument</t>
  </si>
  <si>
    <t>integration-aec-aec-integrations-auth-service</t>
  </si>
  <si>
    <t>integration-aec-aec-integrations-internal-api-agent</t>
  </si>
  <si>
    <t>integration-aec-aec-integrations-orchestrator</t>
  </si>
  <si>
    <t>integration-aec-aec-integrations-internal-api-gateway</t>
  </si>
  <si>
    <t>integration-aec-aec-integrations-event-monitoring-service</t>
  </si>
  <si>
    <t>arc-parts-parts-purchase-order</t>
  </si>
  <si>
    <t>arc-parts-parts-inventory</t>
  </si>
  <si>
    <t>drp-drs-aec-cp-scx-media-commons</t>
  </si>
  <si>
    <t>aec-precheckout-honda-aec-cp-tracing-lib</t>
  </si>
  <si>
    <t>aec-precheckout-honda-aec-cp-templatesupport</t>
  </si>
  <si>
    <t>galaxy-arc-assurant</t>
  </si>
  <si>
    <t>drp-gm-custom-apps-gm-resolution-service</t>
  </si>
  <si>
    <t>arc-retail-dealjobs</t>
  </si>
  <si>
    <t>arc-accounting-acc-invoicing-service</t>
  </si>
  <si>
    <t>arc-service-service-catalog</t>
  </si>
  <si>
    <t>arc-accounting-drp-api-accountingservice</t>
  </si>
  <si>
    <t>aec-precheckout-aec-appointments-central-inbound-service</t>
  </si>
  <si>
    <t>arc-retail-dealsetupservice</t>
  </si>
  <si>
    <t>arc-service-ds-consumerlogin</t>
  </si>
  <si>
    <t>arc-service-couponmgmt</t>
  </si>
  <si>
    <t>aec-precheckout-aec-cp-notification-dispatcher-service</t>
  </si>
  <si>
    <t>arc-accounting-accounting-integrations</t>
  </si>
  <si>
    <t>integration-aec-aec-integrations-workflow-service</t>
  </si>
  <si>
    <t>integration-aec-aec-integrations-alert-service</t>
  </si>
  <si>
    <t>arc-crm-crmvehiclemetaservice</t>
  </si>
  <si>
    <t>aec-precheckout-aec-cp-notification-central-service</t>
  </si>
  <si>
    <t>arc-accounting-accounting-bank-details</t>
  </si>
  <si>
    <t>integration-aec-aec-integrations-auth-configs</t>
  </si>
  <si>
    <t>aec-ford-aecintegrationinboundservice</t>
  </si>
  <si>
    <t>aec-precheckout-honda-aec-cp-notification-dispatcher-service</t>
  </si>
  <si>
    <t>aec-precheckout-honda-aec-appointments-central-inbound-service</t>
  </si>
  <si>
    <t>aec-precheckout-honda-aec-appointments-central-service</t>
  </si>
  <si>
    <t>aec-precheckout-aec-cp-reconciliation-service</t>
  </si>
  <si>
    <t>aec-precheckout-honda-aec-cp-myaccount-apigateway</t>
  </si>
  <si>
    <t>drp-gm-custom-apps-gm-poq-service</t>
  </si>
  <si>
    <t>arc-accounting-accounting-aggregation-service</t>
  </si>
  <si>
    <t>arc-accounting-brs_service</t>
  </si>
  <si>
    <t>aec-precheckout-aec-cp-inventory-inbound-service</t>
  </si>
  <si>
    <t>aec-precheckout-aec-cp-pricing-gateway</t>
  </si>
  <si>
    <t>aec-precheckout-aec-cp-myaccount-apigateway</t>
  </si>
  <si>
    <t>arc-accounting-accounting-ap</t>
  </si>
  <si>
    <t>integration-drp-drp-integrations-event-tracker-service</t>
  </si>
  <si>
    <t>arc-retail-vi-integration</t>
  </si>
  <si>
    <t>arc-accounting-excel-export-service</t>
  </si>
  <si>
    <t>arc-crm-mailreceiverservice</t>
  </si>
  <si>
    <t>arc-service-digital-signing-document-service</t>
  </si>
  <si>
    <t>integration-drp-drp-integrations-dms-service</t>
  </si>
  <si>
    <t>arc-crm-crm-inbound</t>
  </si>
  <si>
    <t>aec-precheckout-drp-cp-inventory-jobs</t>
  </si>
  <si>
    <t>arc-service-signing-partner-integration-service</t>
  </si>
  <si>
    <t>arc-service-digital-signing-web-api</t>
  </si>
  <si>
    <t>arc-retail-dealinbound</t>
  </si>
  <si>
    <t>arc-service-esignservice</t>
  </si>
  <si>
    <t>arc-crm-vischedulerservice</t>
  </si>
  <si>
    <t>arc-crm-crm-outbound</t>
  </si>
  <si>
    <t>arc-retail-fnioutboundservice</t>
  </si>
  <si>
    <t>aec-precheckout-aec-cp-configurator-gateway</t>
  </si>
  <si>
    <t>arc-retail-deals-aec-outbound</t>
  </si>
  <si>
    <t>arc-service-digital-signing-user-management</t>
  </si>
  <si>
    <t>arc-accounting-customer-portal-commons</t>
  </si>
  <si>
    <t>arc-crm-crmsqsconsumerservice</t>
  </si>
  <si>
    <t>arc-retail-caviar-caviar-service</t>
  </si>
  <si>
    <t>aec-precheckout-aec-cp-security-service</t>
  </si>
  <si>
    <t>aec-ford-aecsetupservice</t>
  </si>
  <si>
    <t>integration-aec-aec-integrations-onboarding-service</t>
  </si>
  <si>
    <t>arc-retail-oemfnisetup</t>
  </si>
  <si>
    <t>arc-crm-api-crm-mobile</t>
  </si>
  <si>
    <t>integration-aec-aec-integrations-dealer-service</t>
  </si>
  <si>
    <t>arc-service-drp-cashier-service</t>
  </si>
  <si>
    <t>arc-crm-crm-ext-apis</t>
  </si>
  <si>
    <t>galaxy-fni-ssq</t>
  </si>
  <si>
    <t>arc-service-tirestorage</t>
  </si>
  <si>
    <t>arc-service-rideshareservice</t>
  </si>
  <si>
    <t>arc-crm-commonentityservice</t>
  </si>
  <si>
    <t>arc-service-arc_cashier_outboundservice</t>
  </si>
  <si>
    <t>arc-parts-parts-orchestrator</t>
  </si>
  <si>
    <t>arc-service-loaner-management-service</t>
  </si>
  <si>
    <t>arc-service-approval-service</t>
  </si>
  <si>
    <t>arc-retail-ims-ims-sda-agents</t>
  </si>
  <si>
    <t>aec-ui-drp-cp-gm-dwc-redirection-service</t>
  </si>
  <si>
    <t>drp-drs-drs-validationservice</t>
  </si>
  <si>
    <t>arc-accounting-dynamicenrichment</t>
  </si>
  <si>
    <t>arc-service-asyncservice</t>
  </si>
  <si>
    <t>arc-parts-parts-outbox</t>
  </si>
  <si>
    <t>arc-service-service-kafka-connect</t>
  </si>
  <si>
    <t>arc-service-labor-pricing</t>
  </si>
  <si>
    <t>arc-parts-parts-inventory-reporting</t>
  </si>
  <si>
    <t>arc-payroll-tekpayroll-v2-global-service</t>
  </si>
  <si>
    <t>drp-drs-consumerdrspricing-setup</t>
  </si>
  <si>
    <t>arc-parts-parts-pricing-engine</t>
  </si>
  <si>
    <t>arc-accounting-request-validation-service</t>
  </si>
  <si>
    <t>arc-crm-lead-activity-serving</t>
  </si>
  <si>
    <t>arc-service-service-platform-pdfservice</t>
  </si>
  <si>
    <t>arc-parts-parts-change-history</t>
  </si>
  <si>
    <t>arc-retail-fni-doc-intelligence</t>
  </si>
  <si>
    <t>arc-parts-parts-metrics</t>
  </si>
  <si>
    <t>galaxy-fni-uk-providers</t>
  </si>
  <si>
    <t>arc-parts-parts-replacement</t>
  </si>
  <si>
    <t>aec-precheckout-drp-cp-suggestion-service</t>
  </si>
  <si>
    <t>arc-parts-parts-aio-service</t>
  </si>
  <si>
    <t>arc-parts-parts-audit-commons</t>
  </si>
  <si>
    <t>arc-retail-fni-system-orchestrator</t>
  </si>
  <si>
    <t>arc-parts-parts-inbound</t>
  </si>
  <si>
    <t>arc-crm-crm-api-repository</t>
  </si>
  <si>
    <t>drp-salescloud-drp-drs-client</t>
  </si>
  <si>
    <t>arc-parts-parts-retryer-service</t>
  </si>
  <si>
    <t>aec-precheckout-aec-cp-discovery-jobs</t>
  </si>
  <si>
    <t>oemportal-service</t>
  </si>
  <si>
    <t>galaxy-dfe-apr-configurator</t>
  </si>
  <si>
    <t>arc-crm-threads-pool-clients-pool-tekion-feign-lite</t>
  </si>
  <si>
    <t>arc-ui-tekion-internal</t>
  </si>
  <si>
    <t>arc-parts-reactive-sdk</t>
  </si>
  <si>
    <t>arc-crm-crmservice</t>
  </si>
  <si>
    <t>fleet-ui-fleet-web</t>
  </si>
  <si>
    <t>aec-ui-cp-tokens</t>
  </si>
  <si>
    <t>drp-drs-contextservice</t>
  </si>
  <si>
    <t>arc-parts-archived-parts-wholesale-portal</t>
  </si>
  <si>
    <t>arc-retail-oemordermanagementinboundservice</t>
  </si>
  <si>
    <t>arc-parts-parts-pdf-proxy</t>
  </si>
  <si>
    <t>arc-retail-ordermanagementoutboundservice</t>
  </si>
  <si>
    <t>arc-retail-ordermanagementinboundservice</t>
  </si>
  <si>
    <t>arc-accounting-tschedulinglib</t>
  </si>
  <si>
    <t>arc-accounting-dynamic-flow-builder</t>
  </si>
  <si>
    <t>arc-parts-parts-brand</t>
  </si>
  <si>
    <t>arc-parts-parts-shipment</t>
  </si>
  <si>
    <t>arc-retail-vi-vehicleinventorymigration</t>
  </si>
  <si>
    <t>arc-crm-ai-foundations-crmcontextengine</t>
  </si>
  <si>
    <t>arc-service-digital-contracts</t>
  </si>
  <si>
    <t>integration-drp-drp-integrations-leads</t>
  </si>
  <si>
    <t>integration-drp-drp-integrations-master-data-service</t>
  </si>
  <si>
    <t>aec-ford-aecquoteservice</t>
  </si>
  <si>
    <t>arc-retail-ordermanagement</t>
  </si>
  <si>
    <t>aec-ui-aec-studio-web</t>
  </si>
  <si>
    <t>aec-ui-drp-cp-carbravo-frontend</t>
  </si>
  <si>
    <t>arc-parts-parts-warehouse</t>
  </si>
  <si>
    <t>arc-ui-tekion-custom-charts</t>
  </si>
  <si>
    <t>drp-salescloud-drp-drs-core</t>
  </si>
  <si>
    <t>drp-gm-custom-apps-gm-web</t>
  </si>
  <si>
    <t>arc-parts-parts-openapi</t>
  </si>
  <si>
    <t>arc-retail-formprocore</t>
  </si>
  <si>
    <t>drp-drs-aec-cp-scx-pricing</t>
  </si>
  <si>
    <t>arc-retail-dms-api-fni</t>
  </si>
  <si>
    <t>arc-service-service-warranty-service</t>
  </si>
  <si>
    <t>arc-service-servicesettings</t>
  </si>
  <si>
    <t>aec-precheckout-aec-inventory-management-service</t>
  </si>
  <si>
    <t>arc-retail-fnisettingsservice</t>
  </si>
  <si>
    <t>tekion-openapi</t>
  </si>
  <si>
    <t>arc-service-ro3.0</t>
  </si>
  <si>
    <t>arc-crm-crmreportingingestion</t>
  </si>
  <si>
    <t>arc-parts-part-master</t>
  </si>
  <si>
    <t>arc-service-vehicleprofileservice</t>
  </si>
  <si>
    <t>drp-drs-aec-cp-scx-cart</t>
  </si>
  <si>
    <t>aec-precheckout-aec-cp-ims-jobs</t>
  </si>
  <si>
    <t>arc-retail-arc-external-dms-mapping</t>
  </si>
  <si>
    <t>arc-retail-sales-dealsopenapiservice</t>
  </si>
  <si>
    <t>arc-service-service-communications</t>
  </si>
  <si>
    <t>arc-service-feemgmt</t>
  </si>
  <si>
    <t>arc-crm-crmsetupservice</t>
  </si>
  <si>
    <t>arc-service-operation-builder-service</t>
  </si>
  <si>
    <t>arc-retail-dms-api-deals</t>
  </si>
  <si>
    <t>arc-service-service-document-service</t>
  </si>
  <si>
    <t>drp-drs-drs-concierge</t>
  </si>
  <si>
    <t>arc-ui-tekion-pay-web</t>
  </si>
  <si>
    <t>OLD_arc-service-opcode2.0</t>
  </si>
  <si>
    <t>drp-drs-aec-cp-scx-common</t>
  </si>
  <si>
    <t>arc-accounting-communication-service</t>
  </si>
  <si>
    <t>drp-salescloud-drp-itextservice</t>
  </si>
  <si>
    <t>arc-parts-parts-physical-inventory</t>
  </si>
  <si>
    <t>arc-retail-salesreportingservice</t>
  </si>
  <si>
    <t>aec-aec-common-aec-cp-fni-service</t>
  </si>
  <si>
    <t>arc-retail-dealinvoicing</t>
  </si>
  <si>
    <t>arc-parts-parts-pick-list</t>
  </si>
  <si>
    <t>arc-service-consumerportal</t>
  </si>
  <si>
    <t>arc-parts-parts-supersession</t>
  </si>
  <si>
    <t>arc-accounting-accounting-ar-statement</t>
  </si>
  <si>
    <t>arc-retail-vi-api-vehicleinventoryservice</t>
  </si>
  <si>
    <t>drp-salescloud-drp-deal-jobs</t>
  </si>
  <si>
    <t>drp-salescloud-drp-pricing-library</t>
  </si>
  <si>
    <t>arc-parts-parts-settings</t>
  </si>
  <si>
    <t>drp-salescloud-drp-deal-inbound</t>
  </si>
  <si>
    <t>arc-accounting-financialstatements</t>
  </si>
  <si>
    <t>aec-ford-aecintegrationservice</t>
  </si>
  <si>
    <t>arc-accounting-arc-customer-portal-management</t>
  </si>
  <si>
    <t>arc-service-inspection</t>
  </si>
  <si>
    <t>galaxy-fni-vendor-core</t>
  </si>
  <si>
    <t>aec-aec-studio-aec-studio-service</t>
  </si>
  <si>
    <t>arc-accounting-accounting-reports</t>
  </si>
  <si>
    <t>arc-crm-appointmentservice</t>
  </si>
  <si>
    <t>aec-ui-aec-oem-web</t>
  </si>
  <si>
    <t>drp-gm-custom-apps-gm-vehicleinventory-service</t>
  </si>
  <si>
    <t>arc-accounting-accounting-ar</t>
  </si>
  <si>
    <t>OLD_arc-crm-crmcommunicationservice</t>
  </si>
  <si>
    <t>arc-crm-outage-communication</t>
  </si>
  <si>
    <t>aec-precheckout-aec-cp-suggestions</t>
  </si>
  <si>
    <t>arc-service-service-reporting-ingestion</t>
  </si>
  <si>
    <t>OLD_arc-crm-crmcustomer</t>
  </si>
  <si>
    <t>arc-retail-retailexternalservice</t>
  </si>
  <si>
    <t>arc-ui-tekion-edge-ui</t>
  </si>
  <si>
    <t>arc-parts-consumer-screen-share-service</t>
  </si>
  <si>
    <t>arc-parts-screen-share-service</t>
  </si>
  <si>
    <t>aec-precheckout-aec-cp-ims-apigateway</t>
  </si>
  <si>
    <t>aec-precheckout-aec-cp-pricing</t>
  </si>
  <si>
    <t>OLD-arc-crm-email-service</t>
  </si>
  <si>
    <t>arc-parts-parts-valuation</t>
  </si>
  <si>
    <t>arc-parts-parts-configurator</t>
  </si>
  <si>
    <t>aec-precheckout-aec-appointments-central-service</t>
  </si>
  <si>
    <t>aec-precheckout-aec-cp-ims</t>
  </si>
  <si>
    <t>drp-drs-aec-cp-scx-orchestrator</t>
  </si>
  <si>
    <t>arc-parts-parts-reporting</t>
  </si>
  <si>
    <t>galaxy-bmwfs-integration</t>
  </si>
  <si>
    <t>OLD-arc-parts-parts-proxy</t>
  </si>
  <si>
    <t>arc-service-rodispatcher</t>
  </si>
  <si>
    <t>arc-service-consumerscheduling</t>
  </si>
  <si>
    <t>galaxy-dfe</t>
  </si>
  <si>
    <t>arc-retail-conciergefnimenu</t>
  </si>
  <si>
    <t>drp-gm-custom-apps-gm-mailer-service</t>
  </si>
  <si>
    <t>arc-crm-threads-pool-config-harbour</t>
  </si>
  <si>
    <t>galaxy-galaxyservice-aggregator</t>
  </si>
  <si>
    <t>arc-crm-textmessagingservice</t>
  </si>
  <si>
    <t>arc-ui-tekion-conversion-web</t>
  </si>
  <si>
    <t>OLD_arc-service-roauditservice</t>
  </si>
  <si>
    <t>aec-precheckout-aec-cp-discovery-apigateway</t>
  </si>
  <si>
    <t>arc-service-service-reports</t>
  </si>
  <si>
    <t>drp-gm-custom-apps-gm-dealer360-service</t>
  </si>
  <si>
    <t>arc-retail-esignandforms</t>
  </si>
  <si>
    <t>arc-retail-deskingservice-v2</t>
  </si>
  <si>
    <t>aec-precheckout-aec-cp-discovery</t>
  </si>
  <si>
    <t>arc-crm-templatestore</t>
  </si>
  <si>
    <t>arc-parts-parts-compute</t>
  </si>
  <si>
    <t>aec-ford-aecconfiguratorservice</t>
  </si>
  <si>
    <t>aec-precheckout-aec-cp-myaccount-service</t>
  </si>
  <si>
    <t>arc-crm-communication-preferences</t>
  </si>
  <si>
    <t>aec-precheckout-aec-cp-gm-configurator</t>
  </si>
  <si>
    <t>aec-ford-pdfsheetservice</t>
  </si>
  <si>
    <t>arc-service-schedulingservice3.0</t>
  </si>
  <si>
    <t>arc-service-servicevehicle</t>
  </si>
  <si>
    <t>galaxy-hsi-integration</t>
  </si>
  <si>
    <t>arc-service-digital-signing-integration</t>
  </si>
  <si>
    <t>arc-service-service-computation-service</t>
  </si>
  <si>
    <t>arc-parts-parts-migration</t>
  </si>
  <si>
    <t>arc-service-ro-search-service</t>
  </si>
  <si>
    <t>arc-crm-vehicleownership</t>
  </si>
  <si>
    <t>arc-crm-crmplannerservice</t>
  </si>
  <si>
    <t>arc-accounting-acc-schedule-service</t>
  </si>
  <si>
    <t>arc-accounting-drp-accountingservice</t>
  </si>
  <si>
    <t>arc-crm-api-crm</t>
  </si>
  <si>
    <t>arc-ui-tekion-consumer-experience-portal</t>
  </si>
  <si>
    <t>arc-service-ds-edgeservice</t>
  </si>
  <si>
    <t>arc-accounting-tinternal-utility-service</t>
  </si>
  <si>
    <t>aec-aec-studio-aec-studio-ccm-service</t>
  </si>
  <si>
    <t>arc-accounting-accounting-commons</t>
  </si>
  <si>
    <t>aec-precheckout-drp-cp-integrations-service</t>
  </si>
  <si>
    <t>arc-accounting-accounting-core</t>
  </si>
  <si>
    <t>arc-crm-dashboardbuilder</t>
  </si>
  <si>
    <t>arc-service-keycafeintegration</t>
  </si>
  <si>
    <t>drp-salescloud-drp-salessettings</t>
  </si>
  <si>
    <t>drp-salescloud-drp-vehicleinventoryservice</t>
  </si>
  <si>
    <t>arc-retail-sales-desking-deals-orchestrator</t>
  </si>
  <si>
    <t>drp-salescloud-drp-api-dealservice</t>
  </si>
  <si>
    <t>arc-parts-parts-fulfilment-proxy</t>
  </si>
  <si>
    <t>arc-service-task-executor</t>
  </si>
  <si>
    <t>arc-service-tax-service</t>
  </si>
  <si>
    <t>arc-service-service-event-consumer</t>
  </si>
  <si>
    <t>arc-accounting-accounting-setups</t>
  </si>
  <si>
    <t>arc-retail-ordermanagementintegrationservice</t>
  </si>
  <si>
    <t>arc-crm-threads-connector-functions</t>
  </si>
  <si>
    <t>galaxy-tfs</t>
  </si>
  <si>
    <t>arc-parts-parts-epc</t>
  </si>
  <si>
    <t>integration-aec-aec-integrations-vehicle-service</t>
  </si>
  <si>
    <t>aec-precheckout-aec-cp-oms-inbound</t>
  </si>
  <si>
    <t>arc-ui-lib-tekion-quotes-base</t>
  </si>
  <si>
    <t>arc-crm-crm-ai</t>
  </si>
  <si>
    <t>arc-service-service-migration</t>
  </si>
  <si>
    <t>arc-parts-parts-monitoring-dashboard</t>
  </si>
  <si>
    <t>arc-crm-threads-pool-threads</t>
  </si>
  <si>
    <t>arc-parts-parts-event-consumer</t>
  </si>
  <si>
    <t>arc-accounting-rule-engine-service</t>
  </si>
  <si>
    <t>arc-accounting-acc-ap-forms-reporting</t>
  </si>
  <si>
    <t>arc-retail-formpro-api</t>
  </si>
  <si>
    <t>arc-retail-formmanagementservice</t>
  </si>
  <si>
    <t>integration-drp-drp-integrations-event-gateway</t>
  </si>
  <si>
    <t>aec-ford-oem-order-management-integration-service</t>
  </si>
  <si>
    <t>arc-crm-crmschedulerservice</t>
  </si>
  <si>
    <t>galaxy-tax-fees</t>
  </si>
  <si>
    <t>drp-drs-aec-cp-scx-setup</t>
  </si>
  <si>
    <t>arc-crm-threads-pool-threads-discovery</t>
  </si>
  <si>
    <t>arc-crm-threads-pool-text-weaver</t>
  </si>
  <si>
    <t>drp-drs-aec-cp-scx-creditapplication</t>
  </si>
  <si>
    <t>arc-crm-lead-assignment-service</t>
  </si>
  <si>
    <t>arc-crm-taskservice</t>
  </si>
  <si>
    <t>arc-service-vehicleassociationservice</t>
  </si>
  <si>
    <t>aec-precheckout-aec-cp-content-management</t>
  </si>
  <si>
    <t>arc-crm-platform-sms-service</t>
  </si>
  <si>
    <t>arc-service-service-apc-api</t>
  </si>
  <si>
    <t>drp-drs-aec-cp-scx-coordinator</t>
  </si>
  <si>
    <t>arc-payroll-payrollservice</t>
  </si>
  <si>
    <t>arc-parts-parts-inventory-proxy</t>
  </si>
  <si>
    <t>arc-crm-visitlogservice</t>
  </si>
  <si>
    <t>arc-service-service-recommendation</t>
  </si>
  <si>
    <t>OLD_galaxy-calculationengine-core</t>
  </si>
  <si>
    <t>arc-retail-inventory-setup-service</t>
  </si>
  <si>
    <t>arc-service-reporting</t>
  </si>
  <si>
    <t>aec-ui-cp-web</t>
  </si>
  <si>
    <t>arc-service-service-integrations</t>
  </si>
  <si>
    <t>OLD_galaxy-cms-decoder</t>
  </si>
  <si>
    <t>arc-crm-threads-pool-mail-connector</t>
  </si>
  <si>
    <t>arc-crm-leadservice</t>
  </si>
  <si>
    <t>arc-payroll-tek-payrollservice-v2</t>
  </si>
  <si>
    <t>arc-retail-retailpricing</t>
  </si>
  <si>
    <t>arc-retail-salessettings</t>
  </si>
  <si>
    <t>arc-retail-vehicleinventoryservice</t>
  </si>
  <si>
    <t>OLD_arc-accounting-accountingservice</t>
  </si>
  <si>
    <t>arc-retail-deskingservice</t>
  </si>
  <si>
    <t>arc-payroll-tek-payrollservice</t>
  </si>
  <si>
    <t>arc-parts-parts-core-inventory</t>
  </si>
  <si>
    <t>OLD_arc-service-cashier</t>
  </si>
  <si>
    <t>arc-parts-parts-account-posting-orchestrator</t>
  </si>
  <si>
    <t>arc-crm-threads-pool-mail-weaver</t>
  </si>
  <si>
    <t>arc-retail-formprintingservice</t>
  </si>
  <si>
    <t>aec-precheckout-honda-aec-cp-scx-oem-notification-service</t>
  </si>
  <si>
    <t>arc-retail-dealfnimenuservice</t>
  </si>
  <si>
    <t>arc-service-schedulingservice</t>
  </si>
  <si>
    <t>arc-retail-creditapplicationservice</t>
  </si>
  <si>
    <t>aec-precheckout-honda-aec-cp-notification-manager</t>
  </si>
  <si>
    <t>arc-crm-ai-foundations-sales-ai-task-executor</t>
  </si>
  <si>
    <t>arc-crm-threads-pool-automation-comms-automation</t>
  </si>
  <si>
    <t>OLD_arc-service-service-aggregation-service</t>
  </si>
  <si>
    <t>OLD-arc-ui-tekion-web</t>
  </si>
  <si>
    <t>drp-salescloud-drp-dealservice</t>
  </si>
  <si>
    <t>arc-crm-crmdashboard</t>
  </si>
  <si>
    <t>drp-salescloud-drp-enrollment-service</t>
  </si>
  <si>
    <t>arc-parts-parts-proxy</t>
  </si>
  <si>
    <t>arc-crm-crmreportserving</t>
  </si>
  <si>
    <t>arc-crm-crmmigrationservice</t>
  </si>
  <si>
    <t>drp-drs-aec-cp-scx-dr-auth-bridge</t>
  </si>
  <si>
    <t>arc-parts-wms2.0</t>
  </si>
  <si>
    <t>arc-accounting-accountingservice</t>
  </si>
  <si>
    <t>arc-service-service-aggregation-service</t>
  </si>
  <si>
    <t>arc-ui-tekion-consumer-web</t>
  </si>
  <si>
    <t>arc-parts-parts-fulfilment</t>
  </si>
  <si>
    <t>galaxy-arc-calculationengine</t>
  </si>
  <si>
    <t>galaxy-calculationengine-core</t>
  </si>
  <si>
    <t>arc-crm-crmreporting</t>
  </si>
  <si>
    <t>drp-drs-aec-cp-scx-core</t>
  </si>
  <si>
    <t>arc-crm-crmcustomer</t>
  </si>
  <si>
    <t>arc-crm-leadactivityservice</t>
  </si>
  <si>
    <t>arc-service-ro-job-service</t>
  </si>
  <si>
    <t>arc-crm-email-service</t>
  </si>
  <si>
    <t>drp-salescloud-drp-deskingservice</t>
  </si>
  <si>
    <t>drp-drs-aec-cp-statemanagement</t>
  </si>
  <si>
    <t>arc-service-roauditservice</t>
  </si>
  <si>
    <t>arc-crm-campaign_mgmt</t>
  </si>
  <si>
    <t>drp-salescloud-drp-digitalretailservice</t>
  </si>
  <si>
    <t>arc-service-ro2.0</t>
  </si>
  <si>
    <t>galaxy-cms-decoder</t>
  </si>
  <si>
    <t>drp-drs-digitalretailservice</t>
  </si>
  <si>
    <t>arc-service-cashier</t>
  </si>
  <si>
    <t>drp-drs-aec-cp-scx-apigateway</t>
  </si>
  <si>
    <t>arc-retail-dealservice</t>
  </si>
  <si>
    <t>arc-parts-part_ro_sale</t>
  </si>
  <si>
    <t>arc-service-opcode2.0</t>
  </si>
  <si>
    <t>arc-crm-crmcommunicationservice</t>
  </si>
  <si>
    <t>aec-ui-drp-cp-gm-frontend</t>
  </si>
  <si>
    <t>arc-service-quotes</t>
  </si>
  <si>
    <t>retail-ims-ims-merchandising-orchestrator</t>
  </si>
  <si>
    <t>retail-ims-ims-recon-orchestrator</t>
  </si>
  <si>
    <t>development-hulk-pool-hulk-control-plane</t>
  </si>
  <si>
    <t>arc-ui-tekion-web</t>
  </si>
  <si>
    <t>arc-accounting-acct-ui-auto-aegis</t>
  </si>
  <si>
    <t>arc-accounting-acct-api-auto-aegis</t>
  </si>
  <si>
    <t>playwright-crm-automation</t>
  </si>
  <si>
    <t>payroll-api-auto-aegis</t>
  </si>
  <si>
    <t>arc-retail-fni-dealguard</t>
  </si>
  <si>
    <t>arc-t1-service</t>
  </si>
  <si>
    <t>payroll-ui-auto-aegis</t>
  </si>
  <si>
    <t>arc-crm-threads-pool-mail-weaver-client</t>
  </si>
  <si>
    <t>hulk-orchestrator</t>
  </si>
  <si>
    <t>esign-ui-auto-aegis</t>
  </si>
  <si>
    <t>arc-crm-sales-ai</t>
  </si>
  <si>
    <t>arc-service-e2e-test-cases</t>
  </si>
  <si>
    <t>smart-retail-chat</t>
  </si>
  <si>
    <t>arc-crm-sales-ai-workflow</t>
  </si>
  <si>
    <t>crm-compliance-ai</t>
  </si>
  <si>
    <t>arc-retail-ims-inventory-management-service</t>
  </si>
  <si>
    <t>cashiering-ui-auto-aegis</t>
  </si>
  <si>
    <t>integration-arc-tin-inbound-outbound-event-gateway</t>
  </si>
  <si>
    <t>integration-arc-tin-insights</t>
  </si>
  <si>
    <t>integration-arc-tin-repush-service</t>
  </si>
  <si>
    <t>integration-arc-tin-metrics-collector</t>
  </si>
  <si>
    <t>integration-arc-tin-qa-orchestrator</t>
  </si>
  <si>
    <t>integration-arc-xmlsigning</t>
  </si>
  <si>
    <t>integration-arc-integrations-parts-pricing</t>
  </si>
  <si>
    <t>integration-arc-tin-validation</t>
  </si>
  <si>
    <t>integration-arc-market-scan-integration</t>
  </si>
  <si>
    <t>integration-arc-tin-external-event-gateway</t>
  </si>
  <si>
    <t>integration-arc-warrantysubmission</t>
  </si>
  <si>
    <t>integration-arc-tin-bigdata-service</t>
  </si>
  <si>
    <t>integration-bifrost-bifrost-tin-r3calc-aggregator</t>
  </si>
  <si>
    <t>integration-arc-tin-retail-event-comsumer</t>
  </si>
  <si>
    <t>integration-arc-cleointegrationservice</t>
  </si>
  <si>
    <t>integration-bifrost-bifrost-tin-gateway</t>
  </si>
  <si>
    <t>integration-arc-tin-platform-jobs</t>
  </si>
  <si>
    <t>integration-arc-tin-ui-executor</t>
  </si>
  <si>
    <t>integration-arc-tin-notification-service</t>
  </si>
  <si>
    <t>OLD-integration-arc-tinvehicleinvoiceservice</t>
  </si>
  <si>
    <t>integration-arc-tin-status-service</t>
  </si>
  <si>
    <t>integration-arc-tin-toyota-services</t>
  </si>
  <si>
    <t>integration-bifrost-bifrost-tin-routing-service</t>
  </si>
  <si>
    <t>integration-arc-tin-internal-gateway</t>
  </si>
  <si>
    <t>integration-arc-tin-mock-service</t>
  </si>
  <si>
    <t>integration-arc-tin-masterdata-commons</t>
  </si>
  <si>
    <t>integration-arc-tin-storage-service</t>
  </si>
  <si>
    <t>integration-arc-integration-data-mapper</t>
  </si>
  <si>
    <t>integration-arc-tin-gateway</t>
  </si>
  <si>
    <t>integration-arc-tin-gateway-client</t>
  </si>
  <si>
    <t>integration-arc-integration-mapping-service</t>
  </si>
  <si>
    <t>integration-arc-tin-logs-processor</t>
  </si>
  <si>
    <t>integration-arc-tin-realtime-integrations-orchestrator</t>
  </si>
  <si>
    <t>integration-arc-tin-event-retry</t>
  </si>
  <si>
    <t>integration-arc-tin-platform-ai-assistant</t>
  </si>
  <si>
    <t>integration-arc-tin-proxy</t>
  </si>
  <si>
    <t>integration-arc-tin-service-event-consumer</t>
  </si>
  <si>
    <t>integration-arc-tin-secure-gateway</t>
  </si>
  <si>
    <t>integration-arc-tin-oem-integrations</t>
  </si>
  <si>
    <t>integration-system-integration-si-sync-workflow-orchestrator</t>
  </si>
  <si>
    <t>integration-system-integration-si-async-workflow-orchestrator</t>
  </si>
  <si>
    <t>integration-bifrost-bifrost-tin-auth-configurations</t>
  </si>
  <si>
    <t>integration-arc-tin-windows-apps</t>
  </si>
  <si>
    <t>integration-system-integration-si-internal-edge-proxy</t>
  </si>
  <si>
    <t>integration-arc-tin-event-management</t>
  </si>
  <si>
    <t>integration-arc-tin-scheduling-service</t>
  </si>
  <si>
    <t>integration-arc-tin-event-monitor</t>
  </si>
  <si>
    <t>integration-arc-tinparts</t>
  </si>
  <si>
    <t>integration-arc-tin-event-commons</t>
  </si>
  <si>
    <t>integration-arc-tin-parts-service</t>
  </si>
  <si>
    <t>integration-arc-tin-websocket-manager</t>
  </si>
  <si>
    <t>integration-arc-tin-scheduler</t>
  </si>
  <si>
    <t>integration-arc-tin-schedule-handler</t>
  </si>
  <si>
    <t>integration-system-integration-si-monitoring</t>
  </si>
  <si>
    <t>integration-arc-tin-compliance-service</t>
  </si>
  <si>
    <t>integration-arc-tin-automation</t>
  </si>
  <si>
    <t>integration-arc-tinexecs</t>
  </si>
  <si>
    <t>integration-arc-tin-notification</t>
  </si>
  <si>
    <t>integration-arc-tpartsworkbench</t>
  </si>
  <si>
    <t>integration-arc-tin-cw-batch-events-executor</t>
  </si>
  <si>
    <t>integration-arc-qa-orchestrator</t>
  </si>
  <si>
    <t>integration-arc-tin-data-fetcher-service</t>
  </si>
  <si>
    <t>integration-system-integration-si-storage-connector</t>
  </si>
  <si>
    <t>integration-system-integration-si-secret-manager</t>
  </si>
  <si>
    <t>integration-arc-tin-api-bridge</t>
  </si>
  <si>
    <t>integration-arc-tin-core-masterdata</t>
  </si>
  <si>
    <t>integration-arc-tin-onboarding-service</t>
  </si>
  <si>
    <t>integration-arc-tekion-vendor</t>
  </si>
  <si>
    <t>integration-arc-tin-api-proxy</t>
  </si>
  <si>
    <t>integration-system-integration-si-outbound-gateway</t>
  </si>
  <si>
    <t>integration-arc-tin-workflow-manager</t>
  </si>
  <si>
    <t>integration-arc-tin-dse-jobs</t>
  </si>
  <si>
    <t>integration-arc-dtc-api</t>
  </si>
  <si>
    <t>integration-system-integration-si-scheduler</t>
  </si>
  <si>
    <t>integration-arc-tvehiclehistory</t>
  </si>
  <si>
    <t>integration-arc-tin-data-fetcher-accounting</t>
  </si>
  <si>
    <t>integration-system-integration-si-api-connectors</t>
  </si>
  <si>
    <t>integration-arc-tinsalesmisc</t>
  </si>
  <si>
    <t>integration-drp-bifrost-tin-auth-configurations</t>
  </si>
  <si>
    <t>integration-system-integration-si-platform-automation</t>
  </si>
  <si>
    <t>integration-arc-tin-payroll-service</t>
  </si>
  <si>
    <t>integration-arc-tin-retail-service</t>
  </si>
  <si>
    <t>integration-arc-tin-payments</t>
  </si>
  <si>
    <t>integration-arc-tin-parts-events-agent</t>
  </si>
  <si>
    <t>integration-arc-tin-openapi</t>
  </si>
  <si>
    <t>integration-arc-tin-libs</t>
  </si>
  <si>
    <t>integration-system-integration-si-inbound-gateway</t>
  </si>
  <si>
    <t>integration-arc-tintin</t>
  </si>
  <si>
    <t>integration-arc-tin-orchestrator</t>
  </si>
  <si>
    <t>integration-arc-tin-eventconsumer-retail</t>
  </si>
  <si>
    <t>integration-arc-tin-devtools</t>
  </si>
  <si>
    <t>integration-arc-tin-event-gateway</t>
  </si>
  <si>
    <t>integration-arc-tin-core-service</t>
  </si>
  <si>
    <t>integration-system-integration-si-platform-bff</t>
  </si>
  <si>
    <t>integration-arc-tin-auth-configuration</t>
  </si>
  <si>
    <t>integration-system-integration-si-dev-platform-web</t>
  </si>
  <si>
    <t>integration-arc-integrations-data-fetcher</t>
  </si>
  <si>
    <t>integration-arc-realtime-integrations-event-orchestrator</t>
  </si>
  <si>
    <t>integration-arc-tin-auth-service</t>
  </si>
  <si>
    <t>integration-arc-tin-batch-orchestrator</t>
  </si>
  <si>
    <t>integration-arc-tin-accounting-event-agent</t>
  </si>
  <si>
    <t>integration-bifrost-bifrost-tin-auth-service</t>
  </si>
  <si>
    <t>integration-arc-tin-api-gateway</t>
  </si>
  <si>
    <t>integration-arc-tin-auth</t>
  </si>
  <si>
    <t>integration-arc-leadsintegrationservice</t>
  </si>
  <si>
    <t>integration-arc-tekion_integration_platform</t>
  </si>
  <si>
    <t>integration-arc-tin-data-ingestion-service</t>
  </si>
  <si>
    <t>integration-system-integration-si-master-data-service</t>
  </si>
  <si>
    <t>integration-arc-integrations-fni</t>
  </si>
  <si>
    <t>integration-arc-tin-services</t>
  </si>
  <si>
    <t>integration-arc-tin-events-publisher</t>
  </si>
  <si>
    <t>integration-arc-tin-internal-services</t>
  </si>
  <si>
    <t>integration-arc-tin-inbound-gateway</t>
  </si>
  <si>
    <t>integration-arc-tin-batch-worker</t>
  </si>
  <si>
    <t>integration-arc-dealer-data-share</t>
  </si>
  <si>
    <t>OLD-integration-arc-tin-master-data-service</t>
  </si>
  <si>
    <t>integration-arc-tin-inbound-file-gateway</t>
  </si>
  <si>
    <t>integration-system-integration-si-event-handler</t>
  </si>
  <si>
    <t>integration-arc-tin-communication-service</t>
  </si>
  <si>
    <t>integration-arc-tin-vin-service</t>
  </si>
  <si>
    <t>integration-arc-tin-openapi-admin</t>
  </si>
  <si>
    <t>integration-bifrost-bifrost-tin-credit-integrations</t>
  </si>
  <si>
    <t>integration-arc-tin-platform-toyota-jobs</t>
  </si>
  <si>
    <t>integration-arc-tin-openapi-service</t>
  </si>
  <si>
    <t>integration-arc-tinvehicleinvoiceservice</t>
  </si>
  <si>
    <t>integration-arc-tin-master-data-service</t>
  </si>
  <si>
    <t>integration-arc-tin-credit-integration</t>
  </si>
  <si>
    <t>integration-arc-tekion-gmoss-integration</t>
  </si>
  <si>
    <t>mlplatform-tekion-langflow</t>
  </si>
  <si>
    <t>ml-tekion-agent-platform-tool-bridge</t>
  </si>
  <si>
    <t>devplatform-central-metadata-service</t>
  </si>
  <si>
    <t>ml-platform-ml_onboarding_service</t>
  </si>
  <si>
    <t>daet-cms-cms-ml-support-api</t>
  </si>
  <si>
    <t>data-ai-apex-data-pipeline-apex-data-orchestrator</t>
  </si>
  <si>
    <t>arc-analytics-analytics-chat-data-aggregator</t>
  </si>
  <si>
    <t>ml-ml-emr-orchestrator</t>
  </si>
  <si>
    <t>mlplatform-event-ingestion</t>
  </si>
  <si>
    <t>ml-ml_transcription_event_orchestrator</t>
  </si>
  <si>
    <t>data-ai-apex-backend-admin-services-auth-service</t>
  </si>
  <si>
    <t>ml-ml_crm_scheduled_transcription_service</t>
  </si>
  <si>
    <t>ml-tekion-agent-platform-agent-bridge-client-gateway</t>
  </si>
  <si>
    <t>ml-ml_prompt_config_service</t>
  </si>
  <si>
    <t>data-ai-apex-backend-vdp-vehicle-data-project</t>
  </si>
  <si>
    <t>ml-uml-service-ai-onboarding-scripts</t>
  </si>
  <si>
    <t>ml-crm_pro-crmpro-onboarding-pipeline-task</t>
  </si>
  <si>
    <t>daet-cms-cms-mmt-api</t>
  </si>
  <si>
    <t>daet-cms-cms-mmt-external-api</t>
  </si>
  <si>
    <t>data-ai-apex-backend-lender-r3-lender-service</t>
  </si>
  <si>
    <t>daet-cms-cms-kafka-service</t>
  </si>
  <si>
    <t>daet-cms-cms-admin-console-api</t>
  </si>
  <si>
    <t>daet-cms-cms-fni-api</t>
  </si>
  <si>
    <t>dataplatform-tk-data-platform-serving</t>
  </si>
  <si>
    <t>dataplatform-tk-sql-parser</t>
  </si>
  <si>
    <t>arc-analytics-analytics-clickhouse-migration</t>
  </si>
  <si>
    <t>ml-tk_service_classification</t>
  </si>
  <si>
    <t>dataplatform-dataplatform-tek-flow-pipeline</t>
  </si>
  <si>
    <t>ml-accessory-recommendation-v2</t>
  </si>
  <si>
    <t>ml-recommendation</t>
  </si>
  <si>
    <t>ml-service_recommendation</t>
  </si>
  <si>
    <t>ml-ai-summary-serving</t>
  </si>
  <si>
    <t>ml-lead-contact-matching-consumer</t>
  </si>
  <si>
    <t>devplatform-dp-external-api</t>
  </si>
  <si>
    <t>mlplatform-a2a-server</t>
  </si>
  <si>
    <t>mlplatform-tracing-sdk</t>
  </si>
  <si>
    <t>arc-analytics-oem-analytics-portal</t>
  </si>
  <si>
    <t>daet-cms-cms-taxes-fees-api</t>
  </si>
  <si>
    <t>daet-cms-cms-utilities-api</t>
  </si>
  <si>
    <t>daet-cms-cms-streaming-api</t>
  </si>
  <si>
    <t>daet-cms-cms-static-lambdas</t>
  </si>
  <si>
    <t>daet-cms-cms-extraction-api</t>
  </si>
  <si>
    <t>daet-cms-cms-oem-api</t>
  </si>
  <si>
    <t>arc-analytics-looker-poc</t>
  </si>
  <si>
    <t>ml-platform-speech-processing-service</t>
  </si>
  <si>
    <t>ml-platform-llm_safety_service</t>
  </si>
  <si>
    <t>dataplatform-dp-airflow-mwaa-dags</t>
  </si>
  <si>
    <t>mlplatform-rag-platform</t>
  </si>
  <si>
    <t>ml-tekion-agent-platform-tool-bridge-py</t>
  </si>
  <si>
    <t>devplatform-dp-external-api-gateway</t>
  </si>
  <si>
    <t>arc-analytics-analyticsv2</t>
  </si>
  <si>
    <t>ml-uml-service-ai</t>
  </si>
  <si>
    <t>dataplatform-tk-data-platform-access-control</t>
  </si>
  <si>
    <t>dataplatform-data-platform-apm-serving</t>
  </si>
  <si>
    <t>arc-analytics-analyticsv2-oem</t>
  </si>
  <si>
    <t>dataplatform-tk-dwh-jobs-manager</t>
  </si>
  <si>
    <t>ml-platform-batch-token-manager</t>
  </si>
  <si>
    <t>ml-tekion-ml-manager-service</t>
  </si>
  <si>
    <t>daet-lnd-ld-streaming</t>
  </si>
  <si>
    <t>daet-lnd-ld-reports</t>
  </si>
  <si>
    <t>daet-lnd-ld-static-lambdas</t>
  </si>
  <si>
    <t>daet-lnd-ld-scenarios</t>
  </si>
  <si>
    <t>arc-analytics-datadictionary</t>
  </si>
  <si>
    <t>data-ai-apex-backend-tdp-fee-service</t>
  </si>
  <si>
    <t>daet-lnd-ld-platform</t>
  </si>
  <si>
    <t>daet-lnd-ld-courses</t>
  </si>
  <si>
    <t>daet-lnd-ld-auth</t>
  </si>
  <si>
    <t>ml-tekion-ml-vehicle-price-prediction-serving</t>
  </si>
  <si>
    <t>ml-uml-service-ai-realtime-service</t>
  </si>
  <si>
    <t>ml-lead-contact-matching-service</t>
  </si>
  <si>
    <t>dataplatform-customMetric</t>
  </si>
  <si>
    <t>ml-sales_chatbot</t>
  </si>
  <si>
    <t>daet-spg-service-catalog-wrapper-api</t>
  </si>
  <si>
    <t>ml-smart_compose</t>
  </si>
  <si>
    <t>ml-uml-opcode-mapper-service</t>
  </si>
  <si>
    <t>ml-lead-summary-consumer</t>
  </si>
  <si>
    <t>ml-ml-smart-compose-consumer</t>
  </si>
  <si>
    <t>daet-spg-service-menu-api</t>
  </si>
  <si>
    <t>dataplatform-dwh-raw-ingestion</t>
  </si>
  <si>
    <t>dataplatform-dwh-fact-ingestion</t>
  </si>
  <si>
    <t>devplatform-tekion-dev-platform-web</t>
  </si>
  <si>
    <t>daet-spg-service-catalog-api</t>
  </si>
  <si>
    <t>arc-analytics-analyticsservice</t>
  </si>
  <si>
    <t>daet-cms-cms-platform</t>
  </si>
  <si>
    <t>dataplatform-tk-data-sharing-app</t>
  </si>
  <si>
    <t>ml-vehicle-propensity</t>
  </si>
  <si>
    <t>canonical-models-pipeline</t>
  </si>
  <si>
    <t>sales-ai-agents</t>
  </si>
  <si>
    <t>nlu-framework</t>
  </si>
  <si>
    <t>mlplatform-aiplatform-t1-engine</t>
  </si>
  <si>
    <t>ml-vision-gateway</t>
  </si>
  <si>
    <t>ml-vision-event-orchestrator</t>
  </si>
  <si>
    <t>sales-ai-agent-gateway</t>
  </si>
  <si>
    <t>arc-analytics-reportbuilderservice</t>
  </si>
  <si>
    <t>daet-map-agents-service</t>
  </si>
  <si>
    <t>daet-map-external-shared-service</t>
  </si>
  <si>
    <t>data-ai-apex-playground-fee-evaluator</t>
  </si>
  <si>
    <t>fecd-cockpit-ui</t>
  </si>
  <si>
    <t>fecd-cockpit</t>
  </si>
  <si>
    <t>daet-cms-cms-vehicle-data</t>
  </si>
  <si>
    <t>arc-tekionpay-global-payee-service</t>
  </si>
  <si>
    <t>devplatform-apc-apc-feed-composer</t>
  </si>
  <si>
    <t>arc-tekionpay-global-payee-api-service</t>
  </si>
  <si>
    <t>arc-core-photon-data-conversion-management-service</t>
  </si>
  <si>
    <t>arc-core-compliance-nas-service</t>
  </si>
  <si>
    <t>platform-login-centralconsumerlogin</t>
  </si>
  <si>
    <t>arc-core-massalert-service</t>
  </si>
  <si>
    <t>arc-core-enterpriseservice</t>
  </si>
  <si>
    <t>devplatform-apc-apc-api-core</t>
  </si>
  <si>
    <t>platform-login-identityservice</t>
  </si>
  <si>
    <t>platform-centralsetup-cs-internal-gateway</t>
  </si>
  <si>
    <t>arc-tekionpay-tpay-treasury-identitymanagement</t>
  </si>
  <si>
    <t>devplatform-apc-apc-int-api-core</t>
  </si>
  <si>
    <t>platform-async-and-caching-cachesupportv3</t>
  </si>
  <si>
    <t>arc-tekionpay-tpay-url-shortener-service</t>
  </si>
  <si>
    <t>arc-tekionpay-tpay-treasury-otpservice</t>
  </si>
  <si>
    <t>devplatform-apc-apc-knowledge-base-agent</t>
  </si>
  <si>
    <t>platform-foundation-appregistry</t>
  </si>
  <si>
    <t>platform-async-and-caching-kafka-rest</t>
  </si>
  <si>
    <t>arc-tekionpay-paytek-report-generator</t>
  </si>
  <si>
    <t>platform-centralsetup-cs-data-migration</t>
  </si>
  <si>
    <t>devplatform-apc-apc-arc-event-propagator</t>
  </si>
  <si>
    <t>arc-core-columnservice</t>
  </si>
  <si>
    <t>devplatform-apc-apc-openapi-gateway</t>
  </si>
  <si>
    <t>arc-core-chatplatform-chat-support-events-consumer-service</t>
  </si>
  <si>
    <t>arc-core-chatplatform-chat-support-platform</t>
  </si>
  <si>
    <t>arc-core-chatplatform-chat-support-agg-service</t>
  </si>
  <si>
    <t>arc-core-chatplatform-video-call-platform</t>
  </si>
  <si>
    <t>arc-core-chatplatform-chat-support-inbound-service</t>
  </si>
  <si>
    <t>arc-core-hardware-documentv2</t>
  </si>
  <si>
    <t>arc-core-chatplatform-api-chat-support-platform</t>
  </si>
  <si>
    <t>devplatform-apc-apc-lead-service</t>
  </si>
  <si>
    <t>devplatform-apc-apc-api-event-processor</t>
  </si>
  <si>
    <t>arc-core-chatplatform-chat-crm-events-inbound-service</t>
  </si>
  <si>
    <t>platform-centralsetup-central-setup-service</t>
  </si>
  <si>
    <t>arc-core-dealeronboarding</t>
  </si>
  <si>
    <t>platform-ui-tekion-idp-idp-management</t>
  </si>
  <si>
    <t>arc-core-multilingualv2</t>
  </si>
  <si>
    <t>devplatform-apc-apc-test-gateway</t>
  </si>
  <si>
    <t>arc-core-codepushservice</t>
  </si>
  <si>
    <t>devplatform-apc-apc-feed-service</t>
  </si>
  <si>
    <t>devplatform-dp-pusher-notification</t>
  </si>
  <si>
    <t>arc-core-platformcommons</t>
  </si>
  <si>
    <t>arc-tekionpay-tpay-treasury-tokenmanagement</t>
  </si>
  <si>
    <t>arc-core-noteservice</t>
  </si>
  <si>
    <t>arc-core-aec-compliance</t>
  </si>
  <si>
    <t>arc-core-api-coreservice</t>
  </si>
  <si>
    <t>arc-core-chatplatform-drp-live-chat-agent-service</t>
  </si>
  <si>
    <t>arc-core-creditlimitmanagement</t>
  </si>
  <si>
    <t>devplatform-dp-commons</t>
  </si>
  <si>
    <t>arc-tekionpay-tpay-sdk-edgeservice</t>
  </si>
  <si>
    <t>platform-login-tekion-idp</t>
  </si>
  <si>
    <t>arc-core-chatplatform-drp-chat-auth-service</t>
  </si>
  <si>
    <t>arc-tekionpay-tpay-treasury-edgeservice</t>
  </si>
  <si>
    <t>arc-tekionpay-stripe-webhook-integeration-service</t>
  </si>
  <si>
    <t>devplatform-dp-servercredentialservice</t>
  </si>
  <si>
    <t>devplatform-apc-apc-transformation-service</t>
  </si>
  <si>
    <t>devplatform-dp-emailservice</t>
  </si>
  <si>
    <t>devplatform-dp-notification-service</t>
  </si>
  <si>
    <t>devplatform-apc-apc-ratelimiting-service</t>
  </si>
  <si>
    <t>arc-core-chatplatform-chat-events-consumer-service</t>
  </si>
  <si>
    <t>devplatform-dp-sequencegenerator</t>
  </si>
  <si>
    <t>devplatform-dp-governanceservice</t>
  </si>
  <si>
    <t>devplatform-dp-reporting</t>
  </si>
  <si>
    <t>devplatform-dp-template-service</t>
  </si>
  <si>
    <t>arc-core-chatplatform-api-chat-platform</t>
  </si>
  <si>
    <t>devplatform-dp-notification-event</t>
  </si>
  <si>
    <t>devplatform-dp-internal-gateway</t>
  </si>
  <si>
    <t>arc-core-experienceengine</t>
  </si>
  <si>
    <t>platform-aec-commons</t>
  </si>
  <si>
    <t>devplatform-dp-eventhub-service</t>
  </si>
  <si>
    <t>devplatform-dp-identityservice</t>
  </si>
  <si>
    <t>devplatform-apc-apc-outbound-service</t>
  </si>
  <si>
    <t>devplatform-apc-apc-inbound-service</t>
  </si>
  <si>
    <t>arc-core-activityaggregatorservice</t>
  </si>
  <si>
    <t>devplatform-dp-assetgroupservice</t>
  </si>
  <si>
    <t>devplatform-dp-loginservice</t>
  </si>
  <si>
    <t>devplatform-apc-apc-api-gateway</t>
  </si>
  <si>
    <t>devplatform-webhook-delivery-service</t>
  </si>
  <si>
    <t>platform-centralsetup-circuitbreaker</t>
  </si>
  <si>
    <t>devplatform-apc-apc-meta-api</t>
  </si>
  <si>
    <t>platform-foundation-servicecommonsv3</t>
  </si>
  <si>
    <t>platform-login-consumerlogin</t>
  </si>
  <si>
    <t>platform-foundation-metricscollector</t>
  </si>
  <si>
    <t>devplatform-dp-partner-project-gateway</t>
  </si>
  <si>
    <t>arc-tekionpay-payout-service</t>
  </si>
  <si>
    <t>arc-tekionpay-user-management-service</t>
  </si>
  <si>
    <t>arc-tekionpay-treasury-commons</t>
  </si>
  <si>
    <t>platform-ui-platform-libraries-testing-utilities</t>
  </si>
  <si>
    <t>arc-tekionpay-tekionpay-outbound-service</t>
  </si>
  <si>
    <t>arc-core-globalsettingsservice</t>
  </si>
  <si>
    <t>arc-tekionpay-tekionpay-cashier</t>
  </si>
  <si>
    <t>arc-tekionpay-tekionpay-gateway-lambda</t>
  </si>
  <si>
    <t>arc-tekionpay-tekionpay-inbound-service</t>
  </si>
  <si>
    <t>arc-tekionpay-vendor-portal-api-service</t>
  </si>
  <si>
    <t>arc-tekionpay-vendor-management-service</t>
  </si>
  <si>
    <t>arc-core-propertiesservice</t>
  </si>
  <si>
    <t>platform-dbaas-mongosupportv3</t>
  </si>
  <si>
    <t>arc-tekionpay-tpay-url-redirector-service</t>
  </si>
  <si>
    <t>arc-core-exportframework</t>
  </si>
  <si>
    <t>devplatform-dp-global-constructs-service</t>
  </si>
  <si>
    <t>arc-core-topsearchservice</t>
  </si>
  <si>
    <t>arc-tekionpay-treasury-sequencegenerator</t>
  </si>
  <si>
    <t>arc-tekionpay-treasury-payee-service</t>
  </si>
  <si>
    <t>arc-core-storagesupportv3</t>
  </si>
  <si>
    <t>arc-tekionpay-treasury-dispute-service</t>
  </si>
  <si>
    <t>arc-core-oemcredentialservice</t>
  </si>
  <si>
    <t>arc-core-broadcast-message</t>
  </si>
  <si>
    <t>devplatform-apc-tekion-http</t>
  </si>
  <si>
    <t>arc-core-onboarding-team-apc-api-partner</t>
  </si>
  <si>
    <t>arc-tekionpay-outbound-payment-service</t>
  </si>
  <si>
    <t>arc-core-photon-database-streaming-orchestrator-service</t>
  </si>
  <si>
    <t>arc-tekionpay-treasury-reconciliation-service</t>
  </si>
  <si>
    <t>arc-tekionpay-tpay-treasury-rolemanagement</t>
  </si>
  <si>
    <t>platform-agentsplatform-tek-core-mcp-server</t>
  </si>
  <si>
    <t>arc-tekionpay-tekionwallet-integration-service</t>
  </si>
  <si>
    <t>devplatform-apc-apc-settings-service</t>
  </si>
  <si>
    <t>platform-foundation-discoveryservice</t>
  </si>
  <si>
    <t>arc-tekionpay-treasury-payment-service</t>
  </si>
  <si>
    <t>arc-tekionpay-treasury-account-service</t>
  </si>
  <si>
    <t>arc-core-coreoutboundservice</t>
  </si>
  <si>
    <t>arc-tekionpay-tpay-pathpermissionservice</t>
  </si>
  <si>
    <t>arc-core-hubspot-integration-service</t>
  </si>
  <si>
    <t>arc-core-coreinboundservice</t>
  </si>
  <si>
    <t>arc-tekionpay-paytek-login-service</t>
  </si>
  <si>
    <t>arc-core-chatplatform-support-chatbot-notifications</t>
  </si>
  <si>
    <t>devplatform-dp-userservice</t>
  </si>
  <si>
    <t>arc-core-bulk-update-service</t>
  </si>
  <si>
    <t>devplatform-apc-tekion-apc-consumer-web</t>
  </si>
  <si>
    <t>platform-foundation-linkgenerationclient</t>
  </si>
  <si>
    <t>arc-tekionpay-tekionpay-onboarding-service</t>
  </si>
  <si>
    <t>arc-tekionpay-treasury-inbound</t>
  </si>
  <si>
    <t>arc-core-hardware-scanserverjava</t>
  </si>
  <si>
    <t>arc-core-otpservicev2</t>
  </si>
  <si>
    <t>arc-core-oem-preference</t>
  </si>
  <si>
    <t>arc-core-oemrolepermissionservice</t>
  </si>
  <si>
    <t>arc-tekionpay-stripe-treasury-int-service</t>
  </si>
  <si>
    <t>platform-login-oemuserservice</t>
  </si>
  <si>
    <t>tulip-tekion-plg-web</t>
  </si>
  <si>
    <t>arc-core-enterprise-setups-v2</t>
  </si>
  <si>
    <t>arc-tekionpay-paytek-api-service</t>
  </si>
  <si>
    <t>arc-core-plg-service</t>
  </si>
  <si>
    <t>arc-tekionpay-tekionpay-terminal-service</t>
  </si>
  <si>
    <t>arc-tekionpay-tekionpay-commons</t>
  </si>
  <si>
    <t>arc-tekionpay-treasury-api-service</t>
  </si>
  <si>
    <t>arc-core-rx-dealer-property-service</t>
  </si>
  <si>
    <t>devplatform-apc-apc-feed-porter</t>
  </si>
  <si>
    <t>platform-ui-platform-libraries-tekion-asset-upload-plugin</t>
  </si>
  <si>
    <t>platform-ui-platform-libraries-tekion-build-scripts</t>
  </si>
  <si>
    <t>arc-core-custom-field</t>
  </si>
  <si>
    <t>arc-core-chatplatform-faq-platform-service</t>
  </si>
  <si>
    <t>arc-tekionpay-paytek-analytics-service</t>
  </si>
  <si>
    <t>devplatform-apc-apc-credential-manager</t>
  </si>
  <si>
    <t>platform-async-and-caching-kafkainboundoutbound</t>
  </si>
  <si>
    <t>arc-core-janus-gate</t>
  </si>
  <si>
    <t>arc-tekionpay-paytek-libs</t>
  </si>
  <si>
    <t>arc-core-employee-objective-service</t>
  </si>
  <si>
    <t>arc-core-oemsettingsservice</t>
  </si>
  <si>
    <t>arc-tekionpay-tekion-pay-webhook</t>
  </si>
  <si>
    <t>arc-tekionpay-tpay-sdk-apiservice</t>
  </si>
  <si>
    <t>arc-core-sequence-management-service</t>
  </si>
  <si>
    <t>arc-core-customer-merge-service</t>
  </si>
  <si>
    <t>platform-centralsetup-ratelimitingservicev3</t>
  </si>
  <si>
    <t>platform-dbaas-tekion-dependency-analyzer-service</t>
  </si>
  <si>
    <t>arc-tekionpay-paytek-global-settings</t>
  </si>
  <si>
    <t>arc-core-dmsglobalsearchservice</t>
  </si>
  <si>
    <t>devplatform-dp-path-permissions</t>
  </si>
  <si>
    <t>arc-core-approvalservice</t>
  </si>
  <si>
    <t>arc-tekionpay-tpay-identitymanagement</t>
  </si>
  <si>
    <t>arc-core-mediaservice-v3</t>
  </si>
  <si>
    <t>platform-foundation-arcurlshortner</t>
  </si>
  <si>
    <t>arc-tekionpay-paytek-audit-service</t>
  </si>
  <si>
    <t>platform-centralsetup-central-setup-service-deprecated</t>
  </si>
  <si>
    <t>platform-foundation-arcurlredirector</t>
  </si>
  <si>
    <t>arc-core-tekionnpsservice</t>
  </si>
  <si>
    <t>arc-core-coreproxyservice</t>
  </si>
  <si>
    <t>platform-foundation-reactiveedge</t>
  </si>
  <si>
    <t>arc-core-customervalue</t>
  </si>
  <si>
    <t>platform-ui-tekion-idp-login-portal</t>
  </si>
  <si>
    <t>arc-core-tekskumanagement</t>
  </si>
  <si>
    <t>arc-core-partnermanagement</t>
  </si>
  <si>
    <t>platform-ui-platform-libraries-tekion-build-essentials</t>
  </si>
  <si>
    <t>platform-ui-platform-libraries-tekion-injector</t>
  </si>
  <si>
    <t>arc-core-chatplatform-chat-salesplatform-inbound-service</t>
  </si>
  <si>
    <t>arc-core-chatplatform-chat-platform-settings-service</t>
  </si>
  <si>
    <t>arc-core-chatplatform-chat-platform</t>
  </si>
  <si>
    <t>arc-core-chatplatform-drp-sales-platform</t>
  </si>
  <si>
    <t>platform-login-pathpermissionservice</t>
  </si>
  <si>
    <t>platform-foundation-setup-management-service</t>
  </si>
  <si>
    <t>devplatform-apc-tekion-tables</t>
  </si>
  <si>
    <t>arc-core-sequencegenerator</t>
  </si>
  <si>
    <t>arc-core-tekionapprovalservice</t>
  </si>
  <si>
    <t>arc-core-stickynoteservice</t>
  </si>
  <si>
    <t>devplatform-dp-metadata-bundle-service</t>
  </si>
  <si>
    <t>arc-core-oem-api-core</t>
  </si>
  <si>
    <t>platform-dbaas-dynamoautomationservice</t>
  </si>
  <si>
    <t>OLD_arc-core-ruleengine</t>
  </si>
  <si>
    <t>OLD_arc-tekionpay-payment-service</t>
  </si>
  <si>
    <t>arc-core-vendormanagementservice</t>
  </si>
  <si>
    <t>arc-core-dealersettingsservice</t>
  </si>
  <si>
    <t>arc-tekionpay-paytek-customer-service</t>
  </si>
  <si>
    <t>platform-foundation-configservice</t>
  </si>
  <si>
    <t>arc-tekionpay-tekionpay-integration-service</t>
  </si>
  <si>
    <t>tulip-tekion-setup-management</t>
  </si>
  <si>
    <t>arc-core-rolesandpermissionservice</t>
  </si>
  <si>
    <t>platform-login-loginservice</t>
  </si>
  <si>
    <t>arc-core-employee-service</t>
  </si>
  <si>
    <t>platform-dbaas-esautomationservice</t>
  </si>
  <si>
    <t>arc-core-core-compliance-service</t>
  </si>
  <si>
    <t>arc-core-audit_service</t>
  </si>
  <si>
    <t>devplatform-apc-apc-global-data-service</t>
  </si>
  <si>
    <t>arc-core-arcapprovalflow</t>
  </si>
  <si>
    <t>platform-dbaas-infraautomationservice</t>
  </si>
  <si>
    <t>arc-tekionpay-reconciliation-service</t>
  </si>
  <si>
    <t>arc-core-hardware-printservicev3</t>
  </si>
  <si>
    <t>arc-tekionpay-account-service</t>
  </si>
  <si>
    <t>arc-tekionpay-tekionpay-api-service</t>
  </si>
  <si>
    <t>arc-tekionpay-stripe-integration-service</t>
  </si>
  <si>
    <t>OLD_arc-core-preferences</t>
  </si>
  <si>
    <t>arc-tekionpay-tpay-treasury-platform-api-service</t>
  </si>
  <si>
    <t>arc-tekionpay-payment-service</t>
  </si>
  <si>
    <t>hulk-pool-feedbackservice</t>
  </si>
  <si>
    <t>devplatform-apc-tekion-apc-web</t>
  </si>
  <si>
    <t>arc-core-customer</t>
  </si>
  <si>
    <t>tekionpay-automation</t>
  </si>
  <si>
    <t>arc-ap-policy-agent</t>
  </si>
  <si>
    <t>arc-op-schema-curator</t>
  </si>
  <si>
    <t>arc-core-photon-golive-monitoring-service</t>
  </si>
  <si>
    <t>Component-wise Product Director &amp; Product VP</t>
  </si>
  <si>
    <t>Source: 'Component Masterlist v2' (col A=Component, K=Product Director, M=Product VP). Blank / "No PM Coverage" = no product coverage.</t>
  </si>
  <si>
    <t># Sub-comp</t>
  </si>
  <si>
    <t>Product Director(s)</t>
  </si>
  <si>
    <t>Product VP(s)</t>
  </si>
  <si>
    <t># PDs</t>
  </si>
  <si>
    <t># PVPs</t>
  </si>
  <si>
    <t>Flag</t>
  </si>
  <si>
    <t>Primary PD</t>
  </si>
  <si>
    <t>Primary Product VP</t>
  </si>
  <si>
    <t>Report?</t>
  </si>
  <si>
    <t>Coverage snapshot</t>
  </si>
  <si>
    <t>Components (total)</t>
  </si>
  <si>
    <t>Deprecated</t>
  </si>
  <si>
    <t>Flagged ⚠ Multiple</t>
  </si>
  <si>
    <t>M Uday Kiran</t>
  </si>
  <si>
    <t>No PD (PVP only)</t>
  </si>
  <si>
    <t>Fully uncovered (0 PD &amp; 0 PVP)</t>
  </si>
  <si>
    <t>How to handle multiple PDs / PVPs across sub-components of one component</t>
  </si>
  <si>
    <t>1. Rule applied in cols H &amp; I (Primary PD / Primary Product VP): one owner → that name is Primary. Several owners → the one covering the MOST sub-components becomes Primary (single point of accountability); per-sub-component owners stay in the masterlist for execution.</t>
  </si>
  <si>
    <t>2. Exact tie → blank + light-red cell (needs a decision). Two owners hold the same top sub-component count, so no automatic winner. Product leadership picks the accountable owner (usually the parent-platform lead or by strategic priority) and types the name in to clear the flag. Current ties: TOC (Srinivas Lingutla &amp; Balaji J, 6 each) and APEX (three PDs at 1 each).</t>
  </si>
  <si>
    <t>3. No owner → light-blue cell (coverage gap). The component has no PD and/or no PVP — assign one. Blue in both H &amp; I = fully uncovered (e.g. HorizontalPlatforms, Infra, Security); blue in H only = PVP covers it but no PD is named.</t>
  </si>
  <si>
    <t>4. Split "shared by design" from a data error. Two legitimate co-owners across different sub-components is fine (Primary just picks the majority holder for roll-up); two different owners on the SAME sub-component is an error to reconcile in the masterlist.</t>
  </si>
  <si>
    <t>5. Split the component if the divide is structural. Where sub-components map cleanly to different orgs (e.g. platform vs. app teams), make them separate components so each resolves to a single PD + PVP and no tie/roll-up is needed.</t>
  </si>
  <si>
    <t>Rule of thumb: single owner → use it; clear majority → Primary = majority holder; genuine tie → leadership decides (red); no owner → assign one (blue).</t>
  </si>
  <si>
    <t>Fix Versions - 2026</t>
  </si>
  <si>
    <t>Fix Versions - 2027</t>
  </si>
  <si>
    <t>Release-2026.01.1.0</t>
  </si>
  <si>
    <t>,</t>
  </si>
  <si>
    <t>Release-2027.01.1.0</t>
  </si>
  <si>
    <t>Release-2026.01.1.1</t>
  </si>
  <si>
    <t>Release-2027.01.1.1</t>
  </si>
  <si>
    <t>Release-2026.01.1.2</t>
  </si>
  <si>
    <t>Release-2027.01.1.2</t>
  </si>
  <si>
    <t>Release-2026.01.2.0</t>
  </si>
  <si>
    <t>Release-2027.01.2.0</t>
  </si>
  <si>
    <t>Release-2026.01.2.1</t>
  </si>
  <si>
    <t>Release-2027.01.2.1</t>
  </si>
  <si>
    <t>Release-2026.02.1.0</t>
  </si>
  <si>
    <t>Release-2027.02.1.0</t>
  </si>
  <si>
    <t>Release-2026.02.1.1</t>
  </si>
  <si>
    <t>Release-2027.02.1.1</t>
  </si>
  <si>
    <t>Release-2026.02.1.2</t>
  </si>
  <si>
    <t>Release-2027.02.1.2</t>
  </si>
  <si>
    <t>Release-2026.02.2.0</t>
  </si>
  <si>
    <t>Release-2027.02.2.0</t>
  </si>
  <si>
    <t>Release-2026.02.2.1</t>
  </si>
  <si>
    <t>Release-2027.02.2.1</t>
  </si>
  <si>
    <t>Release-2026.03.1.0</t>
  </si>
  <si>
    <t>Release-2027.03.1.0</t>
  </si>
  <si>
    <t>Release-2026.03.1.1</t>
  </si>
  <si>
    <t>Release-2027.03.1.1</t>
  </si>
  <si>
    <t>Release-2026.03.1.2</t>
  </si>
  <si>
    <t>Release-2027.03.1.2</t>
  </si>
  <si>
    <t>Release-2026.03.2.0</t>
  </si>
  <si>
    <t>Release-2027.03.2.0</t>
  </si>
  <si>
    <t>Release-2026.03.2.1</t>
  </si>
  <si>
    <t>Release-2027.03.2.1</t>
  </si>
  <si>
    <t>Release-2026.04.1.0</t>
  </si>
  <si>
    <t>Release-2027.04.1.0</t>
  </si>
  <si>
    <t>Release-2026.04.1.1</t>
  </si>
  <si>
    <t>Release-2027.04.1.1</t>
  </si>
  <si>
    <t>Release-2026.04.1.2</t>
  </si>
  <si>
    <t>Release-2027.04.1.2</t>
  </si>
  <si>
    <t>Release-2026.04.2.0</t>
  </si>
  <si>
    <t>Release-2027.04.2.0</t>
  </si>
  <si>
    <t>Release-2026.04.2.1</t>
  </si>
  <si>
    <t>Release-2027.04.2.1</t>
  </si>
  <si>
    <t>Release-2026.05.1.0</t>
  </si>
  <si>
    <t>Release-2027.05.1.0</t>
  </si>
  <si>
    <t>Release-2026.05.1.1</t>
  </si>
  <si>
    <t>Release-2027.05.1.1</t>
  </si>
  <si>
    <t>Release-2026.05.1.2</t>
  </si>
  <si>
    <t>Release-2027.05.1.2</t>
  </si>
  <si>
    <t>Release-2026.05.2.0</t>
  </si>
  <si>
    <t>Release-2027.05.2.0</t>
  </si>
  <si>
    <t>Release-2026.05.2.1</t>
  </si>
  <si>
    <t>Release-2027.05.2.1</t>
  </si>
  <si>
    <t>Release-2026.06.1.0</t>
  </si>
  <si>
    <t>Release-2027.06.1.0</t>
  </si>
  <si>
    <t>Release-2026.06.1.1</t>
  </si>
  <si>
    <t>Release-2027.06.1.1</t>
  </si>
  <si>
    <t>Release-2026.06.1.2</t>
  </si>
  <si>
    <t>Release-2027.06.1.2</t>
  </si>
  <si>
    <t>Release-2026.06.2.0</t>
  </si>
  <si>
    <t>Release-2027.06.2.0</t>
  </si>
  <si>
    <t>Release-2026.06.2.1</t>
  </si>
  <si>
    <t>Release-2027.06.2.1</t>
  </si>
  <si>
    <t>Release-2026.07.1.0</t>
  </si>
  <si>
    <t>Release-2027.07.1.0</t>
  </si>
  <si>
    <t>Release-2026.07.1.1</t>
  </si>
  <si>
    <t>Release-2027.07.1.1</t>
  </si>
  <si>
    <t>Release-2026.07.1.2</t>
  </si>
  <si>
    <t>Release-2027.07.1.2</t>
  </si>
  <si>
    <t>Release-2026.07.2.0</t>
  </si>
  <si>
    <t>Release-2027.07.2.0</t>
  </si>
  <si>
    <t>Release-2026.07.2.1</t>
  </si>
  <si>
    <t>Release-2027.07.2.1</t>
  </si>
  <si>
    <t>Release-2026.08.1.0</t>
  </si>
  <si>
    <t>Release-2027.08.1.0</t>
  </si>
  <si>
    <t>Release-2026.08.1.1</t>
  </si>
  <si>
    <t>Release-2027.08.1.1</t>
  </si>
  <si>
    <t>Release-2026.08.1.2</t>
  </si>
  <si>
    <t>Release-2027.08.1.2</t>
  </si>
  <si>
    <t>Release-2026.08.2.0</t>
  </si>
  <si>
    <t>Release-2027.08.2.0</t>
  </si>
  <si>
    <t>Release-2026.08.2.1</t>
  </si>
  <si>
    <t>Release-2027.08.2.1</t>
  </si>
  <si>
    <t>Release-2026.09.1.0</t>
  </si>
  <si>
    <t>Release-2027.09.1.0</t>
  </si>
  <si>
    <t>Release-2026.09.1.1</t>
  </si>
  <si>
    <t>Release-2027.09.1.1</t>
  </si>
  <si>
    <t>Release-2026.09.1.2</t>
  </si>
  <si>
    <t>Release-2027.09.1.2</t>
  </si>
  <si>
    <t>Release-2026.09.2.0</t>
  </si>
  <si>
    <t>Release-2027.09.2.0</t>
  </si>
  <si>
    <t>Release-2026.09.2.1</t>
  </si>
  <si>
    <t>Release-2027.09.2.1</t>
  </si>
  <si>
    <t>Release-2026.10.1.0</t>
  </si>
  <si>
    <t>Release-2027.10.1.0</t>
  </si>
  <si>
    <t>Release-2026.10.1.1</t>
  </si>
  <si>
    <t>Release-2027.10.1.1</t>
  </si>
  <si>
    <t>Release-2026.10.1.2</t>
  </si>
  <si>
    <t>Release-2027.10.1.2</t>
  </si>
  <si>
    <t>Release-2026.10.2.0</t>
  </si>
  <si>
    <t>Release-2027.10.2.0</t>
  </si>
  <si>
    <t>Release-2026.10.2.1</t>
  </si>
  <si>
    <t>Release-2027.10.2.1</t>
  </si>
  <si>
    <t>Release-2026.11.1.0</t>
  </si>
  <si>
    <t>Release-2027.11.1.0</t>
  </si>
  <si>
    <t>Release-2026.11.1.1</t>
  </si>
  <si>
    <t>Release-2027.11.1.1</t>
  </si>
  <si>
    <t>Release-2026.11.1.2</t>
  </si>
  <si>
    <t>Release-2027.11.1.2</t>
  </si>
  <si>
    <t>Release-2026.11.2.0</t>
  </si>
  <si>
    <t>Release-2027.11.2.0</t>
  </si>
  <si>
    <t>Release-2026.11.2.1</t>
  </si>
  <si>
    <t>Release-2027.11.2.1</t>
  </si>
  <si>
    <t>Release-2026.12.1.0</t>
  </si>
  <si>
    <t>Release-2027.12.1.0</t>
  </si>
  <si>
    <t>Release-2026.12.1.1</t>
  </si>
  <si>
    <t>Release-2027.12.1.1</t>
  </si>
  <si>
    <t>Release-2026.12.1.2</t>
  </si>
  <si>
    <t>Release-2027.12.1.2</t>
  </si>
  <si>
    <t>Release-2026.12.2.0</t>
  </si>
  <si>
    <t>Release-2027.12.2.0</t>
  </si>
  <si>
    <t>Release-2026.12.2.1</t>
  </si>
  <si>
    <t>Release-2027.12.2.1</t>
  </si>
  <si>
    <t>Copy col A&amp; B from Masterlist</t>
  </si>
  <si>
    <t>AP-Helix</t>
  </si>
  <si>
    <t>AP-PolicyEngine_And_DataValidationFW</t>
  </si>
  <si>
    <t>AP-CentralSetupFW_And_MonitoringServices</t>
  </si>
  <si>
    <t>New PDLC</t>
  </si>
  <si>
    <t>Reference Component Column</t>
  </si>
  <si>
    <t>Reference Sub-Component Column</t>
  </si>
  <si>
    <t>Normal scenario</t>
  </si>
  <si>
    <t>Service-xyz</t>
  </si>
  <si>
    <t>To identify scrum team not present in Lookup sheet</t>
  </si>
  <si>
    <t>When data row lacks a sub-component value</t>
  </si>
  <si>
    <t>Old</t>
  </si>
  <si>
    <t>Formula</t>
  </si>
  <si>
    <t>Engg Leader</t>
  </si>
  <si>
    <t>Capacity</t>
  </si>
  <si>
    <t>Capacity for Calculation</t>
  </si>
  <si>
    <t>AIPlatform</t>
  </si>
  <si>
    <t>*Past Velocity is an average of delivery made for May, Jun &amp; Jul releases (Est SP of Epics delivered, PM or ENG)</t>
  </si>
  <si>
    <t>*Velocity is used where teams have not provided TPM team with their capacity</t>
  </si>
  <si>
    <t>*Removed Campaign's velocity from CRM component</t>
  </si>
  <si>
    <t>Capacity for Calc</t>
  </si>
  <si>
    <t>campaign</t>
  </si>
  <si>
    <t>Dealer Launch Automation</t>
  </si>
  <si>
    <t>Machine Learning</t>
  </si>
  <si>
    <t>TOC Engineering</t>
  </si>
  <si>
    <t>Old + New Component</t>
  </si>
  <si>
    <t>New Component</t>
  </si>
  <si>
    <t>Engg Leader (old)</t>
  </si>
  <si>
    <t>Accounting &amp; Core Integration</t>
  </si>
  <si>
    <t>Accounting Integration</t>
  </si>
  <si>
    <t>Accounting-Autoposting</t>
  </si>
  <si>
    <t>Accounting-core</t>
  </si>
  <si>
    <t>AEC Integration</t>
  </si>
  <si>
    <t>Analytics (Report Builder + Data Cloud Pro)</t>
  </si>
  <si>
    <t>Analytics Platform</t>
  </si>
  <si>
    <t>APC – Parts</t>
  </si>
  <si>
    <t>APC - Platform</t>
  </si>
  <si>
    <t>APC – Platform</t>
  </si>
  <si>
    <t>APC – Retail</t>
  </si>
  <si>
    <t>APC Dev Platform</t>
  </si>
  <si>
    <t>APC Platform</t>
  </si>
  <si>
    <t>ARC Analytics</t>
  </si>
  <si>
    <t>ARC Platform</t>
  </si>
  <si>
    <t>ARC: CRM</t>
  </si>
  <si>
    <t>ARC: Deals</t>
  </si>
  <si>
    <t>ARC: Vehicle Inventory</t>
  </si>
  <si>
    <t>ARC_Mobile</t>
  </si>
  <si>
    <t>Arcplatform</t>
  </si>
  <si>
    <t>arcplatform</t>
  </si>
  <si>
    <t>B&amp;P: Configurator</t>
  </si>
  <si>
    <t>AEC Program</t>
  </si>
  <si>
    <t>Business Analytics</t>
  </si>
  <si>
    <t>Chatbot</t>
  </si>
  <si>
    <t>Checkout</t>
  </si>
  <si>
    <t>Clickstream Analytics</t>
  </si>
  <si>
    <t>CMS_Data</t>
  </si>
  <si>
    <t>Consumer: Cart</t>
  </si>
  <si>
    <t>Consumer: Checkout</t>
  </si>
  <si>
    <t>Consumer: CMS</t>
  </si>
  <si>
    <t>Consumer: Configurator</t>
  </si>
  <si>
    <t>Consumer: Consumer Appointments</t>
  </si>
  <si>
    <t>Consumer: IMS</t>
  </si>
  <si>
    <t>Consumer: Ingestion</t>
  </si>
  <si>
    <t>Consumer: Integration</t>
  </si>
  <si>
    <t>Consumer: Landing Page</t>
  </si>
  <si>
    <t>Consumer: My Account</t>
  </si>
  <si>
    <t>Consumer: OMS</t>
  </si>
  <si>
    <t>Consumer: Platform</t>
  </si>
  <si>
    <t>Consumer: Pricing</t>
  </si>
  <si>
    <t>Consumer: Vehicle Details Page</t>
  </si>
  <si>
    <t>Consumer: Vehicle Search Results</t>
  </si>
  <si>
    <t>Core Integration</t>
  </si>
  <si>
    <t>Core or Platform</t>
  </si>
  <si>
    <t>Core Platform</t>
  </si>
  <si>
    <t>CreditApp &amp; eContracting Integration</t>
  </si>
  <si>
    <t>CRM Integration</t>
  </si>
  <si>
    <t>Custom Order</t>
  </si>
  <si>
    <t>Data (Migration &amp; Conversion)</t>
  </si>
  <si>
    <t>Data Migration</t>
  </si>
  <si>
    <t>Datawarehouse</t>
  </si>
  <si>
    <t>DBA</t>
  </si>
  <si>
    <t>DCP</t>
  </si>
  <si>
    <t>Deal Sync Report</t>
  </si>
  <si>
    <t>Dev Platform</t>
  </si>
  <si>
    <t>DevOps</t>
  </si>
  <si>
    <t>DevOps/Infra</t>
  </si>
  <si>
    <t>DFE</t>
  </si>
  <si>
    <t>Digital Signing Platform</t>
  </si>
  <si>
    <t>DR_AEC_Studio</t>
  </si>
  <si>
    <t>DR_OEM_Portal</t>
  </si>
  <si>
    <t>DR_PCX</t>
  </si>
  <si>
    <t>DRP : Integration</t>
  </si>
  <si>
    <t>DRP : Platform Services</t>
  </si>
  <si>
    <t>DRP Analytics</t>
  </si>
  <si>
    <t>DRP Onboarding</t>
  </si>
  <si>
    <t>DRP Platform</t>
  </si>
  <si>
    <t>DRP: CRM Integration</t>
  </si>
  <si>
    <t>DRP: Deal Sync</t>
  </si>
  <si>
    <t>DRP-General</t>
  </si>
  <si>
    <t>DRS</t>
  </si>
  <si>
    <t>DRS &amp; FnI Integration</t>
  </si>
  <si>
    <t>DRS Integration</t>
  </si>
  <si>
    <t>DWH APM</t>
  </si>
  <si>
    <t>DWH DCP</t>
  </si>
  <si>
    <t>DWH Ingestion</t>
  </si>
  <si>
    <t>DWH Platform</t>
  </si>
  <si>
    <t>DWH Serving</t>
  </si>
  <si>
    <t>DWH_DCP_INGESTION</t>
  </si>
  <si>
    <t>DX : Order Management System (OMS)</t>
  </si>
  <si>
    <t>eContracting</t>
  </si>
  <si>
    <t>E-Contracting</t>
  </si>
  <si>
    <t>eContracting-Integration</t>
  </si>
  <si>
    <t>Employee Hours</t>
  </si>
  <si>
    <t>Employee Onboarding</t>
  </si>
  <si>
    <t>eSign_Docs</t>
  </si>
  <si>
    <t>F&amp;I</t>
  </si>
  <si>
    <t>Forms</t>
  </si>
  <si>
    <t>GMDRP Integrations</t>
  </si>
  <si>
    <t>Infra-issues</t>
  </si>
  <si>
    <t>Integrations</t>
  </si>
  <si>
    <t>Integration-SRE</t>
  </si>
  <si>
    <t>Internal Tools</t>
  </si>
  <si>
    <t>IoT / Hardware</t>
  </si>
  <si>
    <t>Migrated Documents</t>
  </si>
  <si>
    <t>migration</t>
  </si>
  <si>
    <t>Migration Data</t>
  </si>
  <si>
    <t>ML Core</t>
  </si>
  <si>
    <t>ML Data</t>
  </si>
  <si>
    <t>ML_DATA</t>
  </si>
  <si>
    <t>ml-backend</t>
  </si>
  <si>
    <t>ml-core</t>
  </si>
  <si>
    <t>MLE</t>
  </si>
  <si>
    <t>MLE Platform</t>
  </si>
  <si>
    <t>OEM Portal</t>
  </si>
  <si>
    <t>OEM Portal: Analytics</t>
  </si>
  <si>
    <t>OEM portal: Compliance</t>
  </si>
  <si>
    <t>OEM Portal: D360</t>
  </si>
  <si>
    <t>OEM Portal: Enrolment</t>
  </si>
  <si>
    <t>OEM Portal: Forms Configurator</t>
  </si>
  <si>
    <t>OEM Portal: Website Setup</t>
  </si>
  <si>
    <t>OMS</t>
  </si>
  <si>
    <t>Onboarding</t>
  </si>
  <si>
    <t>Parts Integration</t>
  </si>
  <si>
    <t>Performance Engineering</t>
  </si>
  <si>
    <t>permission</t>
  </si>
  <si>
    <t>Platform Integration</t>
  </si>
  <si>
    <t>Platform Services</t>
  </si>
  <si>
    <t>Platform Tools</t>
  </si>
  <si>
    <t>Platform UI</t>
  </si>
  <si>
    <t>Platform: Chatbot</t>
  </si>
  <si>
    <t>Print</t>
  </si>
  <si>
    <t>Print/Scan</t>
  </si>
  <si>
    <t>Printer</t>
  </si>
  <si>
    <t>Printer / Scanner</t>
  </si>
  <si>
    <t>Printer/Scanner</t>
  </si>
  <si>
    <t>Q2O: US</t>
  </si>
  <si>
    <t>Report Builder</t>
  </si>
  <si>
    <t>Retail Chatbot</t>
  </si>
  <si>
    <t>Retail Integration</t>
  </si>
  <si>
    <t>Retail Mobile</t>
  </si>
  <si>
    <t>Retail: Desking</t>
  </si>
  <si>
    <t>Retail_CMS</t>
  </si>
  <si>
    <t>Retail-Galaxy Calc Engine</t>
  </si>
  <si>
    <t>Retail-Integration</t>
  </si>
  <si>
    <t>Retail-OpenAPI</t>
  </si>
  <si>
    <t>Rule Engine</t>
  </si>
  <si>
    <t>Rule_Engine</t>
  </si>
  <si>
    <t>Sales + F&amp;I</t>
  </si>
  <si>
    <t>Sales Desking</t>
  </si>
  <si>
    <t>Sales Mobile</t>
  </si>
  <si>
    <t>SalesCloud: Analytics</t>
  </si>
  <si>
    <t>SalesCloud: Calc Engine</t>
  </si>
  <si>
    <t>SalesCloud: CRM</t>
  </si>
  <si>
    <t>SalesCloud: Deals</t>
  </si>
  <si>
    <t>SalesCloud: Forms</t>
  </si>
  <si>
    <t>SalesCloud: IC</t>
  </si>
  <si>
    <t>SalesCloud: Inspection</t>
  </si>
  <si>
    <t>SalesCloud: Onboarding</t>
  </si>
  <si>
    <t>SalesCloud: Platform</t>
  </si>
  <si>
    <t>SalesCloud: Vehicle Inventory</t>
  </si>
  <si>
    <t>Scan</t>
  </si>
  <si>
    <t>Secure Checkout</t>
  </si>
  <si>
    <t>Service Integration</t>
  </si>
  <si>
    <t>ServiceMenu</t>
  </si>
  <si>
    <t>SRE</t>
  </si>
  <si>
    <t>Support Chatbot</t>
  </si>
  <si>
    <t>Tap</t>
  </si>
  <si>
    <t>TAP DI</t>
  </si>
  <si>
    <t>Tekion Pay &amp; Spend</t>
  </si>
  <si>
    <t>UI</t>
  </si>
  <si>
    <t>ui_platform</t>
  </si>
  <si>
    <t>Vehicle Inventory</t>
  </si>
  <si>
    <t>VI Integration</t>
  </si>
  <si>
    <t>Warehouse</t>
  </si>
  <si>
    <t>Warehouse Reporting</t>
  </si>
  <si>
    <t>DR_PCX_Honda</t>
  </si>
  <si>
    <t>Customer Onboarding</t>
  </si>
  <si>
    <t>GMDRP Precheckout - OMS</t>
  </si>
  <si>
    <t>Mobile Platform</t>
  </si>
  <si>
    <t>Performance</t>
  </si>
  <si>
    <t>IoT</t>
  </si>
  <si>
    <t xml:space="preserve">ML Core </t>
  </si>
  <si>
    <t>John Dutton</t>
  </si>
  <si>
    <t>Training</t>
  </si>
  <si>
    <t>Name</t>
  </si>
  <si>
    <t>ID</t>
  </si>
  <si>
    <t>Title</t>
  </si>
  <si>
    <t>Manager</t>
  </si>
  <si>
    <t>Manager ID</t>
  </si>
  <si>
    <t>Location</t>
  </si>
  <si>
    <t>Count</t>
  </si>
  <si>
    <t>Indroneel Das</t>
  </si>
  <si>
    <t>Principal Architect, Software Engineering</t>
  </si>
  <si>
    <t>Shankar Umamaheshwaran</t>
  </si>
  <si>
    <t>Bangalore HQ</t>
  </si>
  <si>
    <t>Senior Architect, Engineering</t>
  </si>
  <si>
    <t>Ramamurthy Surya Narayanan</t>
  </si>
  <si>
    <t>Priyank Shailesh Bhatt</t>
  </si>
  <si>
    <t>Senior Architect, Software Engineering</t>
  </si>
  <si>
    <t>Saarthak Gupta</t>
  </si>
  <si>
    <t>Santosh Golecha M</t>
  </si>
  <si>
    <t>Roshan J. Pradeepam</t>
  </si>
  <si>
    <t>Architect, Software Engineering</t>
  </si>
  <si>
    <t>Rijo Joseph</t>
  </si>
  <si>
    <t>Shaik Sharif</t>
  </si>
  <si>
    <t>Karan Singh</t>
  </si>
  <si>
    <t>Vinay K L</t>
  </si>
  <si>
    <t>Anup Sahu</t>
  </si>
  <si>
    <t>Krishnakumar Pandurangan</t>
  </si>
  <si>
    <t>Associate Architect, Engineering</t>
  </si>
  <si>
    <t>Pleasanton HQ</t>
  </si>
  <si>
    <t>Aman Gulati</t>
  </si>
  <si>
    <t>Anirudh Saria</t>
  </si>
  <si>
    <t>Nagendra Pratap Yadav</t>
  </si>
  <si>
    <t>Manikanda Sankar Ramasamy</t>
  </si>
  <si>
    <t>Chennai Regional Office</t>
  </si>
  <si>
    <t>Parita Mukeshkumar Patel</t>
  </si>
  <si>
    <t>Prajesh Kumar</t>
  </si>
  <si>
    <t>Shivam Kumar Singh</t>
  </si>
  <si>
    <t>Devanga Karna Muralidhar</t>
  </si>
  <si>
    <t>Sinha Priyanshu Kumar Amimesh</t>
  </si>
  <si>
    <t>Sumit Jhajharia</t>
  </si>
  <si>
    <t>Priyal Viroja</t>
  </si>
  <si>
    <t>Associate Architect, Security Engineering</t>
  </si>
  <si>
    <t>Pratik Patil</t>
  </si>
  <si>
    <t>Sumit Kumar Bansal (00922)</t>
  </si>
  <si>
    <t>Anand Kumar</t>
  </si>
  <si>
    <t>Senior Staff Software Engineer</t>
  </si>
  <si>
    <t>Venkateswarlu Yerramalli (05076)</t>
  </si>
  <si>
    <t>Biplab De</t>
  </si>
  <si>
    <t>J Raja Lingam (00185)</t>
  </si>
  <si>
    <t>Debjyoti Sarkar</t>
  </si>
  <si>
    <t>Raghu Ram Vengalil (05199)</t>
  </si>
  <si>
    <t>Venkatesh Ganesan (00021)</t>
  </si>
  <si>
    <t>Jeyanthinath Muthuram P (00142)</t>
  </si>
  <si>
    <t>Rahul Singh</t>
  </si>
  <si>
    <t>Senior Staff Machine Learning Engineer</t>
  </si>
  <si>
    <t>Nitika Gupta (00295)</t>
  </si>
  <si>
    <t>Rajesh Kumar Birada</t>
  </si>
  <si>
    <t>Shamanth H N</t>
  </si>
  <si>
    <t>Senior Staff Automation QA Engineer</t>
  </si>
  <si>
    <t>Mathankumar M (03901)</t>
  </si>
  <si>
    <t>Shushant Arora</t>
  </si>
  <si>
    <t>Ahamed Abdul Rahman M</t>
  </si>
  <si>
    <t>Gaurav Sharma (00266)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</si>
</sst>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_);_(* \(#,##0.0\);_(* &quot;-&quot;??_);_(@_)"/>
  </numFmts>
  <fonts count="41">
    <font>
      <sz val="11"/>
      <color theme="1"/>
      <name val="Aptos Narrow"/>
      <family val="2"/>
      <scheme val="minor"/>
    </font>
    <font>
      <sz val="11"/>
      <color theme="1"/>
      <name val="Aptos Narrow"/>
      <family val="2"/>
      <scheme val="minor"/>
    </font>
    <font>
      <b/>
      <sz val="11"/>
      <color theme="1"/>
      <name val="Aptos Narrow"/>
      <family val="2"/>
      <scheme val="minor"/>
    </font>
    <font>
      <b/>
      <sz val="11"/>
      <color rgb="FF00B050"/>
      <name val="Aptos Narrow"/>
      <family val="2"/>
      <scheme val="minor"/>
    </font>
    <font>
      <b/>
      <sz val="11"/>
      <color rgb="FF000000"/>
      <name val="Aptos Narrow"/>
      <family val="2"/>
      <scheme val="minor"/>
    </font>
    <font>
      <sz val="11"/>
      <color rgb="FF7030A0"/>
      <name val="Aptos Narrow"/>
      <family val="2"/>
      <scheme val="minor"/>
    </font>
    <font>
      <u/>
      <sz val="11"/>
      <color theme="10"/>
      <name val="Aptos Narrow"/>
      <family val="2"/>
      <scheme val="minor"/>
    </font>
    <font>
      <b/>
      <sz val="11"/>
      <color theme="1"/>
      <name val="Aptos Narrow"/>
      <family val="2"/>
    </font>
    <font>
      <sz val="11"/>
      <color theme="1"/>
      <name val="Aptos Narrow"/>
      <family val="2"/>
    </font>
    <font>
      <sz val="11"/>
      <color rgb="FF242424"/>
      <name val="Aptos Narrow"/>
      <family val="2"/>
    </font>
    <font>
      <sz val="11"/>
      <color rgb="FF000000"/>
      <name val="Aptos Narrow"/>
      <family val="2"/>
    </font>
    <font>
      <sz val="11"/>
      <color rgb="FF212121"/>
      <name val="Aptos Narrow"/>
      <family val="2"/>
    </font>
    <font>
      <sz val="11"/>
      <color theme="1" tint="4.9989318521683403E-2"/>
      <name val="Aptos Narrow"/>
      <family val="2"/>
      <scheme val="minor"/>
    </font>
    <font>
      <sz val="11"/>
      <color rgb="FFFF0000"/>
      <name val="Aptos Narrow"/>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rgb="FF000000"/>
      <name val="Aptos Narrow"/>
      <family val="2"/>
      <scheme val="minor"/>
    </font>
    <font>
      <sz val="10"/>
      <color rgb="FF000000"/>
      <name val="Arial"/>
      <family val="2"/>
    </font>
    <font>
      <b/>
      <sz val="11"/>
      <color theme="0"/>
      <name val="Aptos Narrow"/>
      <family val="2"/>
      <scheme val="minor"/>
    </font>
    <font>
      <b/>
      <sz val="11"/>
      <color rgb="FFFF0000"/>
      <name val="Aptos Narrow"/>
      <family val="2"/>
      <scheme val="minor"/>
    </font>
    <font>
      <b/>
      <sz val="11"/>
      <color rgb="FF000000"/>
      <name val="Calibri"/>
      <family val="2"/>
    </font>
    <font>
      <sz val="11"/>
      <color rgb="FF000000"/>
      <name val="Calibri"/>
      <family val="2"/>
    </font>
    <font>
      <sz val="11"/>
      <color theme="1" tint="0.499984740745262"/>
      <name val="Aptos Narrow"/>
      <family val="2"/>
      <scheme val="minor"/>
    </font>
    <font>
      <sz val="10"/>
      <color theme="1"/>
      <name val="Helvetica Neue"/>
      <family val="2"/>
    </font>
    <font>
      <b/>
      <sz val="11"/>
      <color rgb="FF000000"/>
      <name val="Aptos Narrow"/>
      <family val="2"/>
    </font>
    <font>
      <sz val="11"/>
      <color rgb="FF212121"/>
      <name val="Aptos"/>
      <family val="2"/>
      <charset val="1"/>
    </font>
    <font>
      <sz val="12"/>
      <color rgb="FF000000"/>
      <name val="Aptos"/>
      <family val="2"/>
    </font>
    <font>
      <b/>
      <u/>
      <sz val="11"/>
      <color theme="10"/>
      <name val="Aptos Narrow"/>
      <family val="2"/>
      <scheme val="minor"/>
    </font>
    <font>
      <b/>
      <sz val="12"/>
      <color rgb="FF000000"/>
      <name val="Aptos Display"/>
      <family val="2"/>
      <scheme val="major"/>
    </font>
    <font>
      <sz val="12"/>
      <color rgb="FF000000"/>
      <name val="Aptos Display"/>
      <family val="2"/>
      <scheme val="major"/>
    </font>
    <font>
      <b/>
      <sz val="12"/>
      <color theme="1"/>
      <name val="Aptos Display"/>
      <family val="2"/>
      <scheme val="major"/>
    </font>
    <font>
      <sz val="12"/>
      <color theme="1"/>
      <name val="Aptos Display"/>
      <family val="2"/>
      <scheme val="major"/>
    </font>
    <font>
      <sz val="11"/>
      <color rgb="FF242424"/>
      <name val="Aptos Narrow"/>
      <family val="2"/>
      <scheme val="minor"/>
    </font>
    <font>
      <sz val="12"/>
      <color rgb="FF000000"/>
      <name val="Aptos Narrow"/>
      <family val="2"/>
      <scheme val="minor"/>
    </font>
    <font>
      <sz val="11"/>
      <name val="Aptos Narrow"/>
      <family val="2"/>
      <scheme val="minor"/>
    </font>
    <font>
      <b/>
      <sz val="14"/>
      <color theme="1"/>
      <name val="Aptos Narrow"/>
      <family val="2"/>
      <scheme val="minor"/>
    </font>
    <font>
      <i/>
      <sz val="11"/>
      <color rgb="FF666666"/>
      <name val="Aptos Narrow"/>
      <family val="2"/>
      <scheme val="minor"/>
    </font>
    <font>
      <b/>
      <sz val="12"/>
      <color theme="1"/>
      <name val="Aptos Narrow"/>
      <family val="2"/>
      <scheme val="minor"/>
    </font>
    <font>
      <sz val="11"/>
      <color rgb="FF333333"/>
      <name val="Aptos Narrow"/>
      <family val="2"/>
      <scheme val="minor"/>
    </font>
    <font>
      <i/>
      <sz val="11"/>
      <color rgb="FF9C5700"/>
      <name val="Aptos Narrow"/>
      <family val="2"/>
      <scheme val="minor"/>
    </font>
  </fonts>
  <fills count="30">
    <fill>
      <patternFill patternType="none"/>
    </fill>
    <fill>
      <patternFill patternType="gray125"/>
    </fill>
    <fill>
      <patternFill patternType="solid">
        <fgColor theme="7"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C0F1C8"/>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F2F2F2"/>
        <bgColor indexed="64"/>
      </patternFill>
    </fill>
    <fill>
      <patternFill patternType="solid">
        <fgColor theme="7" tint="0.79998168889431442"/>
        <bgColor indexed="64"/>
      </patternFill>
    </fill>
    <fill>
      <patternFill patternType="solid">
        <fgColor rgb="FFFFC7C7"/>
        <bgColor indexed="64"/>
      </patternFill>
    </fill>
    <fill>
      <patternFill patternType="solid">
        <fgColor theme="2"/>
        <bgColor indexed="64"/>
      </patternFill>
    </fill>
    <fill>
      <patternFill patternType="solid">
        <fgColor rgb="FFFFFFFF"/>
        <bgColor rgb="FF000000"/>
      </patternFill>
    </fill>
    <fill>
      <patternFill patternType="solid">
        <fgColor theme="0"/>
        <bgColor indexed="64"/>
      </patternFill>
    </fill>
    <fill>
      <patternFill patternType="solid">
        <fgColor rgb="FF7030A0"/>
        <bgColor indexed="64"/>
      </patternFill>
    </fill>
    <fill>
      <patternFill patternType="solid">
        <fgColor rgb="FFBAFFF5"/>
        <bgColor indexed="64"/>
      </patternFill>
    </fill>
    <fill>
      <patternFill patternType="solid">
        <fgColor rgb="FFFFF2CC"/>
        <bgColor indexed="64"/>
      </patternFill>
    </fill>
    <fill>
      <patternFill patternType="solid">
        <fgColor rgb="FF61CBF3"/>
        <bgColor rgb="FF000000"/>
      </patternFill>
    </fill>
    <fill>
      <patternFill patternType="solid">
        <fgColor rgb="FFD9D9D9"/>
        <bgColor rgb="FFD9D9D9"/>
      </patternFill>
    </fill>
    <fill>
      <patternFill patternType="solid">
        <fgColor rgb="FF0D9D87"/>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rgb="FF94DCF8"/>
        <bgColor indexed="64"/>
      </patternFill>
    </fill>
    <fill>
      <patternFill patternType="solid">
        <fgColor rgb="FF45D65A"/>
        <bgColor indexed="64"/>
      </patternFill>
    </fill>
  </fills>
  <borders count="36">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B0F0"/>
      </left>
      <right style="thin">
        <color rgb="FF00B0F0"/>
      </right>
      <top style="thin">
        <color rgb="FF00B0F0"/>
      </top>
      <bottom style="thin">
        <color rgb="FF00B0F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1" tint="0.499984740745262"/>
      </left>
      <right style="thin">
        <color theme="1" tint="0.499984740745262"/>
      </right>
      <top style="thin">
        <color theme="1" tint="0.499984740745262"/>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theme="1" tint="0.499984740745262"/>
      </left>
      <right/>
      <top style="thin">
        <color theme="1" tint="0.499984740745262"/>
      </top>
      <bottom style="thin">
        <color theme="1" tint="0.499984740745262"/>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rgb="FFFFFFFF"/>
      </right>
      <top/>
      <bottom style="thin">
        <color rgb="FFFFFFFF"/>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rgb="FF808080"/>
      </right>
      <top style="thin">
        <color rgb="FF808080"/>
      </top>
      <bottom style="thin">
        <color rgb="FF808080"/>
      </bottom>
      <diagonal/>
    </border>
    <border>
      <left/>
      <right/>
      <top/>
      <bottom style="thin">
        <color indexed="64"/>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top/>
      <bottom style="thin">
        <color indexed="64"/>
      </bottom>
      <diagonal/>
    </border>
    <border>
      <left style="thin">
        <color rgb="FF808080"/>
      </left>
      <right style="thin">
        <color rgb="FF808080"/>
      </right>
      <top style="thin">
        <color rgb="FF808080"/>
      </top>
      <bottom/>
      <diagonal/>
    </border>
    <border>
      <left style="thin">
        <color indexed="64"/>
      </left>
      <right style="thin">
        <color indexed="64"/>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right/>
      <top style="thin">
        <color rgb="FF000000"/>
      </top>
      <bottom/>
      <diagonal/>
    </border>
    <border>
      <left style="thin">
        <color rgb="FF000000"/>
      </left>
      <right/>
      <top/>
      <bottom/>
      <diagonal/>
    </border>
  </borders>
  <cellStyleXfs count="2">
    <xf numFmtId="0" fontId="0" fillId="0" borderId="0"/>
    <xf numFmtId="0" fontId="6" fillId="0" borderId="0" applyNumberFormat="0" applyFill="0" applyBorder="0" applyAlignment="0" applyProtection="0"/>
  </cellStyleXfs>
  <cellXfs count="382">
    <xf numFmtId="0" fontId="0" fillId="0" borderId="0" xfId="0"/>
    <xf numFmtId="0" fontId="2" fillId="2" borderId="1" xfId="0" applyFont="1" applyFill="1" applyBorder="1" applyAlignment="1">
      <alignment vertical="center" wrapText="1"/>
    </xf>
    <xf numFmtId="0" fontId="2" fillId="0" borderId="0" xfId="0" applyFont="1" applyAlignment="1">
      <alignment vertical="center" wrapText="1"/>
    </xf>
    <xf numFmtId="0" fontId="0" fillId="0" borderId="1" xfId="0" applyBorder="1"/>
    <xf numFmtId="0" fontId="0" fillId="0" borderId="0" xfId="0" applyAlignment="1">
      <alignment horizontal="center"/>
    </xf>
    <xf numFmtId="0" fontId="0" fillId="0" borderId="0" xfId="0" applyAlignment="1">
      <alignment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0" fillId="3" borderId="0" xfId="0" applyFill="1" applyAlignment="1">
      <alignment horizontal="center" vertical="center"/>
    </xf>
    <xf numFmtId="0" fontId="2" fillId="2" borderId="2" xfId="0" applyFont="1" applyFill="1" applyBorder="1" applyAlignment="1">
      <alignment horizontal="center" vertical="center" wrapText="1"/>
    </xf>
    <xf numFmtId="0" fontId="0" fillId="0" borderId="2" xfId="0" applyBorder="1" applyAlignment="1">
      <alignment horizontal="center" vertical="center"/>
    </xf>
    <xf numFmtId="15" fontId="0" fillId="0" borderId="0" xfId="0" applyNumberFormat="1" applyAlignment="1">
      <alignment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0" fillId="4" borderId="1" xfId="0" applyFill="1" applyBorder="1"/>
    <xf numFmtId="0" fontId="2" fillId="0" borderId="0" xfId="0" applyFont="1"/>
    <xf numFmtId="0" fontId="6" fillId="0" borderId="0" xfId="1"/>
    <xf numFmtId="0" fontId="0" fillId="5" borderId="1" xfId="0" applyFill="1" applyBorder="1"/>
    <xf numFmtId="0" fontId="0" fillId="6" borderId="1" xfId="0" applyFill="1" applyBorder="1"/>
    <xf numFmtId="0" fontId="0" fillId="0" borderId="3" xfId="0" applyBorder="1"/>
    <xf numFmtId="0" fontId="7" fillId="2" borderId="3" xfId="0" applyFont="1" applyFill="1" applyBorder="1" applyAlignment="1">
      <alignment vertical="center"/>
    </xf>
    <xf numFmtId="0" fontId="0" fillId="0" borderId="0" xfId="0" applyAlignment="1">
      <alignment vertical="center"/>
    </xf>
    <xf numFmtId="0" fontId="8" fillId="0" borderId="3" xfId="0" applyFont="1" applyBorder="1" applyAlignment="1">
      <alignment vertical="center"/>
    </xf>
    <xf numFmtId="0" fontId="0" fillId="0" borderId="3" xfId="0" applyBorder="1" applyAlignment="1">
      <alignment vertical="center"/>
    </xf>
    <xf numFmtId="0" fontId="8" fillId="0" borderId="3" xfId="0" applyFont="1" applyBorder="1" applyAlignment="1">
      <alignment horizontal="left" vertical="center"/>
    </xf>
    <xf numFmtId="0" fontId="9" fillId="0" borderId="3" xfId="0" applyFont="1" applyBorder="1" applyAlignment="1">
      <alignment vertical="center"/>
    </xf>
    <xf numFmtId="0" fontId="0" fillId="0" borderId="3" xfId="0" applyBorder="1" applyAlignment="1">
      <alignment vertical="center" wrapText="1"/>
    </xf>
    <xf numFmtId="0" fontId="10" fillId="0" borderId="3" xfId="0" applyFont="1" applyBorder="1" applyAlignment="1">
      <alignment horizontal="left" vertical="center"/>
    </xf>
    <xf numFmtId="0" fontId="0" fillId="0" borderId="3" xfId="0" quotePrefix="1" applyBorder="1" applyAlignment="1">
      <alignment vertical="center"/>
    </xf>
    <xf numFmtId="0" fontId="11" fillId="0" borderId="3" xfId="0" applyFont="1" applyBorder="1" applyAlignment="1">
      <alignment vertical="center" wrapText="1"/>
    </xf>
    <xf numFmtId="0" fontId="9" fillId="7" borderId="3" xfId="0" applyFont="1" applyFill="1" applyBorder="1" applyAlignment="1">
      <alignment vertical="center" wrapText="1"/>
    </xf>
    <xf numFmtId="15" fontId="0" fillId="0" borderId="0" xfId="0" applyNumberFormat="1"/>
    <xf numFmtId="0" fontId="2" fillId="3" borderId="1" xfId="0" applyFont="1" applyFill="1" applyBorder="1" applyAlignment="1">
      <alignment vertical="center" wrapText="1"/>
    </xf>
    <xf numFmtId="0" fontId="0" fillId="8" borderId="1" xfId="0" applyFill="1" applyBorder="1"/>
    <xf numFmtId="0" fontId="0" fillId="0" borderId="1" xfId="0" applyBorder="1" applyAlignment="1">
      <alignment vertical="center"/>
    </xf>
    <xf numFmtId="0" fontId="8" fillId="0" borderId="4" xfId="0" applyFont="1" applyBorder="1" applyAlignment="1">
      <alignment vertical="center"/>
    </xf>
    <xf numFmtId="0" fontId="0" fillId="0" borderId="4" xfId="0" applyBorder="1" applyAlignment="1">
      <alignment vertical="center"/>
    </xf>
    <xf numFmtId="0" fontId="0" fillId="0" borderId="5" xfId="0" applyBorder="1"/>
    <xf numFmtId="0" fontId="8" fillId="0" borderId="5" xfId="0" applyFont="1" applyBorder="1" applyAlignment="1">
      <alignment horizontal="left" vertical="center"/>
    </xf>
    <xf numFmtId="0" fontId="0" fillId="0" borderId="5" xfId="0" applyBorder="1" applyAlignment="1">
      <alignment vertical="center"/>
    </xf>
    <xf numFmtId="0" fontId="0" fillId="9" borderId="0" xfId="0" applyFill="1"/>
    <xf numFmtId="0" fontId="2" fillId="2" borderId="0" xfId="0" applyFont="1" applyFill="1"/>
    <xf numFmtId="0" fontId="0" fillId="0" borderId="0" xfId="0" applyAlignment="1">
      <alignment wrapText="1"/>
    </xf>
    <xf numFmtId="0" fontId="0" fillId="6" borderId="5" xfId="0" applyFill="1" applyBorder="1"/>
    <xf numFmtId="0" fontId="0" fillId="12" borderId="5" xfId="0" applyFill="1" applyBorder="1"/>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0" fillId="10" borderId="1" xfId="0" applyFill="1"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2" fillId="2" borderId="3" xfId="0" applyFont="1" applyFill="1" applyBorder="1" applyAlignment="1">
      <alignment vertical="center" wrapText="1"/>
    </xf>
    <xf numFmtId="0" fontId="2" fillId="2" borderId="3" xfId="0" applyFont="1" applyFill="1" applyBorder="1" applyAlignment="1">
      <alignment horizontal="center" vertical="center" wrapText="1"/>
    </xf>
    <xf numFmtId="0" fontId="0" fillId="0" borderId="3" xfId="0" applyBorder="1" applyAlignment="1">
      <alignment horizontal="center" vertical="center" wrapText="1"/>
    </xf>
    <xf numFmtId="0" fontId="0" fillId="5" borderId="3" xfId="0" applyFill="1" applyBorder="1" applyAlignment="1">
      <alignment vertical="center" wrapText="1"/>
    </xf>
    <xf numFmtId="0" fontId="0" fillId="9" borderId="3" xfId="0" applyFill="1" applyBorder="1" applyAlignment="1">
      <alignment vertical="center" wrapText="1"/>
    </xf>
    <xf numFmtId="0" fontId="0" fillId="0" borderId="5" xfId="0" quotePrefix="1" applyBorder="1"/>
    <xf numFmtId="0" fontId="2" fillId="11" borderId="0" xfId="0" applyFont="1" applyFill="1" applyAlignment="1">
      <alignment vertical="center" wrapText="1"/>
    </xf>
    <xf numFmtId="0" fontId="0" fillId="4" borderId="3" xfId="0" applyFill="1" applyBorder="1" applyAlignment="1">
      <alignment vertical="center" wrapText="1"/>
    </xf>
    <xf numFmtId="0" fontId="0" fillId="4" borderId="0" xfId="0" applyFill="1"/>
    <xf numFmtId="0" fontId="0" fillId="0" borderId="4" xfId="0" applyBorder="1" applyAlignment="1">
      <alignment horizontal="center" vertical="center" wrapText="1"/>
    </xf>
    <xf numFmtId="0" fontId="0" fillId="0" borderId="0" xfId="0" applyAlignment="1">
      <alignment horizontal="center" vertical="center" wrapText="1"/>
    </xf>
    <xf numFmtId="0" fontId="2" fillId="3" borderId="3" xfId="0" applyFont="1" applyFill="1" applyBorder="1" applyAlignment="1">
      <alignment vertical="center" wrapText="1"/>
    </xf>
    <xf numFmtId="0" fontId="2" fillId="3" borderId="3" xfId="0" applyFont="1" applyFill="1" applyBorder="1" applyAlignment="1">
      <alignment horizontal="center" vertical="center" wrapText="1"/>
    </xf>
    <xf numFmtId="0" fontId="0" fillId="14" borderId="3" xfId="0" applyFill="1" applyBorder="1" applyAlignment="1">
      <alignment horizontal="center" vertical="center" wrapText="1"/>
    </xf>
    <xf numFmtId="0" fontId="0" fillId="0" borderId="10" xfId="0" applyBorder="1" applyAlignment="1">
      <alignment vertical="center" wrapText="1"/>
    </xf>
    <xf numFmtId="0" fontId="0" fillId="0" borderId="4" xfId="0" applyBorder="1" applyAlignment="1">
      <alignment vertical="center" wrapText="1"/>
    </xf>
    <xf numFmtId="0" fontId="0" fillId="0" borderId="4" xfId="0" applyBorder="1"/>
    <xf numFmtId="0" fontId="15" fillId="0" borderId="0" xfId="0" applyFont="1" applyAlignment="1">
      <alignment vertical="center"/>
    </xf>
    <xf numFmtId="0" fontId="14" fillId="2" borderId="0" xfId="0" applyFont="1" applyFill="1" applyAlignment="1">
      <alignment vertical="center" wrapText="1"/>
    </xf>
    <xf numFmtId="0" fontId="6" fillId="0" borderId="3" xfId="1" applyBorder="1" applyAlignment="1">
      <alignment horizontal="center" vertical="center" wrapText="1"/>
    </xf>
    <xf numFmtId="0" fontId="0" fillId="0" borderId="3" xfId="0" applyBorder="1" applyAlignment="1">
      <alignment horizontal="left" vertical="center" wrapText="1"/>
    </xf>
    <xf numFmtId="0" fontId="17" fillId="16" borderId="3" xfId="0" applyFont="1" applyFill="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3" xfId="0" applyBorder="1" applyAlignment="1">
      <alignment horizontal="center" vertical="center"/>
    </xf>
    <xf numFmtId="0" fontId="0" fillId="17" borderId="3" xfId="0" applyFill="1" applyBorder="1" applyAlignment="1">
      <alignment vertical="center"/>
    </xf>
    <xf numFmtId="0" fontId="0" fillId="17" borderId="3" xfId="0" applyFill="1" applyBorder="1" applyAlignment="1">
      <alignment vertical="center" wrapText="1"/>
    </xf>
    <xf numFmtId="0" fontId="15" fillId="0" borderId="3" xfId="0" applyFont="1" applyBorder="1" applyAlignment="1">
      <alignment vertical="center"/>
    </xf>
    <xf numFmtId="0" fontId="6" fillId="0" borderId="3" xfId="1" applyBorder="1" applyAlignment="1">
      <alignment vertical="center"/>
    </xf>
    <xf numFmtId="9" fontId="0" fillId="0" borderId="3" xfId="0" applyNumberFormat="1" applyBorder="1" applyAlignment="1">
      <alignment horizontal="center" vertical="center"/>
    </xf>
    <xf numFmtId="0" fontId="15" fillId="10" borderId="3" xfId="0" applyFont="1" applyFill="1" applyBorder="1" applyAlignment="1">
      <alignment horizontal="center" vertical="center"/>
    </xf>
    <xf numFmtId="0" fontId="15" fillId="0" borderId="3" xfId="0" applyFont="1" applyBorder="1" applyAlignment="1">
      <alignment vertical="center" wrapText="1"/>
    </xf>
    <xf numFmtId="0" fontId="15" fillId="0" borderId="3" xfId="0" applyFont="1" applyBorder="1" applyAlignment="1">
      <alignment horizontal="center" vertical="center"/>
    </xf>
    <xf numFmtId="0" fontId="17" fillId="16" borderId="3" xfId="0" applyFont="1" applyFill="1" applyBorder="1" applyAlignment="1">
      <alignment vertical="center"/>
    </xf>
    <xf numFmtId="0" fontId="17" fillId="0" borderId="3" xfId="0" applyFont="1" applyBorder="1" applyAlignment="1">
      <alignment vertical="center" wrapText="1"/>
    </xf>
    <xf numFmtId="0" fontId="0" fillId="6" borderId="3" xfId="0" applyFill="1" applyBorder="1" applyAlignment="1">
      <alignment horizontal="center" vertical="center"/>
    </xf>
    <xf numFmtId="0" fontId="16" fillId="0" borderId="3" xfId="0" applyFont="1" applyBorder="1" applyAlignment="1">
      <alignment horizontal="center" vertical="center"/>
    </xf>
    <xf numFmtId="0" fontId="0" fillId="0" borderId="3" xfId="0" applyBorder="1" applyAlignment="1">
      <alignment horizontal="center"/>
    </xf>
    <xf numFmtId="0" fontId="0" fillId="2" borderId="3" xfId="0" applyFill="1" applyBorder="1" applyAlignment="1">
      <alignment vertical="center"/>
    </xf>
    <xf numFmtId="0" fontId="0" fillId="2" borderId="3" xfId="0" applyFill="1" applyBorder="1" applyAlignment="1">
      <alignment horizontal="center" vertical="center" wrapText="1"/>
    </xf>
    <xf numFmtId="9" fontId="0" fillId="0" borderId="0" xfId="0" applyNumberFormat="1" applyAlignment="1">
      <alignment vertical="center"/>
    </xf>
    <xf numFmtId="0" fontId="2" fillId="9" borderId="3" xfId="0" applyFont="1" applyFill="1" applyBorder="1" applyAlignment="1">
      <alignment horizontal="center" vertical="center" wrapText="1"/>
    </xf>
    <xf numFmtId="0" fontId="2" fillId="2" borderId="3" xfId="0" quotePrefix="1" applyFont="1" applyFill="1" applyBorder="1" applyAlignment="1">
      <alignment horizontal="center" vertical="center" wrapText="1"/>
    </xf>
    <xf numFmtId="1" fontId="0" fillId="0" borderId="3" xfId="0" applyNumberFormat="1" applyBorder="1" applyAlignment="1">
      <alignment horizontal="center" vertical="center"/>
    </xf>
    <xf numFmtId="0" fontId="2" fillId="13" borderId="3" xfId="0" applyFont="1" applyFill="1" applyBorder="1" applyAlignment="1">
      <alignment vertical="center"/>
    </xf>
    <xf numFmtId="1" fontId="2" fillId="13" borderId="3" xfId="0" applyNumberFormat="1" applyFont="1" applyFill="1" applyBorder="1" applyAlignment="1">
      <alignment horizontal="center" vertical="center"/>
    </xf>
    <xf numFmtId="0" fontId="2" fillId="13" borderId="9" xfId="0" applyFont="1" applyFill="1" applyBorder="1" applyAlignment="1">
      <alignment vertical="center"/>
    </xf>
    <xf numFmtId="0" fontId="2" fillId="13" borderId="9" xfId="0" applyFont="1" applyFill="1" applyBorder="1" applyAlignment="1">
      <alignment horizontal="center" vertical="center" wrapText="1"/>
    </xf>
    <xf numFmtId="0" fontId="0" fillId="17" borderId="4" xfId="0" applyFill="1" applyBorder="1" applyAlignment="1">
      <alignment vertical="center" wrapText="1"/>
    </xf>
    <xf numFmtId="0" fontId="2" fillId="13" borderId="3" xfId="0" applyFont="1" applyFill="1" applyBorder="1" applyAlignment="1">
      <alignment horizontal="center" vertical="center" wrapText="1"/>
    </xf>
    <xf numFmtId="0" fontId="2" fillId="2" borderId="9" xfId="0" applyFont="1" applyFill="1" applyBorder="1" applyAlignment="1">
      <alignment vertical="center" wrapText="1"/>
    </xf>
    <xf numFmtId="0" fontId="2" fillId="2" borderId="9"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3" borderId="9" xfId="0" applyFont="1" applyFill="1" applyBorder="1" applyAlignment="1">
      <alignment horizontal="center" vertical="center" wrapText="1"/>
    </xf>
    <xf numFmtId="1" fontId="2" fillId="0" borderId="3" xfId="0" applyNumberFormat="1" applyFont="1" applyBorder="1" applyAlignment="1">
      <alignment horizontal="center" vertical="center"/>
    </xf>
    <xf numFmtId="1" fontId="0" fillId="0" borderId="4" xfId="0" applyNumberFormat="1" applyBorder="1" applyAlignment="1">
      <alignment horizontal="center" vertical="center"/>
    </xf>
    <xf numFmtId="0" fontId="2" fillId="13" borderId="0" xfId="0" applyFont="1" applyFill="1" applyAlignment="1">
      <alignment vertical="center"/>
    </xf>
    <xf numFmtId="1" fontId="2" fillId="13" borderId="0" xfId="0" applyNumberFormat="1" applyFont="1" applyFill="1" applyAlignment="1">
      <alignment horizontal="center" vertical="center"/>
    </xf>
    <xf numFmtId="0" fontId="0" fillId="8" borderId="3" xfId="0" applyFill="1" applyBorder="1"/>
    <xf numFmtId="0" fontId="2" fillId="3" borderId="11" xfId="0" applyFont="1" applyFill="1" applyBorder="1" applyAlignment="1">
      <alignment vertical="center" wrapText="1"/>
    </xf>
    <xf numFmtId="0" fontId="0" fillId="8" borderId="11" xfId="0" applyFill="1" applyBorder="1"/>
    <xf numFmtId="164" fontId="0" fillId="0" borderId="3" xfId="0" applyNumberFormat="1" applyBorder="1" applyAlignment="1">
      <alignment horizontal="center" vertical="center" wrapText="1"/>
    </xf>
    <xf numFmtId="164" fontId="0" fillId="0" borderId="3" xfId="0" applyNumberFormat="1" applyBorder="1" applyAlignment="1">
      <alignment horizontal="center" vertical="center"/>
    </xf>
    <xf numFmtId="164" fontId="2" fillId="0" borderId="3" xfId="0" applyNumberFormat="1" applyFont="1" applyBorder="1" applyAlignment="1">
      <alignment horizontal="center" vertical="center"/>
    </xf>
    <xf numFmtId="0" fontId="0" fillId="0" borderId="3" xfId="0" applyBorder="1" applyAlignment="1">
      <alignment horizontal="left" vertical="center"/>
    </xf>
    <xf numFmtId="164" fontId="0" fillId="0" borderId="0" xfId="0" applyNumberFormat="1" applyAlignment="1">
      <alignment horizontal="center" vertical="center"/>
    </xf>
    <xf numFmtId="164" fontId="0" fillId="0" borderId="0" xfId="0" applyNumberFormat="1" applyAlignment="1">
      <alignment vertical="center"/>
    </xf>
    <xf numFmtId="1" fontId="15" fillId="0" borderId="3" xfId="0" applyNumberFormat="1" applyFont="1" applyBorder="1" applyAlignment="1">
      <alignment horizontal="center" vertical="center"/>
    </xf>
    <xf numFmtId="0" fontId="2" fillId="2" borderId="3" xfId="0" applyFont="1" applyFill="1" applyBorder="1" applyAlignment="1">
      <alignment horizontal="left" vertical="center" wrapText="1"/>
    </xf>
    <xf numFmtId="0" fontId="2" fillId="2" borderId="12" xfId="0" applyFont="1" applyFill="1" applyBorder="1" applyAlignment="1">
      <alignment vertical="center" wrapText="1"/>
    </xf>
    <xf numFmtId="165" fontId="0" fillId="0" borderId="0" xfId="0" applyNumberFormat="1" applyAlignment="1">
      <alignment horizontal="center" vertical="center"/>
    </xf>
    <xf numFmtId="0" fontId="9" fillId="0" borderId="3" xfId="0" applyFont="1" applyBorder="1" applyAlignment="1">
      <alignment vertical="center" wrapText="1"/>
    </xf>
    <xf numFmtId="0" fontId="18" fillId="0" borderId="3" xfId="0" applyFont="1" applyBorder="1" applyAlignment="1">
      <alignment vertical="center"/>
    </xf>
    <xf numFmtId="0" fontId="10" fillId="0" borderId="3" xfId="0" applyFont="1" applyBorder="1" applyAlignment="1">
      <alignment vertical="center"/>
    </xf>
    <xf numFmtId="0" fontId="9" fillId="0" borderId="3" xfId="0" applyFont="1" applyBorder="1"/>
    <xf numFmtId="0" fontId="2" fillId="2" borderId="0" xfId="0" applyFont="1" applyFill="1" applyAlignment="1">
      <alignment vertical="center" wrapText="1"/>
    </xf>
    <xf numFmtId="0" fontId="2" fillId="9" borderId="0" xfId="0" applyFont="1" applyFill="1" applyAlignment="1">
      <alignment vertical="center" wrapText="1"/>
    </xf>
    <xf numFmtId="0" fontId="0" fillId="5" borderId="0" xfId="0" applyFill="1"/>
    <xf numFmtId="0" fontId="0" fillId="8" borderId="3" xfId="0" applyFill="1" applyBorder="1" applyAlignment="1">
      <alignment vertical="center"/>
    </xf>
    <xf numFmtId="0" fontId="0" fillId="2" borderId="0" xfId="0" applyFill="1" applyAlignment="1">
      <alignment vertical="center"/>
    </xf>
    <xf numFmtId="0" fontId="6" fillId="0" borderId="6" xfId="1" applyBorder="1" applyAlignment="1">
      <alignment vertical="center"/>
    </xf>
    <xf numFmtId="0" fontId="6" fillId="0" borderId="4" xfId="1" applyBorder="1" applyAlignment="1">
      <alignment vertical="center"/>
    </xf>
    <xf numFmtId="0" fontId="0" fillId="17" borderId="3" xfId="0" applyFill="1" applyBorder="1" applyAlignment="1">
      <alignment vertical="top"/>
    </xf>
    <xf numFmtId="0" fontId="0" fillId="15" borderId="1" xfId="0" applyFill="1" applyBorder="1" applyAlignment="1">
      <alignment horizontal="left"/>
    </xf>
    <xf numFmtId="0" fontId="0" fillId="0" borderId="0" xfId="0" applyAlignment="1">
      <alignment horizontal="left"/>
    </xf>
    <xf numFmtId="0" fontId="0" fillId="2" borderId="0" xfId="0" applyFill="1" applyAlignment="1">
      <alignment vertical="center" wrapText="1"/>
    </xf>
    <xf numFmtId="0" fontId="20" fillId="0" borderId="0" xfId="0" applyFont="1" applyAlignment="1">
      <alignment vertical="center"/>
    </xf>
    <xf numFmtId="9" fontId="0" fillId="2" borderId="0" xfId="0" applyNumberFormat="1" applyFill="1" applyAlignment="1">
      <alignment horizontal="center" vertical="center" wrapText="1"/>
    </xf>
    <xf numFmtId="9" fontId="0" fillId="0" borderId="0" xfId="0" applyNumberFormat="1" applyAlignment="1">
      <alignment horizontal="center" vertical="center"/>
    </xf>
    <xf numFmtId="9" fontId="0" fillId="2" borderId="3" xfId="0" applyNumberFormat="1" applyFill="1" applyBorder="1" applyAlignment="1">
      <alignment horizontal="center" vertical="center" wrapText="1"/>
    </xf>
    <xf numFmtId="0" fontId="22" fillId="0" borderId="0" xfId="0" applyFont="1"/>
    <xf numFmtId="0" fontId="21" fillId="2" borderId="15" xfId="0" applyFont="1" applyFill="1" applyBorder="1" applyAlignment="1">
      <alignment horizontal="center" vertical="top"/>
    </xf>
    <xf numFmtId="0" fontId="21" fillId="2" borderId="16" xfId="0" applyFont="1" applyFill="1" applyBorder="1" applyAlignment="1">
      <alignment horizontal="center" vertical="top"/>
    </xf>
    <xf numFmtId="0" fontId="21" fillId="2" borderId="0" xfId="0" applyFont="1" applyFill="1"/>
    <xf numFmtId="0" fontId="15" fillId="0" borderId="3" xfId="0" applyFont="1" applyBorder="1" applyAlignment="1">
      <alignment horizontal="left" vertical="center"/>
    </xf>
    <xf numFmtId="0" fontId="0" fillId="2" borderId="0" xfId="0" applyFill="1"/>
    <xf numFmtId="0" fontId="20" fillId="0" borderId="0" xfId="0" applyFont="1"/>
    <xf numFmtId="0" fontId="0" fillId="0" borderId="6" xfId="0" applyBorder="1" applyAlignment="1">
      <alignment horizontal="center" vertical="center"/>
    </xf>
    <xf numFmtId="0" fontId="2" fillId="2" borderId="4" xfId="0" applyFont="1" applyFill="1" applyBorder="1" applyAlignment="1">
      <alignment vertical="center" wrapText="1"/>
    </xf>
    <xf numFmtId="0" fontId="0" fillId="0" borderId="9" xfId="0" applyBorder="1" applyAlignment="1">
      <alignment vertical="center"/>
    </xf>
    <xf numFmtId="0" fontId="0" fillId="0" borderId="0" xfId="0" pivotButton="1"/>
    <xf numFmtId="0" fontId="2" fillId="3" borderId="0" xfId="0" applyFont="1" applyFill="1" applyAlignment="1">
      <alignment vertical="center" wrapText="1"/>
    </xf>
    <xf numFmtId="0" fontId="0" fillId="0" borderId="9" xfId="0" applyBorder="1" applyAlignment="1">
      <alignment horizontal="center" vertical="center" wrapText="1"/>
    </xf>
    <xf numFmtId="0" fontId="2" fillId="19" borderId="3"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7" fillId="0" borderId="3" xfId="0" applyFont="1" applyBorder="1" applyAlignment="1">
      <alignment vertical="center"/>
    </xf>
    <xf numFmtId="0" fontId="6" fillId="0" borderId="0" xfId="1" applyAlignment="1">
      <alignment horizontal="center" vertical="center" wrapText="1"/>
    </xf>
    <xf numFmtId="0" fontId="13" fillId="0" borderId="3" xfId="0" applyFont="1" applyBorder="1" applyAlignment="1">
      <alignment vertical="center"/>
    </xf>
    <xf numFmtId="10" fontId="0" fillId="10" borderId="3" xfId="0" applyNumberFormat="1" applyFill="1" applyBorder="1" applyAlignment="1">
      <alignment horizontal="center" vertical="center"/>
    </xf>
    <xf numFmtId="0" fontId="17" fillId="16" borderId="6" xfId="0" applyFont="1" applyFill="1" applyBorder="1" applyAlignment="1">
      <alignment vertical="center" wrapText="1"/>
    </xf>
    <xf numFmtId="0" fontId="19" fillId="18" borderId="3" xfId="0" applyFont="1" applyFill="1" applyBorder="1" applyAlignment="1">
      <alignment horizontal="center" vertical="center" wrapText="1"/>
    </xf>
    <xf numFmtId="0" fontId="0" fillId="8" borderId="3" xfId="0" applyFill="1" applyBorder="1" applyAlignment="1">
      <alignment horizontal="center"/>
    </xf>
    <xf numFmtId="0" fontId="2" fillId="3" borderId="10" xfId="0" applyFont="1" applyFill="1" applyBorder="1" applyAlignment="1">
      <alignment vertical="center" wrapText="1"/>
    </xf>
    <xf numFmtId="0" fontId="12" fillId="0" borderId="10" xfId="0" applyFont="1" applyBorder="1" applyAlignment="1">
      <alignment vertical="center" wrapText="1"/>
    </xf>
    <xf numFmtId="0" fontId="2" fillId="0" borderId="4" xfId="0" applyFont="1" applyBorder="1" applyAlignment="1">
      <alignment vertical="center" wrapText="1"/>
    </xf>
    <xf numFmtId="0" fontId="0" fillId="0" borderId="14" xfId="0" applyBorder="1" applyAlignment="1">
      <alignment vertical="center" wrapText="1"/>
    </xf>
    <xf numFmtId="0" fontId="6" fillId="0" borderId="3" xfId="1" applyBorder="1" applyAlignment="1">
      <alignment vertical="center" wrapText="1"/>
    </xf>
    <xf numFmtId="0" fontId="6" fillId="0" borderId="3" xfId="1" applyBorder="1" applyAlignment="1">
      <alignment wrapText="1"/>
    </xf>
    <xf numFmtId="0" fontId="6" fillId="0" borderId="9" xfId="1" applyBorder="1" applyAlignment="1">
      <alignment vertical="center"/>
    </xf>
    <xf numFmtId="0" fontId="6" fillId="0" borderId="4" xfId="1" applyBorder="1" applyAlignment="1">
      <alignment vertical="center" wrapText="1"/>
    </xf>
    <xf numFmtId="0" fontId="0" fillId="0" borderId="5" xfId="0" applyBorder="1" applyAlignment="1">
      <alignment horizontal="left"/>
    </xf>
    <xf numFmtId="0" fontId="25" fillId="0" borderId="3" xfId="0" applyFont="1" applyBorder="1"/>
    <xf numFmtId="0" fontId="2" fillId="0" borderId="3" xfId="0" applyFont="1" applyBorder="1" applyAlignment="1">
      <alignment vertical="center"/>
    </xf>
    <xf numFmtId="0" fontId="0" fillId="0" borderId="4" xfId="0"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0" fontId="1" fillId="0" borderId="3" xfId="0" applyFont="1" applyBorder="1" applyAlignment="1">
      <alignment vertical="center"/>
    </xf>
    <xf numFmtId="0" fontId="1" fillId="0" borderId="3" xfId="0" applyFont="1" applyBorder="1" applyAlignment="1">
      <alignment horizontal="left" vertical="center"/>
    </xf>
    <xf numFmtId="0" fontId="2" fillId="11" borderId="3" xfId="0" applyFont="1" applyFill="1" applyBorder="1" applyAlignment="1">
      <alignment horizontal="center" vertical="center" wrapText="1"/>
    </xf>
    <xf numFmtId="164" fontId="2" fillId="13" borderId="3" xfId="0" applyNumberFormat="1" applyFont="1" applyFill="1" applyBorder="1" applyAlignment="1">
      <alignment horizontal="center" vertical="center"/>
    </xf>
    <xf numFmtId="0" fontId="0" fillId="16" borderId="3" xfId="0" applyFill="1" applyBorder="1" applyAlignment="1">
      <alignment vertical="center"/>
    </xf>
    <xf numFmtId="0" fontId="0" fillId="0" borderId="6" xfId="0" applyBorder="1" applyAlignment="1">
      <alignment vertical="center" wrapText="1"/>
    </xf>
    <xf numFmtId="0" fontId="0" fillId="0" borderId="7" xfId="0" applyBorder="1" applyAlignment="1">
      <alignment vertical="center" wrapText="1"/>
    </xf>
    <xf numFmtId="164" fontId="2" fillId="3" borderId="3"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0" fontId="6" fillId="0" borderId="4" xfId="1" applyBorder="1" applyAlignment="1">
      <alignment horizontal="center" vertical="center" wrapText="1"/>
    </xf>
    <xf numFmtId="0" fontId="6" fillId="0" borderId="9" xfId="1" applyBorder="1"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vertical="center" wrapText="1"/>
    </xf>
    <xf numFmtId="1" fontId="0" fillId="0" borderId="0" xfId="0" applyNumberFormat="1" applyAlignment="1">
      <alignment horizontal="center" vertical="center"/>
    </xf>
    <xf numFmtId="0" fontId="0" fillId="8" borderId="0" xfId="0" applyFill="1" applyAlignment="1">
      <alignment horizontal="center"/>
    </xf>
    <xf numFmtId="0" fontId="0" fillId="12" borderId="0" xfId="0" applyFill="1" applyAlignment="1">
      <alignment horizontal="center"/>
    </xf>
    <xf numFmtId="0" fontId="23" fillId="0" borderId="0" xfId="0" applyFont="1" applyAlignment="1">
      <alignment vertical="center"/>
    </xf>
    <xf numFmtId="0" fontId="2" fillId="13" borderId="3" xfId="0" applyFont="1" applyFill="1" applyBorder="1" applyAlignment="1">
      <alignment vertical="center" wrapText="1"/>
    </xf>
    <xf numFmtId="164" fontId="2" fillId="20" borderId="3" xfId="0" applyNumberFormat="1" applyFont="1" applyFill="1" applyBorder="1" applyAlignment="1" applyProtection="1">
      <alignment horizontal="center" vertical="center"/>
      <protection locked="0"/>
    </xf>
    <xf numFmtId="0" fontId="17" fillId="16" borderId="4" xfId="0" applyFont="1" applyFill="1" applyBorder="1" applyAlignment="1">
      <alignment vertical="center" wrapText="1"/>
    </xf>
    <xf numFmtId="0" fontId="17" fillId="16" borderId="0" xfId="0" applyFont="1" applyFill="1" applyAlignment="1">
      <alignment vertical="center" wrapText="1"/>
    </xf>
    <xf numFmtId="0" fontId="18" fillId="0" borderId="3" xfId="0" applyFont="1" applyBorder="1"/>
    <xf numFmtId="0" fontId="17" fillId="16" borderId="0" xfId="0" applyFont="1" applyFill="1" applyAlignment="1">
      <alignment vertical="center"/>
    </xf>
    <xf numFmtId="0" fontId="26" fillId="0" borderId="3" xfId="0" applyFont="1" applyBorder="1"/>
    <xf numFmtId="0" fontId="1" fillId="0" borderId="0" xfId="0" applyFont="1" applyAlignment="1">
      <alignment vertical="center"/>
    </xf>
    <xf numFmtId="0" fontId="10" fillId="0" borderId="3" xfId="0" applyFont="1" applyBorder="1"/>
    <xf numFmtId="0" fontId="0" fillId="17" borderId="0" xfId="0" applyFill="1" applyAlignment="1">
      <alignment vertical="center"/>
    </xf>
    <xf numFmtId="1" fontId="0" fillId="0" borderId="10" xfId="0" applyNumberFormat="1" applyBorder="1" applyAlignment="1">
      <alignment horizontal="center" vertical="center"/>
    </xf>
    <xf numFmtId="0" fontId="0" fillId="0" borderId="13" xfId="0" applyBorder="1" applyAlignment="1">
      <alignment vertical="center"/>
    </xf>
    <xf numFmtId="0" fontId="1" fillId="0" borderId="10" xfId="0" applyFont="1" applyBorder="1" applyAlignment="1">
      <alignment vertical="center"/>
    </xf>
    <xf numFmtId="0" fontId="16" fillId="16" borderId="10" xfId="0" applyFont="1" applyFill="1" applyBorder="1" applyAlignment="1">
      <alignment vertical="center"/>
    </xf>
    <xf numFmtId="0" fontId="17" fillId="16" borderId="4" xfId="0" applyFont="1" applyFill="1" applyBorder="1" applyAlignment="1">
      <alignment vertical="center"/>
    </xf>
    <xf numFmtId="0" fontId="1" fillId="0" borderId="6" xfId="0" applyFont="1" applyBorder="1" applyAlignment="1">
      <alignment vertical="center"/>
    </xf>
    <xf numFmtId="0" fontId="17" fillId="16" borderId="6" xfId="0" applyFont="1" applyFill="1" applyBorder="1" applyAlignment="1">
      <alignment vertical="center"/>
    </xf>
    <xf numFmtId="0" fontId="1" fillId="0" borderId="0" xfId="0" applyFont="1" applyAlignment="1">
      <alignment horizontal="left" vertical="center"/>
    </xf>
    <xf numFmtId="0" fontId="27" fillId="0" borderId="0" xfId="0" applyFont="1"/>
    <xf numFmtId="164" fontId="2" fillId="0" borderId="3" xfId="0" applyNumberFormat="1" applyFont="1" applyBorder="1" applyAlignment="1" applyProtection="1">
      <alignment horizontal="center" vertical="center"/>
      <protection locked="0"/>
    </xf>
    <xf numFmtId="164" fontId="2" fillId="20" borderId="10" xfId="0" applyNumberFormat="1" applyFont="1" applyFill="1" applyBorder="1" applyAlignment="1">
      <alignment horizontal="center" vertical="center"/>
    </xf>
    <xf numFmtId="0" fontId="0" fillId="5" borderId="3" xfId="0" applyFill="1" applyBorder="1" applyAlignment="1">
      <alignment horizontal="center" vertical="center" wrapText="1"/>
    </xf>
    <xf numFmtId="164" fontId="2" fillId="5" borderId="3" xfId="0" applyNumberFormat="1" applyFont="1" applyFill="1" applyBorder="1" applyAlignment="1" applyProtection="1">
      <alignment horizontal="center" vertical="center"/>
      <protection locked="0"/>
    </xf>
    <xf numFmtId="0" fontId="2" fillId="0" borderId="9" xfId="0" applyFont="1" applyBorder="1" applyAlignment="1">
      <alignment vertical="center" wrapText="1"/>
    </xf>
    <xf numFmtId="0" fontId="0" fillId="0" borderId="7" xfId="0" applyBorder="1" applyAlignment="1">
      <alignment horizontal="center" vertical="center" wrapText="1"/>
    </xf>
    <xf numFmtId="0" fontId="0" fillId="0" borderId="0" xfId="0" applyAlignment="1">
      <alignment horizontal="left" vertical="center" wrapText="1"/>
    </xf>
    <xf numFmtId="0" fontId="28" fillId="0" borderId="3" xfId="1" applyFont="1" applyBorder="1" applyAlignment="1">
      <alignment vertical="center"/>
    </xf>
    <xf numFmtId="0" fontId="29" fillId="21" borderId="15" xfId="0" applyFont="1" applyFill="1" applyBorder="1" applyAlignment="1">
      <alignment vertical="center" wrapText="1"/>
    </xf>
    <xf numFmtId="0" fontId="29" fillId="21" borderId="16" xfId="0" applyFont="1" applyFill="1" applyBorder="1" applyAlignment="1">
      <alignment vertical="center" wrapText="1"/>
    </xf>
    <xf numFmtId="0" fontId="30" fillId="0" borderId="18" xfId="0" applyFont="1" applyBorder="1" applyAlignment="1">
      <alignment vertical="center"/>
    </xf>
    <xf numFmtId="0" fontId="30" fillId="0" borderId="19" xfId="0" applyFont="1" applyBorder="1" applyAlignment="1">
      <alignment vertical="center"/>
    </xf>
    <xf numFmtId="0" fontId="30" fillId="22" borderId="20" xfId="0" applyFont="1" applyFill="1" applyBorder="1" applyAlignment="1">
      <alignment vertical="center"/>
    </xf>
    <xf numFmtId="0" fontId="30" fillId="0" borderId="0" xfId="0" applyFont="1" applyAlignment="1">
      <alignment vertical="center"/>
    </xf>
    <xf numFmtId="0" fontId="31" fillId="3" borderId="11" xfId="0" applyFont="1" applyFill="1" applyBorder="1" applyAlignment="1">
      <alignment vertical="center" wrapText="1"/>
    </xf>
    <xf numFmtId="0" fontId="31" fillId="3" borderId="3" xfId="0" applyFont="1" applyFill="1" applyBorder="1" applyAlignment="1">
      <alignment vertical="center" wrapText="1"/>
    </xf>
    <xf numFmtId="0" fontId="32" fillId="0" borderId="0" xfId="0" applyFont="1" applyAlignment="1">
      <alignment vertical="center"/>
    </xf>
    <xf numFmtId="0" fontId="32" fillId="15" borderId="0" xfId="0" applyFont="1" applyFill="1" applyAlignment="1">
      <alignment vertical="center"/>
    </xf>
    <xf numFmtId="0" fontId="2" fillId="26" borderId="1" xfId="0" applyFont="1" applyFill="1" applyBorder="1" applyAlignment="1">
      <alignment horizontal="left" vertical="center" wrapText="1"/>
    </xf>
    <xf numFmtId="0" fontId="2" fillId="3" borderId="0" xfId="0" applyFont="1" applyFill="1" applyAlignment="1">
      <alignment horizontal="center" vertical="center" wrapText="1"/>
    </xf>
    <xf numFmtId="0" fontId="2" fillId="20" borderId="1" xfId="0" applyFont="1" applyFill="1" applyBorder="1" applyAlignment="1">
      <alignment vertical="center" wrapText="1"/>
    </xf>
    <xf numFmtId="1" fontId="0" fillId="5" borderId="3" xfId="0" applyNumberFormat="1" applyFill="1" applyBorder="1" applyAlignment="1">
      <alignment horizontal="center" vertical="center"/>
    </xf>
    <xf numFmtId="0" fontId="2" fillId="11" borderId="0" xfId="0" applyFont="1" applyFill="1" applyAlignment="1">
      <alignment vertical="center"/>
    </xf>
    <xf numFmtId="0" fontId="0" fillId="0" borderId="15" xfId="0" applyBorder="1"/>
    <xf numFmtId="0" fontId="0" fillId="17" borderId="1" xfId="0" applyFill="1" applyBorder="1"/>
    <xf numFmtId="0" fontId="0" fillId="0" borderId="3" xfId="0" applyBorder="1" applyAlignment="1">
      <alignment horizontal="left"/>
    </xf>
    <xf numFmtId="0" fontId="0" fillId="6" borderId="21" xfId="0" applyFill="1" applyBorder="1"/>
    <xf numFmtId="0" fontId="0" fillId="0" borderId="22" xfId="0" applyBorder="1"/>
    <xf numFmtId="0" fontId="0" fillId="0" borderId="23" xfId="0" applyBorder="1"/>
    <xf numFmtId="0" fontId="0" fillId="5" borderId="0" xfId="0" applyFill="1" applyAlignment="1">
      <alignment wrapText="1"/>
    </xf>
    <xf numFmtId="0" fontId="0" fillId="6" borderId="11" xfId="0" applyFill="1" applyBorder="1"/>
    <xf numFmtId="0" fontId="9" fillId="0" borderId="0" xfId="0" applyFont="1"/>
    <xf numFmtId="0" fontId="0" fillId="0" borderId="11" xfId="0" applyBorder="1"/>
    <xf numFmtId="0" fontId="17" fillId="0" borderId="18" xfId="0" applyFont="1" applyBorder="1"/>
    <xf numFmtId="0" fontId="33" fillId="0" borderId="3" xfId="0" applyFont="1" applyBorder="1"/>
    <xf numFmtId="0" fontId="17" fillId="0" borderId="15" xfId="0" applyFont="1" applyBorder="1"/>
    <xf numFmtId="0" fontId="17" fillId="0" borderId="16" xfId="0" applyFont="1" applyBorder="1"/>
    <xf numFmtId="0" fontId="17" fillId="0" borderId="19" xfId="0" applyFont="1" applyBorder="1"/>
    <xf numFmtId="0" fontId="17" fillId="0" borderId="25" xfId="0" applyFont="1" applyBorder="1"/>
    <xf numFmtId="0" fontId="34" fillId="0" borderId="19" xfId="0" applyFont="1" applyBorder="1"/>
    <xf numFmtId="0" fontId="17" fillId="0" borderId="30" xfId="0" applyFont="1" applyBorder="1"/>
    <xf numFmtId="0" fontId="17" fillId="0" borderId="3" xfId="0" applyFont="1" applyBorder="1"/>
    <xf numFmtId="0" fontId="17" fillId="5" borderId="3" xfId="0" applyFont="1" applyFill="1" applyBorder="1"/>
    <xf numFmtId="0" fontId="35" fillId="0" borderId="15" xfId="0" applyFont="1" applyBorder="1"/>
    <xf numFmtId="0" fontId="17" fillId="0" borderId="26" xfId="0" applyFont="1" applyBorder="1"/>
    <xf numFmtId="0" fontId="35" fillId="0" borderId="18" xfId="0" applyFont="1" applyBorder="1"/>
    <xf numFmtId="0" fontId="17" fillId="0" borderId="28" xfId="0" applyFont="1" applyBorder="1"/>
    <xf numFmtId="0" fontId="33" fillId="0" borderId="4" xfId="0" applyFont="1" applyBorder="1"/>
    <xf numFmtId="0" fontId="17" fillId="0" borderId="24" xfId="0" applyFont="1" applyBorder="1"/>
    <xf numFmtId="0" fontId="17" fillId="0" borderId="17" xfId="0" applyFont="1" applyBorder="1"/>
    <xf numFmtId="0" fontId="15" fillId="0" borderId="0" xfId="0" applyFont="1"/>
    <xf numFmtId="0" fontId="0" fillId="2" borderId="3" xfId="0" applyFill="1" applyBorder="1"/>
    <xf numFmtId="0" fontId="0" fillId="5" borderId="3" xfId="0" applyFill="1" applyBorder="1" applyAlignment="1">
      <alignment vertical="center"/>
    </xf>
    <xf numFmtId="0" fontId="0" fillId="5" borderId="6" xfId="0" applyFill="1" applyBorder="1" applyAlignment="1">
      <alignment vertical="center"/>
    </xf>
    <xf numFmtId="0" fontId="0" fillId="0" borderId="18" xfId="0" applyBorder="1"/>
    <xf numFmtId="0" fontId="0" fillId="13" borderId="0" xfId="0" applyFill="1"/>
    <xf numFmtId="0" fontId="36" fillId="0" borderId="0" xfId="0" applyFont="1" applyAlignment="1">
      <alignment vertical="center"/>
    </xf>
    <xf numFmtId="0" fontId="2" fillId="0" borderId="0" xfId="0" applyFont="1" applyAlignment="1">
      <alignment vertical="center"/>
    </xf>
    <xf numFmtId="0" fontId="37" fillId="0" borderId="0" xfId="0" applyFont="1" applyAlignment="1">
      <alignment vertical="center"/>
    </xf>
    <xf numFmtId="0" fontId="2" fillId="28" borderId="31" xfId="0" applyFont="1" applyFill="1" applyBorder="1" applyAlignment="1">
      <alignment vertical="center" wrapText="1"/>
    </xf>
    <xf numFmtId="0" fontId="2" fillId="29" borderId="31" xfId="0" applyFont="1" applyFill="1" applyBorder="1" applyAlignment="1">
      <alignment vertical="center" wrapText="1"/>
    </xf>
    <xf numFmtId="0" fontId="2" fillId="3" borderId="31" xfId="0" applyFont="1" applyFill="1" applyBorder="1" applyAlignment="1">
      <alignment vertical="center" wrapText="1"/>
    </xf>
    <xf numFmtId="0" fontId="2" fillId="24" borderId="32" xfId="0" applyFont="1" applyFill="1" applyBorder="1" applyAlignment="1">
      <alignment vertical="center" wrapText="1"/>
    </xf>
    <xf numFmtId="0" fontId="2" fillId="28" borderId="33" xfId="0" applyFont="1" applyFill="1" applyBorder="1" applyAlignment="1">
      <alignment vertical="center" wrapText="1"/>
    </xf>
    <xf numFmtId="0" fontId="0" fillId="0" borderId="31" xfId="0" applyBorder="1" applyAlignment="1">
      <alignment vertical="center"/>
    </xf>
    <xf numFmtId="0" fontId="0" fillId="0" borderId="31" xfId="0" applyBorder="1" applyAlignment="1">
      <alignment horizontal="center" vertical="center"/>
    </xf>
    <xf numFmtId="0" fontId="0" fillId="0" borderId="31" xfId="0" applyBorder="1" applyAlignment="1">
      <alignment vertical="center" wrapText="1"/>
    </xf>
    <xf numFmtId="0" fontId="38"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2" fillId="25" borderId="3" xfId="0" applyFont="1" applyFill="1" applyBorder="1" applyAlignment="1">
      <alignment vertical="center" wrapText="1"/>
    </xf>
    <xf numFmtId="0" fontId="2" fillId="4" borderId="0" xfId="0" applyFont="1" applyFill="1" applyAlignment="1">
      <alignment vertical="center" wrapText="1"/>
    </xf>
    <xf numFmtId="0" fontId="2" fillId="25" borderId="1" xfId="0" applyFont="1" applyFill="1" applyBorder="1" applyAlignment="1">
      <alignment vertical="center" wrapText="1"/>
    </xf>
    <xf numFmtId="0" fontId="2" fillId="4" borderId="1" xfId="0" applyFont="1" applyFill="1" applyBorder="1" applyAlignment="1">
      <alignment vertical="center" wrapText="1"/>
    </xf>
    <xf numFmtId="0" fontId="1" fillId="0" borderId="15" xfId="0" applyFont="1" applyBorder="1"/>
    <xf numFmtId="0" fontId="1" fillId="0" borderId="1" xfId="0" applyFont="1" applyBorder="1"/>
    <xf numFmtId="0" fontId="10" fillId="0" borderId="29" xfId="0" applyFont="1" applyBorder="1"/>
    <xf numFmtId="0" fontId="1" fillId="0" borderId="5" xfId="0" applyFont="1" applyBorder="1"/>
    <xf numFmtId="0" fontId="1" fillId="0" borderId="18" xfId="0" applyFont="1" applyBorder="1"/>
    <xf numFmtId="0" fontId="1" fillId="0" borderId="19" xfId="0" applyFont="1" applyBorder="1"/>
    <xf numFmtId="0" fontId="1" fillId="0" borderId="3" xfId="0" applyFont="1" applyBorder="1"/>
    <xf numFmtId="0" fontId="1" fillId="0" borderId="27" xfId="0" applyFont="1" applyBorder="1"/>
    <xf numFmtId="0" fontId="1" fillId="0" borderId="22" xfId="0" applyFont="1" applyBorder="1"/>
    <xf numFmtId="0" fontId="1" fillId="0" borderId="5" xfId="0" quotePrefix="1" applyFont="1" applyBorder="1"/>
    <xf numFmtId="0" fontId="1" fillId="0" borderId="5" xfId="0" quotePrefix="1" applyFont="1" applyBorder="1" applyAlignment="1">
      <alignment wrapText="1"/>
    </xf>
    <xf numFmtId="0" fontId="1" fillId="0" borderId="11" xfId="0" applyFont="1" applyBorder="1"/>
    <xf numFmtId="0" fontId="1" fillId="0" borderId="16" xfId="0" applyFont="1" applyBorder="1"/>
    <xf numFmtId="0" fontId="1" fillId="0" borderId="28" xfId="0" applyFont="1" applyBorder="1"/>
    <xf numFmtId="0" fontId="2" fillId="20" borderId="3" xfId="0" applyFont="1" applyFill="1" applyBorder="1" applyAlignment="1">
      <alignment horizontal="center" vertical="center" wrapText="1"/>
    </xf>
    <xf numFmtId="1" fontId="2" fillId="3" borderId="3" xfId="0" applyNumberFormat="1" applyFont="1" applyFill="1" applyBorder="1" applyAlignment="1">
      <alignment horizontal="center" vertical="center" wrapText="1"/>
    </xf>
    <xf numFmtId="0" fontId="19" fillId="23" borderId="3" xfId="0" applyFont="1" applyFill="1" applyBorder="1" applyAlignment="1">
      <alignment vertical="center" wrapText="1"/>
    </xf>
    <xf numFmtId="0" fontId="2" fillId="3" borderId="3" xfId="0" applyFont="1" applyFill="1" applyBorder="1" applyAlignment="1">
      <alignment horizontal="left" vertical="center"/>
    </xf>
    <xf numFmtId="0" fontId="2" fillId="24" borderId="3" xfId="0" applyFont="1" applyFill="1" applyBorder="1" applyAlignment="1">
      <alignment horizontal="center" vertical="center" wrapText="1"/>
    </xf>
    <xf numFmtId="0" fontId="19" fillId="27" borderId="3" xfId="0" applyFont="1" applyFill="1" applyBorder="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10" fontId="1" fillId="10" borderId="3" xfId="0" applyNumberFormat="1" applyFont="1" applyFill="1" applyBorder="1" applyAlignment="1">
      <alignment horizontal="center" vertical="center"/>
    </xf>
    <xf numFmtId="0" fontId="1" fillId="6" borderId="3" xfId="0" applyFont="1" applyFill="1" applyBorder="1" applyAlignment="1">
      <alignment horizontal="center" vertical="center"/>
    </xf>
    <xf numFmtId="0" fontId="1" fillId="8" borderId="3" xfId="0" applyFont="1" applyFill="1" applyBorder="1" applyAlignment="1">
      <alignment vertical="center"/>
    </xf>
    <xf numFmtId="0" fontId="1" fillId="0" borderId="10" xfId="0" applyFont="1" applyBorder="1" applyAlignment="1">
      <alignment horizontal="center" vertical="center"/>
    </xf>
    <xf numFmtId="0" fontId="1" fillId="0" borderId="14" xfId="0" applyFont="1" applyBorder="1" applyAlignment="1">
      <alignment horizontal="center" vertical="center"/>
    </xf>
    <xf numFmtId="0" fontId="1" fillId="0" borderId="3" xfId="0" applyFont="1" applyBorder="1" applyAlignment="1">
      <alignment vertical="center" wrapText="1"/>
    </xf>
    <xf numFmtId="0" fontId="1" fillId="0" borderId="9" xfId="0" applyFont="1" applyBorder="1" applyAlignment="1">
      <alignment horizontal="center" vertical="center"/>
    </xf>
    <xf numFmtId="1" fontId="1" fillId="0" borderId="8" xfId="0" applyNumberFormat="1" applyFont="1" applyBorder="1" applyAlignment="1">
      <alignment horizontal="center" vertical="center"/>
    </xf>
    <xf numFmtId="1" fontId="1" fillId="0" borderId="3" xfId="0" applyNumberFormat="1" applyFont="1" applyBorder="1" applyAlignment="1">
      <alignment horizontal="center" vertical="center"/>
    </xf>
    <xf numFmtId="0" fontId="1" fillId="0" borderId="8" xfId="0" applyFont="1" applyBorder="1" applyAlignment="1">
      <alignment horizontal="center" vertical="center"/>
    </xf>
    <xf numFmtId="1" fontId="1" fillId="0" borderId="4" xfId="0" applyNumberFormat="1" applyFont="1" applyBorder="1" applyAlignment="1">
      <alignment horizontal="center" vertical="center"/>
    </xf>
    <xf numFmtId="0" fontId="1" fillId="5" borderId="3" xfId="0" applyFont="1" applyFill="1" applyBorder="1" applyAlignment="1">
      <alignment horizontal="center" vertical="center"/>
    </xf>
    <xf numFmtId="0" fontId="1" fillId="17" borderId="3" xfId="0" applyFont="1" applyFill="1" applyBorder="1" applyAlignment="1">
      <alignment vertical="center" wrapText="1"/>
    </xf>
    <xf numFmtId="0" fontId="1" fillId="17" borderId="3" xfId="0" applyFont="1" applyFill="1" applyBorder="1" applyAlignment="1">
      <alignment vertical="center"/>
    </xf>
    <xf numFmtId="0" fontId="1" fillId="0" borderId="4" xfId="0" applyFont="1" applyBorder="1" applyAlignment="1">
      <alignment vertical="center"/>
    </xf>
    <xf numFmtId="0" fontId="1" fillId="0" borderId="3" xfId="0" applyFont="1" applyBorder="1" applyAlignment="1">
      <alignment vertical="top"/>
    </xf>
    <xf numFmtId="0" fontId="1" fillId="0" borderId="9" xfId="0" applyFont="1" applyBorder="1" applyAlignment="1">
      <alignment vertical="center"/>
    </xf>
    <xf numFmtId="0" fontId="1" fillId="5" borderId="3" xfId="0" applyFont="1" applyFill="1" applyBorder="1" applyAlignment="1">
      <alignment vertical="center"/>
    </xf>
    <xf numFmtId="0" fontId="1" fillId="0" borderId="13" xfId="0" applyFont="1" applyBorder="1" applyAlignment="1">
      <alignment vertical="center"/>
    </xf>
    <xf numFmtId="0" fontId="1" fillId="0" borderId="4" xfId="0" applyFont="1" applyBorder="1" applyAlignment="1">
      <alignment vertical="center" wrapText="1"/>
    </xf>
    <xf numFmtId="0" fontId="1" fillId="0" borderId="3" xfId="0" applyFont="1" applyBorder="1" applyAlignment="1">
      <alignment horizontal="center" vertical="center" wrapText="1"/>
    </xf>
    <xf numFmtId="0" fontId="1" fillId="17" borderId="4" xfId="0" applyFont="1" applyFill="1" applyBorder="1" applyAlignment="1">
      <alignment vertical="center"/>
    </xf>
    <xf numFmtId="0" fontId="1" fillId="16" borderId="3" xfId="0" applyFont="1" applyFill="1" applyBorder="1" applyAlignment="1">
      <alignment vertical="center"/>
    </xf>
    <xf numFmtId="0" fontId="1" fillId="16" borderId="10" xfId="0" applyFont="1" applyFill="1" applyBorder="1" applyAlignment="1">
      <alignment vertical="center"/>
    </xf>
    <xf numFmtId="0" fontId="1" fillId="10" borderId="3" xfId="0" applyFont="1" applyFill="1" applyBorder="1" applyAlignment="1">
      <alignment horizontal="center" vertical="center"/>
    </xf>
    <xf numFmtId="0" fontId="16" fillId="15" borderId="3" xfId="0" applyFont="1" applyFill="1" applyBorder="1" applyAlignment="1">
      <alignment vertical="center"/>
    </xf>
    <xf numFmtId="0" fontId="16" fillId="15" borderId="3" xfId="0" applyFont="1" applyFill="1" applyBorder="1" applyAlignment="1">
      <alignment horizontal="center" vertical="center"/>
    </xf>
    <xf numFmtId="9" fontId="16" fillId="15" borderId="3" xfId="0" applyNumberFormat="1" applyFont="1" applyFill="1" applyBorder="1" applyAlignment="1">
      <alignment horizontal="center" vertical="center"/>
    </xf>
    <xf numFmtId="0" fontId="16" fillId="15" borderId="0" xfId="0" applyFont="1" applyFill="1" applyAlignment="1">
      <alignment vertical="center"/>
    </xf>
    <xf numFmtId="9" fontId="16" fillId="15" borderId="0" xfId="0" applyNumberFormat="1" applyFont="1" applyFill="1" applyAlignment="1">
      <alignment horizontal="center" vertical="center"/>
    </xf>
    <xf numFmtId="0" fontId="24" fillId="0" borderId="3" xfId="0" applyFont="1" applyBorder="1"/>
    <xf numFmtId="0" fontId="9" fillId="0" borderId="9" xfId="0" applyFont="1" applyBorder="1" applyAlignment="1">
      <alignment vertical="center" wrapText="1"/>
    </xf>
    <xf numFmtId="1" fontId="1" fillId="0" borderId="10" xfId="0" applyNumberFormat="1" applyFont="1" applyBorder="1" applyAlignment="1">
      <alignment horizontal="center" vertical="center"/>
    </xf>
    <xf numFmtId="0" fontId="17" fillId="16" borderId="9" xfId="0" applyFont="1" applyFill="1" applyBorder="1" applyAlignment="1">
      <alignment vertical="center" wrapText="1"/>
    </xf>
    <xf numFmtId="164" fontId="2" fillId="13" borderId="3" xfId="0" applyNumberFormat="1" applyFont="1" applyFill="1" applyBorder="1" applyAlignment="1">
      <alignment horizontal="center" vertical="center" wrapText="1"/>
    </xf>
    <xf numFmtId="0" fontId="2" fillId="3" borderId="31" xfId="0" applyFont="1" applyFill="1" applyBorder="1" applyAlignment="1">
      <alignment horizontal="left" vertical="center" wrapText="1"/>
    </xf>
    <xf numFmtId="0" fontId="1" fillId="0" borderId="0" xfId="0" applyFont="1"/>
    <xf numFmtId="0" fontId="17" fillId="0" borderId="0" xfId="0" applyFont="1"/>
    <xf numFmtId="0" fontId="33" fillId="0" borderId="0" xfId="0" applyFont="1"/>
    <xf numFmtId="0" fontId="2" fillId="0" borderId="4" xfId="0" applyFont="1" applyBorder="1" applyAlignment="1">
      <alignment horizontal="center" vertical="center" wrapText="1"/>
    </xf>
    <xf numFmtId="0" fontId="0" fillId="0" borderId="9" xfId="0" applyBorder="1" applyAlignment="1">
      <alignment vertical="center" wrapText="1"/>
    </xf>
    <xf numFmtId="0" fontId="0" fillId="3" borderId="0" xfId="0" applyFill="1" applyAlignment="1">
      <alignment vertical="center" wrapText="1"/>
    </xf>
    <xf numFmtId="0" fontId="6" fillId="0" borderId="3" xfId="1" applyBorder="1" applyAlignment="1">
      <alignment horizontal="center" vertical="center"/>
    </xf>
    <xf numFmtId="0" fontId="2" fillId="9" borderId="4" xfId="0" applyFont="1" applyFill="1" applyBorder="1" applyAlignment="1">
      <alignment horizontal="center" vertical="center" wrapText="1"/>
    </xf>
    <xf numFmtId="0" fontId="2" fillId="9" borderId="4" xfId="0" applyFont="1" applyFill="1" applyBorder="1" applyAlignment="1">
      <alignment vertical="center" wrapText="1"/>
    </xf>
    <xf numFmtId="0" fontId="2" fillId="9" borderId="14" xfId="0" applyFont="1" applyFill="1" applyBorder="1" applyAlignment="1">
      <alignment vertical="center" wrapText="1"/>
    </xf>
    <xf numFmtId="0" fontId="2" fillId="0" borderId="34" xfId="0" applyFont="1" applyBorder="1" applyAlignment="1">
      <alignment vertical="center" wrapText="1"/>
    </xf>
    <xf numFmtId="0" fontId="0" fillId="0" borderId="12" xfId="0" applyBorder="1" applyAlignment="1">
      <alignment vertical="center" wrapText="1"/>
    </xf>
    <xf numFmtId="0" fontId="2" fillId="0" borderId="10" xfId="0" applyFont="1" applyBorder="1" applyAlignment="1">
      <alignment vertical="center" wrapText="1"/>
    </xf>
    <xf numFmtId="1" fontId="0" fillId="0" borderId="35" xfId="0" applyNumberFormat="1" applyBorder="1" applyAlignment="1">
      <alignment horizontal="center" vertical="center"/>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2" fillId="0" borderId="3" xfId="0" applyFont="1" applyBorder="1" applyAlignment="1">
      <alignment horizontal="center" vertical="center" wrapText="1"/>
    </xf>
    <xf numFmtId="0" fontId="0" fillId="0" borderId="3" xfId="0" applyBorder="1" applyAlignment="1">
      <alignment horizontal="center" vertical="center" wrapText="1"/>
    </xf>
    <xf numFmtId="0" fontId="6" fillId="0" borderId="3" xfId="1" applyBorder="1" applyAlignment="1">
      <alignment horizontal="center" vertical="center" wrapText="1"/>
    </xf>
    <xf numFmtId="0" fontId="0" fillId="0" borderId="8" xfId="0" applyBorder="1" applyAlignment="1">
      <alignment horizontal="center" vertical="center" wrapText="1"/>
    </xf>
    <xf numFmtId="0" fontId="6" fillId="0" borderId="4" xfId="1" applyBorder="1" applyAlignment="1">
      <alignment horizontal="center" vertical="center" wrapText="1"/>
    </xf>
    <xf numFmtId="0" fontId="6" fillId="0" borderId="8" xfId="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6" fillId="0" borderId="9" xfId="1" applyBorder="1" applyAlignment="1">
      <alignment horizontal="center" vertical="center" wrapText="1"/>
    </xf>
    <xf numFmtId="0" fontId="2" fillId="13" borderId="10" xfId="0" applyFont="1" applyFill="1" applyBorder="1" applyAlignment="1">
      <alignment horizontal="center" vertical="center" wrapText="1"/>
    </xf>
    <xf numFmtId="0" fontId="2" fillId="13" borderId="6" xfId="0" applyFont="1" applyFill="1" applyBorder="1" applyAlignment="1">
      <alignment horizontal="center" vertical="center" wrapText="1"/>
    </xf>
    <xf numFmtId="0" fontId="2" fillId="13" borderId="10" xfId="0" applyFont="1" applyFill="1" applyBorder="1" applyAlignment="1">
      <alignment horizontal="center" vertical="center"/>
    </xf>
    <xf numFmtId="0" fontId="2" fillId="13" borderId="6" xfId="0" applyFont="1" applyFill="1" applyBorder="1" applyAlignment="1">
      <alignment horizontal="center" vertical="center"/>
    </xf>
  </cellXfs>
  <cellStyles count="2">
    <cellStyle name="Hyperlink" xfId="1" builtinId="8"/>
    <cellStyle name="Normal" xfId="0" builtinId="0"/>
  </cellStyles>
  <dxfs count="6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2EAFA"/>
        </patternFill>
      </fill>
    </dxf>
    <dxf>
      <fill>
        <patternFill patternType="solid">
          <fgColor indexed="64"/>
          <bgColor rgb="FFFFC7CE"/>
        </patternFill>
      </fill>
    </dxf>
    <dxf>
      <fill>
        <patternFill patternType="solid">
          <fgColor indexed="64"/>
          <bgColor rgb="FFCFAFE7"/>
        </patternFill>
      </fill>
    </dxf>
    <dxf>
      <fill>
        <patternFill patternType="solid">
          <fgColor indexed="64"/>
          <bgColor rgb="FFFFC7CE"/>
        </patternFill>
      </fill>
    </dxf>
    <dxf>
      <fill>
        <patternFill patternType="solid">
          <fgColor indexed="64"/>
          <bgColor rgb="FFC2EAFA"/>
        </patternFill>
      </fill>
    </dxf>
    <dxf>
      <fill>
        <patternFill patternType="solid">
          <fgColor indexed="64"/>
          <bgColor rgb="FFFCE4A6"/>
        </patternFill>
      </fill>
    </dxf>
    <dxf>
      <font>
        <color rgb="FF006100"/>
      </font>
      <fill>
        <patternFill>
          <bgColor rgb="FFC6EFCE"/>
        </patternFill>
      </fill>
    </dxf>
    <dxf>
      <font>
        <color rgb="FF006100"/>
      </font>
      <fill>
        <patternFill>
          <bgColor rgb="FFC6EFCE"/>
        </patternFill>
      </fill>
    </dxf>
    <dxf>
      <font>
        <color rgb="FF002060"/>
      </font>
      <fill>
        <patternFill patternType="solid">
          <bgColor theme="7" tint="0.79998168889431442"/>
        </patternFill>
      </fill>
    </dxf>
    <dxf>
      <font>
        <color rgb="FF006100"/>
      </font>
      <fill>
        <patternFill>
          <bgColor rgb="FFC6EFCE"/>
        </patternFill>
      </fill>
    </dxf>
    <dxf>
      <font>
        <color rgb="FF006152"/>
      </font>
      <fill>
        <patternFill patternType="solid">
          <bgColor rgb="FFBAFFF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bgColor theme="5" tint="0.79998168889431442"/>
        </patternFill>
      </fill>
    </dxf>
    <dxf>
      <alignment vertical="center"/>
    </dxf>
    <dxf>
      <alignment vertical="center"/>
    </dxf>
    <dxf>
      <alignment vertical="center"/>
    </dxf>
    <dxf>
      <alignment vertical="center"/>
    </dxf>
    <dxf>
      <alignment vertical="center"/>
    </dxf>
    <dxf>
      <numFmt numFmtId="13" formatCode="0%"/>
    </dxf>
    <dxf>
      <numFmt numFmtId="13" formatCode="0%"/>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alignment wrapText="1"/>
    </dxf>
    <dxf>
      <alignment wrapText="1"/>
    </dxf>
    <dxf>
      <alignment horizontal="center"/>
    </dxf>
    <dxf>
      <alignment horizontal="center"/>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59999389629810485"/>
        </patternFill>
      </fill>
    </dxf>
    <dxf>
      <fill>
        <patternFill patternType="solid">
          <fgColor indexed="64"/>
          <bgColor theme="7" tint="0.79998168889431442"/>
        </patternFill>
      </fill>
    </dxf>
    <dxf>
      <fill>
        <patternFill patternType="solid">
          <fgColor indexed="64"/>
          <bgColor theme="7" tint="0.79998168889431442"/>
        </patternFill>
      </fill>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alignment wrapText="1"/>
    </dxf>
    <dxf>
      <alignment wrapText="1"/>
    </dxf>
    <dxf>
      <alignment horizontal="center"/>
    </dxf>
    <dxf>
      <alignment horizontal="center"/>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alignment vertical="center"/>
    </dxf>
    <dxf>
      <alignment vertical="center"/>
    </dxf>
    <dxf>
      <alignment vertical="center"/>
    </dxf>
    <dxf>
      <alignment vertical="center"/>
    </dxf>
    <dxf>
      <alignment vertical="center"/>
    </dxf>
    <dxf>
      <alignment wrapText="1"/>
    </dxf>
    <dxf>
      <alignment wrapText="1"/>
    </dxf>
    <dxf>
      <alignment horizontal="center"/>
    </dxf>
    <dxf>
      <alignment horizontal="center"/>
    </dxf>
    <dxf>
      <alignment wrapText="1"/>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59999389629810485"/>
        </patternFill>
      </fill>
    </dxf>
    <dxf>
      <fill>
        <patternFill patternType="solid">
          <fgColor indexed="64"/>
          <bgColor theme="7" tint="0.59999389629810485"/>
        </patternFill>
      </fill>
    </dxf>
    <dxf>
      <alignment horizontal="center"/>
    </dxf>
    <dxf>
      <alignment wrapText="1"/>
    </dxf>
    <dxf>
      <numFmt numFmtId="13" formatCode="0%"/>
    </dxf>
    <dxf>
      <numFmt numFmtId="13" formatCode="0%"/>
    </dxf>
    <dxf>
      <fill>
        <patternFill patternType="solid">
          <fgColor indexed="64"/>
          <bgColor theme="7" tint="0.59999389629810485"/>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2"/>
        </patternFill>
      </fill>
    </dxf>
    <dxf>
      <fill>
        <patternFill patternType="solid">
          <fgColor indexed="64"/>
          <bgColor theme="2"/>
        </patternFill>
      </fill>
    </dxf>
    <dxf>
      <font>
        <color rgb="FFFF0000"/>
      </font>
    </dxf>
    <dxf>
      <font>
        <color rgb="FFFF0000"/>
      </font>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Medium9"/>
  <colors>
    <mruColors>
      <color rgb="FFFFF2CC"/>
      <color rgb="FF0D9D87"/>
      <color rgb="FFBAFFF5"/>
      <color rgb="FF808080"/>
      <color rgb="FFC0F1C8"/>
      <color rgb="FFFFC7C7"/>
      <color rgb="FF006152"/>
      <color rgb="FFFF9198"/>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tthew's View" id="{95A9F306-84AB-499E-8BE0-83C5F986F929}">
    <nsvFilter filterId="{0FF5CC6A-46EC-4217-BB41-37F9EB4EEEFB}" ref="A1:R377" tableId="0">
      <columnFilter colId="0">
        <filter colId="0">
          <x:filters>
            <x:filter val="Retail"/>
          </x:filters>
        </filter>
      </columnFilter>
    </nsvFilter>
  </namedSheetView>
  <namedSheetView name="View1" id="{4CD579F4-0381-48AA-A6D4-C743C986793C}">
    <nsvFilter filterId="{0FF5CC6A-46EC-4217-BB41-37F9EB4EEEFB}" ref="A1:R377" tableId="0">
      <columnFilter colId="0">
        <filter colId="0">
          <x:filters>
            <x:filter val="DataPlatform"/>
          </x:filters>
        </filter>
      </columnFilter>
    </nsvFilter>
  </namedSheetView>
  <namedSheetView name="View2" id="{580C65CB-89C9-47B8-A7D5-82549981E075}">
    <nsvFilter filterId="{0FF5CC6A-46EC-4217-BB41-37F9EB4EEEFB}" ref="A1:R377" tableId="0"/>
  </namedSheetView>
  <namedSheetView name="View3" id="{FF691942-222D-4761-997F-996012186627}">
    <nsvFilter filterId="{0FF5CC6A-46EC-4217-BB41-37F9EB4EEEFB}" ref="A1:R377" tableId="0">
      <columnFilter colId="0">
        <filter colId="0">
          <x:filters>
            <x:filter val="TOC"/>
            <x:filter val="TOC_Horizontal"/>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3159D7E-3E73-4772-B2CC-BFE64E7C844E}">
    <nsvFilter filterId="{2BA794A2-3F61-42E8-A205-22E9BF35D656}" ref="A1:O57" tableId="0"/>
  </namedSheetView>
  <namedSheetView name="View2" id="{F37DF3F4-9841-432E-895F-3BFE979645AD}">
    <nsvFilter filterId="{2BA794A2-3F61-42E8-A205-22E9BF35D656}" ref="A1:O57" tableId="0"/>
  </namedSheetView>
</namedSheetViews>
</file>

<file path=xl/persons/person.xml><?xml version="1.0" encoding="utf-8"?>
<personList xmlns="http://schemas.microsoft.com/office/spreadsheetml/2018/threadedcomments" xmlns:x="http://schemas.openxmlformats.org/spreadsheetml/2006/main">
  <person displayName="Samarash Basak" id="{46B8700F-4C24-46DA-ADB4-2C8E68371649}" userId="sbasak@tekion.com" providerId="PeoplePicker"/>
  <person displayName="Deepak Singh" id="{8CE7B464-7BED-479E-9D84-F20C0D79C3B7}" userId="S::sdeepak@tekion.com::a4fdb0b9-a91b-49be-8c7e-65bd6964cb56" providerId="AD"/>
  <person displayName="Vijayakumar B" id="{7F83755C-57AF-3C4E-94CC-E182AC7C97B0}" userId="S::vijaykb@tekion.com::fab3d78a-4fe9-4031-bd13-3ff6d0dc4a0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1.40445451389" createdVersion="8" refreshedVersion="8" minRefreshableVersion="3" recordCount="135" xr:uid="{FA716080-E9FB-4713-A30D-5998673D83C5}">
  <cacheSource type="worksheet">
    <worksheetSource ref="A1:AH1048576" sheet="Scrum Teams"/>
  </cacheSource>
  <cacheFields count="34">
    <cacheField name="Component" numFmtId="0">
      <sharedItems containsBlank="1" count="48">
        <s v="Accounting"/>
        <s v="AEPlatform"/>
        <s v="AI_Core"/>
        <s v="AIBDC"/>
        <s v="AIE_Core"/>
        <s v="AIE_Platform"/>
        <s v="AMC"/>
        <s v="Analytics"/>
        <s v="APC"/>
        <s v="APEX"/>
        <s v="ApplicationPlatforms"/>
        <s v="ARCIntegration"/>
        <s v="Campaign"/>
        <s v="Cashiering"/>
        <s v="Communication"/>
        <s v="CRM"/>
        <s v="DataPlatform"/>
        <s v="DigitalRetailing"/>
        <s v="DR_GM"/>
        <s v="DR_Honda"/>
        <s v="DR_Hyundai"/>
        <s v="eSign_Platform"/>
        <s v="Fleet_Honda"/>
        <s v="FnI"/>
        <s v="Galaxy"/>
        <s v="HorizontalPlatforms"/>
        <s v="IOT"/>
        <s v="OnboardingPlatforms"/>
        <s v="ORBIT"/>
        <s v="Parts"/>
        <s v="Payroll"/>
        <s v="PayTek"/>
        <s v="Retail"/>
        <s v="Service"/>
        <s v="SIPlatform"/>
        <s v="T1Platform"/>
        <s v="ZEBRA"/>
        <m/>
        <s v="TDP" u="1"/>
        <s v="PLG" u="1"/>
        <s v="DLA" u="1"/>
        <s v="CRM-Communication" u="1"/>
        <s v="Core" u="1"/>
        <s v="MobilePlatform" u="1"/>
        <s v="HorizontalPlatform" u="1"/>
        <s v="Platform" u="1"/>
        <s v="AIPlatform" u="1"/>
        <s v="DealerLaunchAutomation" u="1"/>
      </sharedItems>
    </cacheField>
    <cacheField name="Scrum Team Name" numFmtId="0">
      <sharedItems containsBlank="1" count="219">
        <s v="Gold"/>
        <s v="Helium"/>
        <s v="Hydrogen"/>
        <s v="Oxygen"/>
        <s v="Platinum"/>
        <s v="Aurum"/>
        <s v="AEP Chat"/>
        <s v="AEP Checkout"/>
        <s v="AEP Core"/>
        <s v="AEP Retail"/>
        <s v="AI-Generic"/>
        <s v="AI-Retail"/>
        <s v="AI-SCP"/>
        <s v="AI-Service"/>
        <s v="AIBDC"/>
        <s v="AIE-Generic"/>
        <s v="AIE-Retail"/>
        <s v="AIE-Service"/>
        <s v="AIE_Platform"/>
        <s v="AMC"/>
        <s v="Analytics-Eng"/>
        <s v="IEX"/>
        <s v="PEX"/>
        <s v="Cortex"/>
        <s v="R3, LD &amp; Automation"/>
        <s v="SCP"/>
        <s v="Tax &amp; Fee"/>
        <s v="VDP &amp; Rewrite"/>
        <s v="Audit &amp; Approval"/>
        <s v="Compliance"/>
        <s v="Configuration Studio"/>
        <s v="Enterprise"/>
        <s v="Identity Management"/>
        <s v="Printers &amp; Scanners"/>
        <s v="Workflow Engine"/>
        <s v="Credit &amp; FNI Integrations"/>
        <s v="FixedOps Integration 1"/>
        <s v="FixedOps Integration 2"/>
        <s v="FixedOps Integration 3"/>
        <s v="Platform Integrations"/>
        <s v="Retail Integration 1"/>
        <s v="Retail Integration 2"/>
        <s v="Bishop"/>
        <s v="Cashiering"/>
        <s v="Communication"/>
        <s v="Gambit"/>
        <s v="Mystique"/>
        <s v="Storm"/>
        <s v="Wolverine"/>
        <s v="CRM-CMS"/>
        <s v="CRM-CDM"/>
        <s v="Data Analytics"/>
        <s v="Data Intelligence"/>
        <s v="Data Platform"/>
        <s v="DR_Checkout"/>
        <s v="DR_SRCHAT"/>
        <s v="DR_Studio"/>
        <s v="3rd Party Chat Integrations"/>
        <s v="AEO-GEO"/>
        <s v="Configurator"/>
        <s v="Discovery &amp; Ingestion"/>
        <s v="DX (1.0 Salescloud and 2.0 Custom Apps)"/>
        <s v="GM Integrations (1.0 and 2.0)"/>
        <s v="My Accounts"/>
        <s v="OEM - D360 + Analytics"/>
        <s v="OEM Agentic AI"/>
        <s v="OMS &amp; Pricing"/>
        <s v="SCX (1.0 and 2.0)"/>
        <s v="VDP"/>
        <s v="VSR, FE Platform"/>
        <s v="Honda DX"/>
        <s v="Honda Integration"/>
        <s v="Honda PCX"/>
        <s v="Honda SCX"/>
        <s v="Genesis"/>
        <s v="eSign_Platform"/>
        <s v="Honda Fleet"/>
        <s v="Ganga"/>
        <s v="Godavari"/>
        <s v="Krishna"/>
        <s v="Saryu"/>
        <s v="Yamuna"/>
        <s v="Kaveri"/>
        <s v="HP-AI_Native"/>
        <s v="HP-Caching_and_Messaging"/>
        <s v="HP-Central_Setups"/>
        <s v="HP-Data_and_Content_Mgmt"/>
        <s v="HP-Interaction_Platforms"/>
        <s v="HP-Persistence"/>
        <s v="HP-Presentation_Centric_Platforms"/>
        <s v="HP-Registries_and_Config_Stores"/>
        <s v="HP-Routing_and_Reliability"/>
        <s v="HP-Technologies_and_RnD"/>
        <s v="HP-UI_Platforms"/>
        <s v="HP-Utilities"/>
        <s v="IOT"/>
        <s v="CAutomation"/>
        <s v="GAutomation"/>
        <s v="Launch_Center"/>
        <s v="MAutomation"/>
        <s v="PLG"/>
        <s v="Schema_Curator"/>
        <s v="Setup_Adoption"/>
        <s v="Setup_Mgt"/>
        <s v="TAO"/>
        <s v="Orbit Platform"/>
        <s v="Orbit Agents"/>
        <s v="Data Dynamos"/>
        <s v="Integrations Connectors"/>
        <s v="Inventory Guardians"/>
        <s v="Ordering Operators"/>
        <s v="Platform Optimizers"/>
        <s v="Repair Order Fulfillers"/>
        <s v="Sales Order Frontiers"/>
        <s v="Earth"/>
        <s v="Mars"/>
        <s v="Gryffindor"/>
        <s v="Ravenclaw"/>
        <s v="CAVIAR"/>
        <s v="Deals"/>
        <s v="Desking"/>
        <s v="IMS"/>
        <s v="Pricing "/>
        <s v="VI"/>
        <s v="Consumer"/>
        <s v="Dealer-Apps"/>
        <s v="Platform"/>
        <s v="RO-Core"/>
        <s v="Scheduling"/>
        <s v="ServiceMobile"/>
        <s v="SI Platform 1"/>
        <s v="SI Platform 2"/>
        <s v="T1 Scrum"/>
        <s v="Zebra"/>
        <m/>
        <s v="Kabini" u="1"/>
        <s v="Orbit" u="1"/>
        <s v="Orbit-Apps" u="1"/>
        <s v="CMS &amp; VMS Apps" u="1"/>
        <s v="Customer Data Management" u="1"/>
        <s v="Cagayan" u="1"/>
        <s v="Chat" u="1"/>
        <s v="PowerTrain_ROCore" u="1"/>
        <s v="Pitstop_DealerApps" u="1"/>
        <s v="Cockpit_Consumer" u="1"/>
        <s v="Chassis_Platform" u="1"/>
        <s v="Clutch_Scheduling" u="1"/>
        <s v="Setup Management" u="1"/>
        <s v="Setup Adoption" u="1"/>
        <s v="Photon Onboarding" u="1"/>
        <s v="VSR" u="1"/>
        <s v="DSC 2.0 Custom Apps​" u="1"/>
        <s v="2.0 SCX" u="1"/>
        <s v="1.0 Salescloud" u="1"/>
        <s v="1.0 SCX" u="1"/>
        <s v="1.0 Integrations" u="1"/>
        <s v="2.0 Integrations" u="1"/>
        <s v="2.0 Custom Apps_GM Dealer Onboarding" u="1"/>
        <s v="2.0 GM Platform, Analytics" u="1"/>
        <s v="1.0 Roadmap &amp; Sustennace" u="1"/>
        <s v="Beast" u="1"/>
        <s v="Magneto" u="1"/>
        <s v="Phoenix" u="1"/>
        <s v="Core CMS &amp; VMS" u="1"/>
        <s v="Core Compliance &amp; Approval" u="1"/>
        <s v="Core Deduplication" u="1"/>
        <s v="Core Chatbot" u="1"/>
        <s v="Core Audit&amp;Enterprise" u="1"/>
        <s v="Core Foundation" u="1"/>
        <s v="Core WorkflowEngine" u="1"/>
        <s v="Core PrinterScanner" u="1"/>
        <s v="Core DealerAndMedia" u="1"/>
        <s v="Core IdentityManagement" u="1"/>
        <s v="AEPlatform" u="1"/>
        <s v="X" u="1"/>
        <s v="Y" u="1"/>
        <s v="HP-Apps" u="1"/>
        <s v="MobilePlatform" u="1"/>
        <s v="AIE-SCP" u="1"/>
        <s v="AIPL-Service" u="1"/>
        <s v="AIPL-Retail" u="1"/>
        <s v="AIPL-Generic" u="1"/>
        <s v="AIPL-SCP" u="1"/>
        <s v="Technologies/RnD" u="1"/>
        <s v="Registries and Configuration stores  " u="1"/>
        <s v="Routing and Reliability" u="1"/>
        <s v="Utilities " u="1"/>
        <s v="Central Setups_x000a_" u="1"/>
        <s v="Data and Content Management" u="1"/>
        <s v="Presentation Centric Platform" u="1"/>
        <s v="Interaction Platform" u="1"/>
        <s v="Data Persistance" u="1"/>
        <s v="Data Async &amp; Caching" u="1"/>
        <s v="UI" u="1"/>
        <s v="Interaction Platform_x000a_" u="1"/>
        <s v=" Data Persistance_x000a_" u="1"/>
        <s v="Data Async &amp; Caching_x000a_" u="1"/>
        <s v="AIPlatform" u="1"/>
        <s v=" Technologies/RnD" u="1"/>
        <s v="Registries and Configuration stores  _x000a_" u="1"/>
        <s v="Presentation Centric Platform_x000a_" u="1"/>
        <s v="Platform - Foundation" u="1"/>
        <s v="Platform-Apps" u="1"/>
        <s v="Platfom-Central Setup" u="1"/>
        <s v="Platform-UI" u="1"/>
        <s v="Platform-DBAAS" u="1"/>
        <s v="Platform-Async " u="1"/>
        <s v="Powertrain" u="1"/>
        <s v="Pitstop" u="1"/>
        <s v="Cockpit" u="1"/>
        <s v="Chassis" u="1"/>
        <s v="Clutch" u="1"/>
        <s v="SI Platform - 1" u="1"/>
        <s v="SI Platform - 2" u="1"/>
        <s v="2.0 Custom Apps​" u="1"/>
        <s v="2.0 Custom Apps" u="1"/>
        <s v="Credit App/FNI/Accounting&amp;Core Integrations" u="1"/>
        <s v="DLA-1" u="1"/>
        <s v="DLA-2" u="1"/>
      </sharedItems>
    </cacheField>
    <cacheField name="PDLC Project Key" numFmtId="0">
      <sharedItems containsBlank="1" count="41">
        <s v="ACCT"/>
        <s v="AEP"/>
        <s v="AI"/>
        <s v="AIB"/>
        <s v="AIPL"/>
        <s v="AMC"/>
        <s v="ANLY"/>
        <s v="APC"/>
        <s v="APEX"/>
        <s v="APLT"/>
        <s v="INTG"/>
        <s v="CRM"/>
        <s v="CASH"/>
        <s v="COMM"/>
        <s v="DPLT"/>
        <s v="DGRT"/>
        <s v="GM"/>
        <s v="AHM"/>
        <s v="HYUN"/>
        <s v="ESGN"/>
        <s v="FNI"/>
        <s v="GAL"/>
        <s v="HPLT"/>
        <s v="IOT"/>
        <s v="OPLT"/>
        <s v="ORBT"/>
        <s v="PART"/>
        <s v="PYRL"/>
        <s v="PYTK"/>
        <s v="RETL"/>
        <s v="SERV"/>
        <s v="SIP"/>
        <s v="T1PL"/>
        <s v="ZEB"/>
        <m/>
        <s v="???" u="1"/>
        <s v="PLG" u="1"/>
        <s v="DLA" u="1"/>
        <s v="PLTF" u="1"/>
        <s v="CORE" u="1"/>
        <s v="HON" u="1"/>
      </sharedItems>
    </cacheField>
    <cacheField name="Capacity per Sprint per ST" numFmtId="0">
      <sharedItems containsString="0" containsBlank="1" containsNumber="1" minValue="0" maxValue="171"/>
    </cacheField>
    <cacheField name="Capacity per Month" numFmtId="0">
      <sharedItems containsString="0" containsBlank="1" containsNumber="1" minValue="0" maxValue="342"/>
    </cacheField>
    <cacheField name="Sub-Component1" numFmtId="0">
      <sharedItems containsBlank="1"/>
    </cacheField>
    <cacheField name="Sub-Component2" numFmtId="0">
      <sharedItems containsBlank="1"/>
    </cacheField>
    <cacheField name="Sub-Component3" numFmtId="0">
      <sharedItems containsBlank="1"/>
    </cacheField>
    <cacheField name="Sub-Component4" numFmtId="0">
      <sharedItems containsBlank="1"/>
    </cacheField>
    <cacheField name="Sub-Component5" numFmtId="0">
      <sharedItems containsBlank="1"/>
    </cacheField>
    <cacheField name="Sub-Component6" numFmtId="0">
      <sharedItems containsBlank="1"/>
    </cacheField>
    <cacheField name="Sub-Component7" numFmtId="0">
      <sharedItems containsBlank="1"/>
    </cacheField>
    <cacheField name="Sub-Component8" numFmtId="0">
      <sharedItems containsBlank="1"/>
    </cacheField>
    <cacheField name="Sub-Component9" numFmtId="0">
      <sharedItems containsBlank="1"/>
    </cacheField>
    <cacheField name="Sub-Component10" numFmtId="0">
      <sharedItems containsBlank="1"/>
    </cacheField>
    <cacheField name="Sub-Component11" numFmtId="0">
      <sharedItems containsBlank="1"/>
    </cacheField>
    <cacheField name="Sub-Component12" numFmtId="0">
      <sharedItems containsBlank="1"/>
    </cacheField>
    <cacheField name="Program" numFmtId="0">
      <sharedItems containsBlank="1"/>
    </cacheField>
    <cacheField name="EM" numFmtId="0">
      <sharedItems containsNonDate="0" containsString="0" containsBlank="1"/>
    </cacheField>
    <cacheField name="Scrum Master [Lead/EM]" numFmtId="0">
      <sharedItems containsBlank="1"/>
    </cacheField>
    <cacheField name="Manager, PM" numFmtId="0">
      <sharedItems containsNonDate="0" containsString="0" containsBlank="1"/>
    </cacheField>
    <cacheField name="Product POC" numFmtId="0">
      <sharedItems containsBlank="1"/>
    </cacheField>
    <cacheField name="SDET" numFmtId="0">
      <sharedItems containsBlank="1"/>
    </cacheField>
    <cacheField name="Designer" numFmtId="0">
      <sharedItems containsBlank="1"/>
    </cacheField>
    <cacheField name="Developers" numFmtId="0">
      <sharedItems containsBlank="1" longText="1"/>
    </cacheField>
    <cacheField name="Architect_x000a_(from Architect Roster)" numFmtId="0">
      <sharedItems containsBlank="1"/>
    </cacheField>
    <cacheField name="Scrum Team Completion Score" numFmtId="0">
      <sharedItems containsString="0" containsBlank="1" containsNumber="1" minValue="0.14285714285714285" maxValue="1"/>
    </cacheField>
    <cacheField name="Scrum Board Created" numFmtId="0">
      <sharedItems containsBlank="1"/>
    </cacheField>
    <cacheField name="Automated?" numFmtId="0">
      <sharedItems containsNonDate="0" containsString="0" containsBlank="1"/>
    </cacheField>
    <cacheField name="EVP" numFmtId="0">
      <sharedItems containsBlank="1" count="7">
        <s v="Sanyam Agrawal"/>
        <s v="Santosh Golecha"/>
        <s v="Satish Sallakonda"/>
        <s v="Ved Singh"/>
        <s v="Keith Wiseman"/>
        <s v="Raghu Edalur"/>
        <m/>
      </sharedItems>
    </cacheField>
    <cacheField name="ED" numFmtId="0">
      <sharedItems containsBlank="1"/>
    </cacheField>
    <cacheField name="Remarks" numFmtId="0">
      <sharedItems containsBlank="1"/>
    </cacheField>
    <cacheField name="Scrum Board" numFmtId="0">
      <sharedItems containsBlank="1"/>
    </cacheField>
    <cacheField name="Filt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1.404454745367" createdVersion="8" refreshedVersion="8" minRefreshableVersion="3" recordCount="367" xr:uid="{724D297B-AFB1-41AC-98E8-4556D9E1259F}">
  <cacheSource type="worksheet">
    <worksheetSource ref="A1:R1048576" sheet="Component Masterlist v2"/>
  </cacheSource>
  <cacheFields count="18">
    <cacheField name="Component" numFmtId="0">
      <sharedItems containsBlank="1"/>
    </cacheField>
    <cacheField name="Sub-component" numFmtId="0">
      <sharedItems containsBlank="1"/>
    </cacheField>
    <cacheField name="Sub-Component Owner - EM" numFmtId="0">
      <sharedItems containsBlank="1"/>
    </cacheField>
    <cacheField name="Sr. Engg Manager" numFmtId="0">
      <sharedItems containsBlank="1"/>
    </cacheField>
    <cacheField name="Engg Director" numFmtId="0">
      <sharedItems containsBlank="1"/>
    </cacheField>
    <cacheField name="Sr. Engg Director" numFmtId="0">
      <sharedItems containsBlank="1"/>
    </cacheField>
    <cacheField name="Engg VP " numFmtId="0">
      <sharedItems containsBlank="1"/>
    </cacheField>
    <cacheField name="PM" numFmtId="0">
      <sharedItems containsBlank="1"/>
    </cacheField>
    <cacheField name="Manager, PM" numFmtId="0">
      <sharedItems containsBlank="1"/>
    </cacheField>
    <cacheField name="Sr. Manager, PM" numFmtId="0">
      <sharedItems containsBlank="1"/>
    </cacheField>
    <cacheField name="Product Director" numFmtId="0">
      <sharedItems containsBlank="1"/>
    </cacheField>
    <cacheField name="Sr. Product Director" numFmtId="0">
      <sharedItems containsBlank="1"/>
    </cacheField>
    <cacheField name="Product VP" numFmtId="0">
      <sharedItems containsBlank="1"/>
    </cacheField>
    <cacheField name="SDET" numFmtId="0">
      <sharedItems containsBlank="1"/>
    </cacheField>
    <cacheField name="Scrum Team" numFmtId="0">
      <sharedItems containsBlank="1" count="200">
        <s v="Wolverine"/>
        <s v="Gambit"/>
        <s v="Mystique"/>
        <s v="Storm"/>
        <s v="Bishop"/>
        <s v="Not found"/>
        <s v="Compliance"/>
        <s v="Enterprise"/>
        <s v="Configuration Studio"/>
        <s v="Workflow Engine"/>
        <s v="Identity Management"/>
        <s v="Audit &amp; Approval"/>
        <s v="Zebra"/>
        <s v="Credit &amp; FNI Integrations"/>
        <s v="Retail Integration 2"/>
        <s v="FixedOps Integration 3"/>
        <s v="Platform Integrations"/>
        <s v="Retail Integration 1"/>
        <s v="FixedOps Integration 1"/>
        <s v="Kaveri"/>
        <s v="Desking"/>
        <s v="Deals"/>
        <s v="VI"/>
        <s v="Pricing "/>
        <s v="IMS"/>
        <s v="CAVIAR"/>
        <s v="Hydrogen"/>
        <s v="Gold"/>
        <s v="Platinum"/>
        <s v="Helium"/>
        <s v="Oxygen"/>
        <s v="Aurum"/>
        <s v="Earth"/>
        <s v="Mars"/>
        <s v="eSign_Platform"/>
        <s v="Cashiering"/>
        <s v="RO-Core"/>
        <s v="Platform"/>
        <s v="Scheduling"/>
        <s v="Dealer-Apps"/>
        <s v="Consumer"/>
        <s v="ServiceMobile"/>
        <s v="Inventory Guardians"/>
        <s v="Ordering Operators"/>
        <s v="Sales Order Frontiers"/>
        <s v="Repair Order Fulfillers"/>
        <s v="Integrations Connectors"/>
        <s v="Platform Optimizers"/>
        <s v="Data Dynamos"/>
        <s v="Gryffindor"/>
        <s v="Ravenclaw"/>
        <s v="HP-Registries_and_Config_Stores"/>
        <s v="HP-Routing_and_Reliability"/>
        <s v="HP-Utilities"/>
        <s v="HP-Technologies_and_RnD"/>
        <s v="HP-Central_Setups"/>
        <s v="HP-Data_and_Content_Mgmt"/>
        <s v="HP-Presentation_Centric_Platforms"/>
        <s v="HP-Interaction_Platforms"/>
        <s v="HP-Persistence"/>
        <s v="HP-Caching_and_Messaging"/>
        <s v="HP-UI_Platforms"/>
        <s v="HP-AI_Native"/>
        <s v="IEX"/>
        <s v="Cortex"/>
        <s v="PEX"/>
        <s v="Data Platform"/>
        <s v="Data Intelligence"/>
        <s v="Data Analytics"/>
        <s v="DR_Checkout"/>
        <s v="DR_Studio"/>
        <s v="DR_SRCHAT"/>
        <s v="Analytics-Eng"/>
        <s v="IOT"/>
        <s v="Honda PCX"/>
        <s v="Honda Integration"/>
        <s v="Honda DX"/>
        <s v="Honda SCX"/>
        <s v="Honda Fleet"/>
        <s v="Setup_Mgt"/>
        <s v="Setup_Adoption"/>
        <s v="Launch_Center"/>
        <s v="MAutomation"/>
        <s v="CAutomation"/>
        <s v="GAutomation"/>
        <s v="PLG"/>
        <s v="Schema_Curator"/>
        <s v="TAO"/>
        <s v="Ganga"/>
        <s v="Yamuna"/>
        <s v="Saryu"/>
        <s v="Godavari"/>
        <s v="Krishna"/>
        <s v="AIBDC"/>
        <s v="Genesis"/>
        <s v="VDP &amp; Rewrite"/>
        <s v="R3, LD &amp; Automation"/>
        <s v="Tax &amp; Fee"/>
        <s v="SCP"/>
        <s v="Orbit Platform"/>
        <s v="Orbit Agents"/>
        <s v="SI Platform 1"/>
        <s v="SI Platform 2"/>
        <s v="AIE_Platform"/>
        <s v="VSR, FE Platform"/>
        <s v="VDP"/>
        <s v="Configurator"/>
        <s v="My Accounts"/>
        <s v="Discovery &amp; Ingestion"/>
        <s v="OMS &amp; Pricing"/>
        <s v="DX (1.0 Salescloud and 2.0 Custom Apps)"/>
        <s v="SCX (1.0 and 2.0)"/>
        <s v="GM Integrations (1.0 and 2.0)"/>
        <s v="OEM - D360 + Analytics"/>
        <s v="AEO-GEO"/>
        <s v="OEM Agentic AI"/>
        <s v="3rd Party Chat Integrations"/>
        <s v="AIE-Service"/>
        <s v="AIE-Retail"/>
        <s v="AIE-Generic"/>
        <s v="AI-Service"/>
        <s v="AI-Retail"/>
        <s v="AI-Generic"/>
        <s v="AI-SCP"/>
        <s v="T1 Scrum"/>
        <s v="AEP Core"/>
        <s v="AEP Retail"/>
        <s v="AEP Checkout"/>
        <s v="AEP Chat"/>
        <s v="AMC"/>
        <m/>
        <s v="Communication" u="1"/>
        <s v="Kabini" u="1"/>
        <s v="CMS &amp; VMS Apps" u="1"/>
        <s v="Orbit" u="1"/>
        <s v="Cagayan" u="1"/>
        <s v="PowerTrain_ROCore" u="1"/>
        <s v="Chassis_Platform" u="1"/>
        <s v="Clutch_Scheduling" u="1"/>
        <s v="Pitstop_DealerApps" u="1"/>
        <s v="Cockpit_Consumer" u="1"/>
        <s v="Photon Onboarding" u="1"/>
        <s v="Setup Management" u="1"/>
        <s v="Setup Adoption" u="1"/>
        <s v="VSR" u="1"/>
        <s v="DSC 2.0 Custom Apps​" u="1"/>
        <s v="2.0 SCX" u="1"/>
        <s v="1.0 Salescloud" u="1"/>
        <s v="1.0 SCX" u="1"/>
        <s v="1.0 Integrations" u="1"/>
        <s v="2.0 Integrations" u="1"/>
        <s v="2.0 Custom Apps_GM Dealer Onboarding" u="1"/>
        <s v="2.0 GM Platform, Analytics" u="1"/>
        <s v="1.0 Roadmap &amp; Sustennace" u="1"/>
        <s v="Phoenix" u="1"/>
        <s v="Beast" u="1"/>
        <s v="Magneto" u="1"/>
        <s v="AEPlatform" u="1"/>
        <s v="Core Chatbot" u="1"/>
        <s v="Core CMS &amp; VMS" u="1"/>
        <s v="Core Compliance &amp; Approval" u="1"/>
        <s v="Core PrinterScanner" u="1"/>
        <s v="Core Foundation" u="1"/>
        <s v="Core Deduplication" u="1"/>
        <s v="Core Audit&amp;Enterprise" u="1"/>
        <s v="Core DealerAndMedia" u="1"/>
        <s v="Core WorkflowEngine" u="1"/>
        <s v="Core IdentityManagement" u="1"/>
        <s v="HP-Apps" u="1"/>
        <s v="MobilePlatform" u="1"/>
        <s v="AIPL-Generic" u="1"/>
        <s v="Registries and Configuration stores  " u="1"/>
        <s v="Routing and Reliability" u="1"/>
        <s v="Utilities " u="1"/>
        <s v="Technologies/RnD" u="1"/>
        <s v="Central Setups_x000a_" u="1"/>
        <s v="Data and Content Management" u="1"/>
        <s v="Presentation Centric Platform" u="1"/>
        <s v="Interaction Platform" u="1"/>
        <s v="Data Persistance" u="1"/>
        <s v="Data Async &amp; Caching" u="1"/>
        <s v="UI" u="1"/>
        <s v="Interaction Platform_x000a_" u="1"/>
        <s v=" Data Persistance_x000a_" u="1"/>
        <s v="Data Async &amp; Caching_x000a_" u="1"/>
        <s v="AIPlatform" u="1"/>
        <s v="Registries and Configuration stores  _x000a_" u="1"/>
        <s v=" Technologies/RnD" u="1"/>
        <s v="Presentation Centric Platform_x000a_" u="1"/>
        <s v="Platform - Foundation" u="1"/>
        <s v="Platform-Apps" u="1"/>
        <s v="Platfom-Central Setup" u="1"/>
        <s v="Platform-UI" u="1"/>
        <s v="Platform-DBAAS" u="1"/>
        <s v="Platform-Async " u="1"/>
        <s v="Powertrain" u="1"/>
        <s v="Chassis" u="1"/>
        <s v="Clutch" u="1"/>
        <s v="Cockpit" u="1"/>
        <s v="Pitstop" u="1"/>
      </sharedItems>
    </cacheField>
    <cacheField name="PDLC Project Key" numFmtId="0">
      <sharedItems containsBlank="1"/>
    </cacheField>
    <cacheField name="TPM Assigned" numFmtId="0">
      <sharedItems containsBlank="1"/>
    </cacheField>
    <cacheField name="Old Sub-component Nam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8.429812731483" createdVersion="8" refreshedVersion="8" minRefreshableVersion="3" recordCount="367" xr:uid="{DE167808-8C90-4BCA-AECC-8B8E24BC0FC5}">
  <cacheSource type="worksheet">
    <worksheetSource ref="A1:Q1048576" sheet="Component Masterlist v2"/>
  </cacheSource>
  <cacheFields count="17">
    <cacheField name="Component" numFmtId="0">
      <sharedItems containsBlank="1" count="54">
        <s v="CRM"/>
        <s v="Campaign"/>
        <s v="Communication"/>
        <s v="ApplicationPlatforms"/>
        <s v="ZEBRA"/>
        <s v="ARCIntegration"/>
        <s v="Galaxy"/>
        <s v="TDP"/>
        <s v="Retail"/>
        <s v="Accounting"/>
        <s v="Payroll"/>
        <s v="eSign_Platform"/>
        <s v="Cashiering"/>
        <s v="Service"/>
        <s v="Parts"/>
        <s v="PayTek"/>
        <s v="HorizontalPlatforms"/>
        <s v="PerformanceEngg"/>
        <s v="APC"/>
        <s v="DataPlatform"/>
        <s v="DigitalRetailing"/>
        <s v="Analytics"/>
        <s v="DataEngg"/>
        <s v="Infra"/>
        <s v="IOT"/>
        <s v="DR_Ford"/>
        <s v="AECIntegration"/>
        <s v="L&amp;D"/>
        <s v="DR_Honda"/>
        <s v="Fleet_Honda"/>
        <s v="OnboardingPlatforms"/>
        <s v="FnI"/>
        <s v="Architecture"/>
        <s v="AIBDC"/>
        <s v="DR_Hyundai"/>
        <s v="IT_Team"/>
        <s v="VOC"/>
        <s v="Security"/>
        <s v="People_Team"/>
        <s v="APEX"/>
        <s v="ORBIT"/>
        <s v="SIPlatform"/>
        <s v="TOC_Horizontal"/>
        <s v="TOC"/>
        <s v="AIE_Platform"/>
        <s v="DR_GM"/>
        <s v="AIE_Core"/>
        <s v="AI_Core"/>
        <s v="Professional_Services"/>
        <s v="T1Platform"/>
        <s v="AEPlatform"/>
        <s v="Data_Services"/>
        <s v="AMC"/>
        <m/>
      </sharedItems>
    </cacheField>
    <cacheField name="Sub-component" numFmtId="0">
      <sharedItems containsBlank="1"/>
    </cacheField>
    <cacheField name="Sub-Component Owner - EM" numFmtId="0">
      <sharedItems containsBlank="1"/>
    </cacheField>
    <cacheField name="Sr. Engg Manager" numFmtId="0">
      <sharedItems containsBlank="1"/>
    </cacheField>
    <cacheField name="Engg Director" numFmtId="0">
      <sharedItems containsBlank="1" count="38">
        <s v="Arun Gangadhar"/>
        <s v="Ketan Dikshit"/>
        <s v="Vaibhav Saini"/>
        <s v="Bobby Alexander"/>
        <s v="Prakash Mohan"/>
        <s v="Damodara Reddy"/>
        <s v="Karan Jeet Singh"/>
        <s v="Fahad Tasleem"/>
        <s v="Prashant Gupta, Vraj Solanki"/>
        <s v="Anirudh Agarwal"/>
        <s v="Ambuj Mehra"/>
        <s v="Parul Jain"/>
        <s v="Saurabh Goyal"/>
        <s v="Ajay Rao"/>
        <s v="Anvesh Aileni"/>
        <s v="Arul Jothi"/>
        <s v="Ankur Agarwal"/>
        <s v="Santosh Golecha"/>
        <s v="Koyeli Dasgupta"/>
        <s v="Raghu Edalur"/>
        <s v="Vijay Kumar"/>
        <s v="Gaurav Sharma"/>
        <s v="Kapileshwar Punna"/>
        <m/>
        <s v="Satish Sallakonda"/>
        <s v="Jawahar Prasad"/>
        <s v="Ramesh Sarabu"/>
        <s v="Satyajeet Singh"/>
        <s v="Manoj Kansal"/>
        <s v="Srin Tangirala"/>
        <s v="Aditya Kolli"/>
        <s v="Bob Wagoner"/>
        <s v="Sowmya SM" u="1"/>
        <s v="Prashant Gupta" u="1"/>
        <s v="Vraj Solanki" u="1"/>
        <s v="Surya Narayanan" u="1"/>
        <s v="Raghu Ram Vengalil" u="1"/>
        <s v="Robert Manoharan" u="1"/>
      </sharedItems>
    </cacheField>
    <cacheField name="Sr. Engg Director" numFmtId="0">
      <sharedItems containsBlank="1"/>
    </cacheField>
    <cacheField name="Engg VP " numFmtId="0">
      <sharedItems containsBlank="1" count="16">
        <s v="Ved Singh"/>
        <s v="Keith Wiseman"/>
        <s v="Turker Coskun"/>
        <s v="Satish Sallakonda"/>
        <s v="Sanyam Agrawal"/>
        <s v="Raghu Edalur"/>
        <s v="Viraj Patel"/>
        <s v="Srin Tangirala"/>
        <s v="Santosh Golecha"/>
        <s v="Justin Hou"/>
        <s v="Teza Mukkavilli"/>
        <s v="Marc Stillman"/>
        <s v="Kunal Bhattacharya"/>
        <s v="Sowmya Shivalli Malliah"/>
        <m/>
        <s v="Sowmya SM" u="1"/>
      </sharedItems>
    </cacheField>
    <cacheField name="PM" numFmtId="0">
      <sharedItems containsBlank="1"/>
    </cacheField>
    <cacheField name="Manager, PM" numFmtId="0">
      <sharedItems containsBlank="1"/>
    </cacheField>
    <cacheField name="Sr. Manager, PM" numFmtId="0">
      <sharedItems containsBlank="1"/>
    </cacheField>
    <cacheField name="Product Director" numFmtId="0">
      <sharedItems containsBlank="1"/>
    </cacheField>
    <cacheField name="Sr. Product Director" numFmtId="0">
      <sharedItems containsBlank="1"/>
    </cacheField>
    <cacheField name="Product VP" numFmtId="0">
      <sharedItems containsBlank="1"/>
    </cacheField>
    <cacheField name="SDET" numFmtId="0">
      <sharedItems containsBlank="1"/>
    </cacheField>
    <cacheField name="Scrum Team" numFmtId="0">
      <sharedItems containsBlank="1"/>
    </cacheField>
    <cacheField name="PDLC Project Key" numFmtId="0">
      <sharedItems containsBlank="1"/>
    </cacheField>
    <cacheField name="TPM Assign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x v="0"/>
    <x v="0"/>
    <n v="63"/>
    <n v="126"/>
    <s v="Accounting-AP"/>
    <s v="Accounting-AP-Payments"/>
    <m/>
    <m/>
    <m/>
    <m/>
    <m/>
    <m/>
    <m/>
    <m/>
    <m/>
    <m/>
    <s v="All"/>
    <m/>
    <s v="Yash Gupta, Mudit"/>
    <m/>
    <s v="Bismah, Saanya"/>
    <s v="Abhishek Ghildiyal"/>
    <m/>
    <s v="Anil Sharma,_x000a_Shreyansh Jain,_x000a_Shreyan Kashyap,_x000a_Sainya Goyal,_x000a_Robin Jaiswal,_x000a_Yashwant Kumar,_x000a_Nitish Kumar Garg,_x000a_Parth Prajapati,_x000a_Monit Dengi,_x000a_Raja Yash Vijaykumar,_x000a_Yash Gupta"/>
    <s v="Dhanesh Sharma"/>
    <n v="0.8571428571428571"/>
    <s v="Yes"/>
    <m/>
    <x v="0"/>
    <s v="Fahad Tasleem"/>
    <m/>
    <s v="https://tekion.atlassian.net/jira/software/c/projects/ACCT/boards/9299/backlog"/>
    <s v="https://tekion.atlassian.net/issues/?filter=41805"/>
  </r>
  <r>
    <x v="0"/>
    <x v="1"/>
    <x v="0"/>
    <n v="52.5"/>
    <n v="105"/>
    <s v="Accounting-Core2"/>
    <s v="Accounting-FS"/>
    <m/>
    <m/>
    <m/>
    <m/>
    <m/>
    <m/>
    <m/>
    <m/>
    <m/>
    <m/>
    <s v="All"/>
    <m/>
    <s v="Ankita, Mudit"/>
    <m/>
    <s v="Saanya"/>
    <s v="Akilash, Elancheran"/>
    <m/>
    <s v="Shourya Kohli,_x000a_Rahul Kumar,_x000a_Akash Jain,_x000a_Aneesh Pradeep Mulay,_x000a_Pawan Harwani,_x000a_Nikhil Jha,_x000a_Sahaj Gupta,_x000a_Pagadala Narayana"/>
    <s v="Dhanesh Sharma"/>
    <n v="0.8571428571428571"/>
    <s v="Yes"/>
    <m/>
    <x v="0"/>
    <s v="Fahad Tasleem"/>
    <m/>
    <s v="https://tekion.atlassian.net/jira/software/c/projects/ACCT/boards/9296/backlog"/>
    <s v="https://tekion.atlassian.net/issues/?filter=41803"/>
  </r>
  <r>
    <x v="0"/>
    <x v="2"/>
    <x v="0"/>
    <n v="45"/>
    <n v="90"/>
    <s v="Accounting-Core"/>
    <m/>
    <m/>
    <m/>
    <m/>
    <m/>
    <m/>
    <m/>
    <m/>
    <m/>
    <m/>
    <m/>
    <s v="All"/>
    <m/>
    <s v="Mudit"/>
    <m/>
    <s v="Sourabh Sankare, Saanya"/>
    <s v="Udhaykumar S, Prathima"/>
    <m/>
    <s v="Gajji Mallikarjun,_x000a_Jyoti Sharma,_x000a_Ashu Singla,_x000a_A R Prashanth,_x000a_Kashish Sharma"/>
    <s v="Priyanshu Sinha"/>
    <n v="0.8571428571428571"/>
    <s v="Yes"/>
    <m/>
    <x v="0"/>
    <s v="Fahad Tasleem"/>
    <m/>
    <s v="https://tekion.atlassian.net/jira/software/c/projects/ACCT/boards/9294/backlog"/>
    <s v="https://tekion.atlassian.net/issues/?filter=41798"/>
  </r>
  <r>
    <x v="0"/>
    <x v="3"/>
    <x v="0"/>
    <n v="15"/>
    <n v="30"/>
    <s v="Accounting-Platform"/>
    <m/>
    <m/>
    <m/>
    <m/>
    <m/>
    <m/>
    <m/>
    <m/>
    <m/>
    <m/>
    <m/>
    <s v="All"/>
    <m/>
    <s v="Mudit"/>
    <m/>
    <s v="Fahad, Saanya"/>
    <s v="Jalu Ram"/>
    <m/>
    <s v="Akash Kumar,_x000a_Ankit Jangid,_x000a_Ayush khandelwal,_x000a_Harsh Mishra,_x000a_Rahul Kumar Singh,_x000a_Sachin Agarwal,_x000a_Kiran Tadisetti"/>
    <s v="Dhanesh Sharma"/>
    <n v="0.8571428571428571"/>
    <s v="Yes"/>
    <m/>
    <x v="0"/>
    <s v="Fahad Tasleem"/>
    <m/>
    <s v="https://tekion.atlassian.net/jira/software/c/projects/ACCT/boards/9295/backlog"/>
    <s v="https://tekion.atlassian.net/issues/?filter=41802"/>
  </r>
  <r>
    <x v="0"/>
    <x v="4"/>
    <x v="0"/>
    <n v="45"/>
    <n v="90"/>
    <s v="Accounting-AR"/>
    <m/>
    <m/>
    <m/>
    <m/>
    <m/>
    <m/>
    <m/>
    <m/>
    <m/>
    <m/>
    <m/>
    <s v="All"/>
    <m/>
    <s v="Spurthi &amp; Charu, Mudit"/>
    <m/>
    <s v="Payal Jain, Saanya"/>
    <s v="Suraj Giri"/>
    <m/>
    <s v="Yash Parashar,_x000a_Dhvanil Vadher,_x000a_Snehith Reddy Patlolla,_x000a_Pravesh Vyas,_x000a_Mahendar Singh Rathod,_x000a_Kripa Sindhu Bairagi,_x000a_Deepak Agarwal,_x000a_Charu Kulshrestha"/>
    <s v="Priyanshu Sinha"/>
    <n v="0.8571428571428571"/>
    <s v="Yes"/>
    <m/>
    <x v="0"/>
    <s v="Fahad Tasleem"/>
    <m/>
    <s v="https://tekion.atlassian.net/jira/software/c/projects/ACCT/boards/9298/backlog"/>
    <s v="https://tekion.atlassian.net/issues/?filter=41804"/>
  </r>
  <r>
    <x v="0"/>
    <x v="5"/>
    <x v="0"/>
    <n v="15"/>
    <n v="30"/>
    <s v="Accounting-VMS"/>
    <m/>
    <m/>
    <m/>
    <m/>
    <m/>
    <m/>
    <m/>
    <m/>
    <m/>
    <m/>
    <m/>
    <s v="All"/>
    <m/>
    <s v="Spurthi"/>
    <m/>
    <s v="Bismah Kiani"/>
    <s v="Abhishek Ghildiyal"/>
    <m/>
    <s v="Rohit Kumar , Anjali Taksali"/>
    <s v="Yashwant Kumar"/>
    <n v="0.8571428571428571"/>
    <s v="Yes"/>
    <m/>
    <x v="0"/>
    <s v="Fahad Tasleem"/>
    <m/>
    <m/>
    <m/>
  </r>
  <r>
    <x v="1"/>
    <x v="6"/>
    <x v="1"/>
    <n v="36"/>
    <n v="72"/>
    <s v="AEPlatform-Chat"/>
    <m/>
    <m/>
    <m/>
    <m/>
    <m/>
    <m/>
    <m/>
    <m/>
    <m/>
    <m/>
    <m/>
    <s v="All"/>
    <m/>
    <s v="Hunny Mittal"/>
    <m/>
    <s v="M Uday Kiran Reddy"/>
    <m/>
    <s v="NA"/>
    <s v="Hemant Upasak, Aniket Singh"/>
    <m/>
    <n v="0.7142857142857143"/>
    <s v="Yes"/>
    <m/>
    <x v="1"/>
    <s v="Aditya Kolli"/>
    <m/>
    <m/>
    <m/>
  </r>
  <r>
    <x v="1"/>
    <x v="7"/>
    <x v="1"/>
    <n v="36"/>
    <n v="72"/>
    <s v="AEPlatform-DR"/>
    <m/>
    <m/>
    <m/>
    <m/>
    <m/>
    <m/>
    <m/>
    <m/>
    <m/>
    <m/>
    <m/>
    <s v="All"/>
    <m/>
    <s v="Anamik Adhikary"/>
    <m/>
    <s v="M Uday Kiran Reddy"/>
    <s v="Saichandana S"/>
    <s v="NA"/>
    <s v="Arpan Pandey, Parth Tyagi, Prince Jayaseelan C, Saichandana S"/>
    <m/>
    <n v="0.8571428571428571"/>
    <s v="Yes"/>
    <m/>
    <x v="1"/>
    <s v="Aditya Kolli"/>
    <m/>
    <s v="https://tekion.atlassian.net/jira/software/c/projects/AEP/boards/14430"/>
    <s v="https://tekion.atlassian.net/issues?filter=58754"/>
  </r>
  <r>
    <x v="1"/>
    <x v="8"/>
    <x v="1"/>
    <n v="63"/>
    <n v="126"/>
    <s v="AEPlatform-Core"/>
    <s v="AEPlatform-Platform"/>
    <m/>
    <m/>
    <m/>
    <m/>
    <m/>
    <m/>
    <m/>
    <m/>
    <m/>
    <m/>
    <s v="All"/>
    <m/>
    <s v="Anamik Adhikary"/>
    <m/>
    <s v="M Uday Kiran Reddy"/>
    <s v="Ashish Bhounsle"/>
    <s v="NA"/>
    <s v="Vishesh Kumar Jyani, Aman Panwar, Aayush Maurya, Shubham Chaudhary, Ishan Dube, Sunny Chaturvedi, Ashish Bhounsle"/>
    <m/>
    <n v="0.8571428571428571"/>
    <s v="Yes"/>
    <m/>
    <x v="1"/>
    <s v="Aditya Kolli"/>
    <m/>
    <s v="https://tekion.atlassian.net/jira/software/c/projects/AEP/boards/14430"/>
    <s v="https://tekion.atlassian.net/issues?filter=58754"/>
  </r>
  <r>
    <x v="1"/>
    <x v="9"/>
    <x v="1"/>
    <n v="72"/>
    <n v="144"/>
    <s v="AEPlatform-Retail"/>
    <s v="AEPlatform-CRM"/>
    <s v="AEPlatform-eSign_Platform"/>
    <s v="AEPlatform-Galaxy"/>
    <s v="AEPlatform-FNI"/>
    <m/>
    <m/>
    <m/>
    <m/>
    <m/>
    <m/>
    <m/>
    <s v="All"/>
    <m/>
    <s v="Anamik Adhikary"/>
    <m/>
    <s v="M Uday Kiran Reddy"/>
    <m/>
    <s v="NA"/>
    <s v="Jagdish Chaudhary, Ravikant Vaishnav, Raviteja Kamalapuram, Aayush Sinha, Guhan Murugesan, Dhinesh Kumar B, Piyush Gurjar, Ravi Raj"/>
    <m/>
    <n v="0.7142857142857143"/>
    <s v="Yes"/>
    <m/>
    <x v="1"/>
    <s v="Aditya Kolli"/>
    <m/>
    <s v="https://tekion.atlassian.net/jira/software/c/projects/AEP/boards/14430"/>
    <s v="https://tekion.atlassian.net/issues?filter=58754"/>
  </r>
  <r>
    <x v="2"/>
    <x v="10"/>
    <x v="2"/>
    <n v="0"/>
    <n v="0"/>
    <s v="AI_Core-UML"/>
    <s v="AI_Core-RnD"/>
    <s v="AI_Core-Adhoc"/>
    <m/>
    <m/>
    <m/>
    <m/>
    <m/>
    <m/>
    <m/>
    <m/>
    <m/>
    <s v="All"/>
    <m/>
    <s v="No"/>
    <m/>
    <s v="No"/>
    <s v="No"/>
    <s v="No"/>
    <s v="Jagat, Sarthak, Dhruv, Rutvik,, Shubham"/>
    <s v="No"/>
    <n v="1"/>
    <s v="Yes"/>
    <m/>
    <x v="2"/>
    <s v="Satish Sallakonda"/>
    <m/>
    <s v="https://tekion.atlassian.net/jira/software/c/projects/AI/boards/13349"/>
    <s v="https://tekion.atlassian.net/issues?filter=52500"/>
  </r>
  <r>
    <x v="2"/>
    <x v="11"/>
    <x v="2"/>
    <n v="60"/>
    <n v="120"/>
    <s v="AI_Core-Sales"/>
    <s v="AI_Core-CRMPro"/>
    <s v="AI_Core-CRMBase"/>
    <m/>
    <m/>
    <m/>
    <m/>
    <m/>
    <m/>
    <m/>
    <m/>
    <m/>
    <s v="All"/>
    <m/>
    <s v="No"/>
    <m/>
    <s v="Preetiranjan"/>
    <s v="No"/>
    <s v="No"/>
    <s v="Nikhil Khetan, Shashank, Samriddh, Jagat Bhatt, Tejas, Tushar"/>
    <s v="No"/>
    <n v="1"/>
    <s v="Yes"/>
    <m/>
    <x v="2"/>
    <s v="Satish Sallakonda"/>
    <m/>
    <s v="https://tekion.atlassian.net/jira/software/c/projects/AI/boards/13348"/>
    <s v="https://tekion.atlassian.net/issues?filter=52499"/>
  </r>
  <r>
    <x v="2"/>
    <x v="12"/>
    <x v="2"/>
    <n v="30"/>
    <n v="60"/>
    <s v="AI_Core-SCP"/>
    <m/>
    <m/>
    <m/>
    <m/>
    <m/>
    <m/>
    <m/>
    <m/>
    <m/>
    <m/>
    <m/>
    <s v="All"/>
    <m/>
    <s v="No"/>
    <m/>
    <s v="No"/>
    <s v="No"/>
    <s v="No"/>
    <s v="Basavaraj , Amit Kumar Sharma"/>
    <s v="No"/>
    <n v="1"/>
    <s v="Yes"/>
    <m/>
    <x v="2"/>
    <s v="Satish Sallakonda"/>
    <m/>
    <s v="https://tekion.atlassian.net/jira/software/c/projects/AI/boards/13350"/>
    <s v="https://tekion.atlassian.net/issues?filter=52501"/>
  </r>
  <r>
    <x v="2"/>
    <x v="13"/>
    <x v="2"/>
    <n v="60"/>
    <n v="120"/>
    <s v="AI_Core-ServiceAIBDC"/>
    <s v="AI_Core-ServiceAgents"/>
    <s v="AI_Core-ServiceOutboundAI"/>
    <m/>
    <m/>
    <m/>
    <m/>
    <m/>
    <m/>
    <m/>
    <m/>
    <m/>
    <s v="All"/>
    <m/>
    <s v="No"/>
    <m/>
    <s v="Eshaan/Aniket"/>
    <s v="No"/>
    <s v="Vineeta"/>
    <s v="Rutvik, Piyush"/>
    <s v="No"/>
    <n v="1"/>
    <s v="Yes"/>
    <m/>
    <x v="2"/>
    <s v="Satish Sallakonda"/>
    <m/>
    <s v="https://tekion.atlassian.net/jira/software/c/projects/AI/boards/13347"/>
    <s v="https://tekion.atlassian.net/issues?filter=52497"/>
  </r>
  <r>
    <x v="3"/>
    <x v="14"/>
    <x v="3"/>
    <n v="87.5"/>
    <n v="175"/>
    <s v="AIBDC-Agent_Application"/>
    <s v="AIBDC-Analytics"/>
    <s v="AIBDC-ML_Platform"/>
    <s v="AIBDC-ML"/>
    <s v="AIBDC-Comms"/>
    <m/>
    <m/>
    <m/>
    <m/>
    <m/>
    <m/>
    <m/>
    <m/>
    <m/>
    <s v="Akshat Gupta"/>
    <m/>
    <s v="Ashish Kalya"/>
    <s v="NA"/>
    <s v="Tushar Gupta"/>
    <s v="Rounak Agarwal, Saptak Sengupta, Akshay Choulwar, Neeraj Prasadd, Hitesh Kumar, Shubham Choudhary"/>
    <s v="Mukesh Bansal, _x000a_Anuj Vaijapurkar"/>
    <n v="1"/>
    <s v="Yes"/>
    <m/>
    <x v="3"/>
    <s v="Ketan Dikshit"/>
    <m/>
    <s v="https://tekion.atlassian.net/jira/software/c/projects/AIB/boards/6983"/>
    <s v="https://tekion.atlassian.net/issues/?filter=38769"/>
  </r>
  <r>
    <x v="4"/>
    <x v="15"/>
    <x v="4"/>
    <n v="22.5"/>
    <n v="45"/>
    <s v="AIE_Core-UML"/>
    <s v="AIE_Core-RnD"/>
    <s v="AIE_Core-Adhoc"/>
    <s v="AIE_Core-SCP"/>
    <m/>
    <m/>
    <m/>
    <m/>
    <m/>
    <m/>
    <m/>
    <m/>
    <s v="All"/>
    <m/>
    <s v="Satyajeet Singh"/>
    <m/>
    <m/>
    <m/>
    <m/>
    <m/>
    <m/>
    <n v="0.2857142857142857"/>
    <s v="Yes"/>
    <m/>
    <x v="2"/>
    <s v="Satyajeet Singh"/>
    <m/>
    <s v="https://tekion.atlassian.net/jira/software/c/projects/AIPL/boards/13353/backlog"/>
    <s v="https://tekion.atlassian.net/issues?filter=52504"/>
  </r>
  <r>
    <x v="4"/>
    <x v="16"/>
    <x v="4"/>
    <n v="22.5"/>
    <n v="45"/>
    <s v="AIE_Core-Sales"/>
    <s v="AIE_Core-CRMPro"/>
    <s v="AIE_Core-CRMBase"/>
    <m/>
    <m/>
    <m/>
    <m/>
    <m/>
    <m/>
    <m/>
    <m/>
    <m/>
    <s v="All"/>
    <m/>
    <s v="Satyajeet Singh"/>
    <m/>
    <m/>
    <m/>
    <m/>
    <m/>
    <m/>
    <n v="0.2857142857142857"/>
    <s v="Yes"/>
    <m/>
    <x v="2"/>
    <s v="Satyajeet Singh"/>
    <m/>
    <s v="https://tekion.atlassian.net/jira/software/c/projects/AIPL/boards/13352/backlog"/>
    <s v="https://tekion.atlassian.net/issues?filter=52503"/>
  </r>
  <r>
    <x v="4"/>
    <x v="17"/>
    <x v="4"/>
    <n v="22.5"/>
    <n v="45"/>
    <s v="AIE_Core-ServiceAIBDC"/>
    <s v="AIE_Core-ServiceAgents"/>
    <s v="AIE_Core-ServiceOutboundAI"/>
    <m/>
    <m/>
    <m/>
    <m/>
    <m/>
    <m/>
    <m/>
    <m/>
    <m/>
    <s v="All"/>
    <m/>
    <s v="Satyajeet Singh"/>
    <m/>
    <s v="Aniket Chhabra"/>
    <m/>
    <m/>
    <s v="Abhishek, Sushant, Karthikeya"/>
    <m/>
    <n v="0.5714285714285714"/>
    <s v="Yes"/>
    <m/>
    <x v="2"/>
    <s v="Satyajeet Singh"/>
    <m/>
    <s v="https://tekion.atlassian.net/jira/software/c/projects/AIPL/boards/13351/backlog"/>
    <s v="https://tekion.atlassian.net/issues?filter=52502"/>
  </r>
  <r>
    <x v="5"/>
    <x v="18"/>
    <x v="4"/>
    <n v="45"/>
    <n v="90"/>
    <s v="AIE_Platform_ServiceAIBDC"/>
    <s v="AIE_Platform-ServiceAgents"/>
    <s v="AIE_Platform-Sales"/>
    <s v="AIE_Platform-CRMPro"/>
    <s v="AIE_Platform-GenAI"/>
    <s v="AIE_Platform-ClassicalML"/>
    <s v="AIE_Platform-UML"/>
    <s v="AIE_Platform-SCP"/>
    <s v="AIE_Platform-CRMBase"/>
    <s v="AIE_Platform-T1"/>
    <m/>
    <m/>
    <s v="All"/>
    <m/>
    <s v="Satyajeet Singh"/>
    <m/>
    <s v="Ashish Kalya"/>
    <m/>
    <m/>
    <s v="Harshit, Kashyap, Chitranshu, Suman, Sadiq"/>
    <m/>
    <n v="0.5714285714285714"/>
    <s v="Yes"/>
    <m/>
    <x v="2"/>
    <s v="Satyajeet Singh"/>
    <m/>
    <s v="https://tekion.atlassian.net/jira/software/c/projects/AIPL/boards/13354/backlog"/>
    <s v="https://tekion.atlassian.net/issues?filter=52505"/>
  </r>
  <r>
    <x v="6"/>
    <x v="19"/>
    <x v="5"/>
    <m/>
    <m/>
    <s v="AMC-Platform"/>
    <m/>
    <m/>
    <m/>
    <m/>
    <m/>
    <m/>
    <m/>
    <m/>
    <m/>
    <m/>
    <m/>
    <m/>
    <m/>
    <m/>
    <m/>
    <m/>
    <m/>
    <m/>
    <m/>
    <m/>
    <n v="0.14285714285714285"/>
    <m/>
    <m/>
    <x v="1"/>
    <s v="Aditya Kolli"/>
    <m/>
    <m/>
    <m/>
  </r>
  <r>
    <x v="7"/>
    <x v="20"/>
    <x v="6"/>
    <n v="112.5"/>
    <n v="225"/>
    <s v="Analytics-ARC"/>
    <s v="Analytics-Platform"/>
    <s v="Analytics-Clickstream"/>
    <s v="Analytics-Report_Builder"/>
    <s v="Analytics-2.0"/>
    <m/>
    <m/>
    <m/>
    <m/>
    <m/>
    <m/>
    <m/>
    <s v="All"/>
    <m/>
    <s v="Sushant Kumar"/>
    <m/>
    <s v="Chevviyan K"/>
    <s v="Deepak Kumar"/>
    <s v="No"/>
    <s v="Udgeeth Aggarwal, Amit Kumar, Tanushree Panpalia, Vamshi Chennoju, Aaryamaan Singh Chauhan, Karan Nainwal, Anand Kumar, Pratim Kundu, Divas Kumar, Nihar Sanjeev Kumar Srivastava, Deepan Agrawal"/>
    <s v="No"/>
    <n v="1"/>
    <s v="Yes"/>
    <m/>
    <x v="2"/>
    <s v="Venkateswarlu"/>
    <m/>
    <m/>
    <m/>
  </r>
  <r>
    <x v="8"/>
    <x v="21"/>
    <x v="7"/>
    <n v="36"/>
    <n v="72"/>
    <s v="APC-IEX"/>
    <m/>
    <m/>
    <m/>
    <m/>
    <m/>
    <m/>
    <m/>
    <m/>
    <m/>
    <m/>
    <m/>
    <s v="All"/>
    <m/>
    <s v="Pushpam V"/>
    <m/>
    <s v="Vinoth"/>
    <s v="Annie"/>
    <s v="Niranjan"/>
    <s v="Deep Gajera_x000a_Piyush Somani_x000a_Jaymeen Kachrola_x000a_Sejal Mehta_x000a_Swapnil Gupta_x000a_SivaDatta M_x000a_Sriman Narayana Kakkunur_x000a_Hari Krishna K"/>
    <s v="Mahin Agrawal"/>
    <n v="1"/>
    <s v="Yes"/>
    <m/>
    <x v="4"/>
    <s v="Vaibhav Saini"/>
    <m/>
    <s v="https://tekion.atlassian.net/jira/software/c/projects/APC/boards/9330"/>
    <s v="https://tekion.atlassian.net/issues/?filter=41867"/>
  </r>
  <r>
    <x v="8"/>
    <x v="22"/>
    <x v="7"/>
    <n v="54"/>
    <n v="108"/>
    <s v="APC-PEX"/>
    <m/>
    <m/>
    <m/>
    <m/>
    <m/>
    <m/>
    <m/>
    <m/>
    <m/>
    <m/>
    <m/>
    <s v="All"/>
    <m/>
    <s v="Pushpam V"/>
    <m/>
    <s v="Vinoth"/>
    <s v="Pavithra"/>
    <s v="Niranjan"/>
    <s v="Rupesh Khattar_x000a_Rohan Kumar Jha_x000a_Aditya Gujrati _x000a_Prashant Jakhad_x000a_ Jaydeep Kakadiya_x000a_Apurv Thakur_x000a_Vidushi Tiwari  _x000a_Jaydeep Meena"/>
    <s v="Mahin Agrawal"/>
    <n v="1"/>
    <s v="Yes"/>
    <m/>
    <x v="4"/>
    <s v="Vaibhav Saini"/>
    <m/>
    <s v="https://tekion.atlassian.net/jira/software/c/projects/APC/boards/9331"/>
    <s v="https://tekion.atlassian.net/issues/?filter=41868"/>
  </r>
  <r>
    <x v="8"/>
    <x v="23"/>
    <x v="7"/>
    <n v="54"/>
    <n v="108"/>
    <s v="APC-Cortex"/>
    <m/>
    <m/>
    <m/>
    <m/>
    <m/>
    <m/>
    <m/>
    <m/>
    <m/>
    <m/>
    <m/>
    <m/>
    <m/>
    <s v="Pushpam V"/>
    <m/>
    <s v="Vinoth"/>
    <m/>
    <m/>
    <s v="Jaymeen Kachrola_x000a_Rohan Kumar Jha_x000a_Piyush Somani_x000a_Swapnil Gupta_x000a_Vidushi Tiwari  _x000a_Sriman Narayana Kakkunuri"/>
    <s v="Mahin Agrawal"/>
    <n v="0.7142857142857143"/>
    <s v="Yes"/>
    <m/>
    <x v="4"/>
    <s v="Vaibhav Saini"/>
    <m/>
    <s v="https://tekion.atlassian.net/jira/software/c/projects/APC/boards/17459"/>
    <s v="https://tekion.atlassian.net/issues/?filter=41867"/>
  </r>
  <r>
    <x v="9"/>
    <x v="24"/>
    <x v="8"/>
    <n v="50"/>
    <n v="100"/>
    <s v="APEX-R3_DataPipelines"/>
    <s v="APEX-LD"/>
    <s v="APEX-Automations"/>
    <m/>
    <m/>
    <m/>
    <m/>
    <m/>
    <m/>
    <m/>
    <m/>
    <m/>
    <s v="All"/>
    <m/>
    <s v="Shubham Namdeo"/>
    <m/>
    <s v="Rajat Singh , TBH"/>
    <s v="Karthikeyan V"/>
    <s v="Sujitra"/>
    <s v="Shubham, Dileepkumar Reddy, Rishika Reddy, Manishkumar V"/>
    <s v="No"/>
    <n v="1"/>
    <s v="Yes"/>
    <m/>
    <x v="2"/>
    <s v="Satish Sallakonda"/>
    <m/>
    <s v="https://tekion.atlassian.net/jira/software/c/projects/APEX/boards/12148"/>
    <s v="https://tekion.atlassian.net/issues/?filter=46533"/>
  </r>
  <r>
    <x v="9"/>
    <x v="25"/>
    <x v="8"/>
    <n v="30"/>
    <n v="60"/>
    <s v="APEX-SCP"/>
    <m/>
    <m/>
    <m/>
    <m/>
    <m/>
    <m/>
    <m/>
    <m/>
    <m/>
    <m/>
    <m/>
    <s v="All"/>
    <m/>
    <s v="Karthikeyan Ponnusamy"/>
    <m/>
    <s v="Ankith NVP"/>
    <s v="Karthikeyan V"/>
    <s v="No"/>
    <s v="Bagepalli Goutham, Sivakumaaran M, Chandan R"/>
    <s v="No"/>
    <n v="1"/>
    <s v="Yes"/>
    <m/>
    <x v="2"/>
    <s v="Satish Sallakonda"/>
    <m/>
    <s v="https://tekion.atlassian.net/jira/software/c/projects/APEX/boards/12150"/>
    <s v="https://tekion.atlassian.net/issues/?filter=46535"/>
  </r>
  <r>
    <x v="9"/>
    <x v="26"/>
    <x v="8"/>
    <n v="30"/>
    <n v="60"/>
    <s v="APEX-Fees"/>
    <s v="APEX-Taxes"/>
    <m/>
    <m/>
    <m/>
    <m/>
    <m/>
    <m/>
    <m/>
    <m/>
    <m/>
    <m/>
    <s v="All"/>
    <m/>
    <s v="Saloni Khandelwal"/>
    <m/>
    <s v="Dustin Rocha"/>
    <s v="Anetthala Bhanu Prakash"/>
    <s v="Sujitra"/>
    <s v="Saloni, Yash Pareskh, TBH, TBD"/>
    <s v="No"/>
    <n v="1"/>
    <s v="Yes"/>
    <m/>
    <x v="2"/>
    <s v="Satish Sallakonda"/>
    <m/>
    <s v="https://tekion.atlassian.net/jira/software/c/projects/APEX/boards/12149"/>
    <s v="https://tekion.atlassian.net/issues/?filter=46534"/>
  </r>
  <r>
    <x v="9"/>
    <x v="27"/>
    <x v="8"/>
    <n v="60"/>
    <n v="120"/>
    <s v="APEX-VDP"/>
    <s v="APEX-R3Rewrite"/>
    <m/>
    <m/>
    <m/>
    <m/>
    <m/>
    <m/>
    <m/>
    <m/>
    <m/>
    <m/>
    <s v="All"/>
    <m/>
    <s v="Anudeep Vishwakarma"/>
    <m/>
    <s v="Akash Upadhyay, TBH"/>
    <s v="Suresha R.Y."/>
    <s v="Sujitra"/>
    <s v="Anudeep, Rohit Pandey, Pravin Kumar, Soumya Guptha"/>
    <s v="No"/>
    <n v="1"/>
    <s v="Yes"/>
    <m/>
    <x v="2"/>
    <s v="Satish Sallakonda"/>
    <m/>
    <s v="https://tekion.atlassian.net/jira/software/c/projects/APEX/boards/12147"/>
    <s v="https://tekion.atlassian.net/issues/?filter=46532"/>
  </r>
  <r>
    <x v="10"/>
    <x v="28"/>
    <x v="9"/>
    <n v="30"/>
    <n v="60"/>
    <s v="AP-Audit_Approval"/>
    <m/>
    <m/>
    <m/>
    <m/>
    <m/>
    <m/>
    <m/>
    <m/>
    <m/>
    <m/>
    <m/>
    <s v="All"/>
    <m/>
    <s v="Aditya Pandey"/>
    <m/>
    <s v="Sudeep"/>
    <s v="Shalini"/>
    <m/>
    <s v="Brighu Raina_x000a_Gurjeet Singh Dhillon_x000a_Abhishek Soni_x000a_Vaibhav Galle_x000a_Sumit Pal"/>
    <s v="Allwin S, Jayaprakash Chandrasekaran"/>
    <n v="0.8571428571428571"/>
    <s v="Yes"/>
    <m/>
    <x v="4"/>
    <s v="Vaibhav Saini"/>
    <m/>
    <s v="https://tekion.atlassian.net/jira/software/c/projects/APLT/boards/9335"/>
    <s v="https://tekion.atlassian.net/issues/?filter=41856"/>
  </r>
  <r>
    <x v="10"/>
    <x v="29"/>
    <x v="9"/>
    <n v="30"/>
    <n v="60"/>
    <s v="AP-Compliance"/>
    <m/>
    <m/>
    <m/>
    <m/>
    <m/>
    <m/>
    <m/>
    <m/>
    <m/>
    <m/>
    <m/>
    <s v="All"/>
    <m/>
    <s v="Venkatesh Naik"/>
    <m/>
    <s v="Suhas"/>
    <s v="Praveen"/>
    <m/>
    <s v="Kishan_x000a_Alka Bharti_x000a_Aman Jha"/>
    <s v="Allwin S, Jayaprakash Chandrasekaran"/>
    <n v="0.8571428571428571"/>
    <s v="Yes"/>
    <m/>
    <x v="4"/>
    <s v="Vaibhav Saini"/>
    <m/>
    <s v="https://tekion.atlassian.net/jira/software/c/projects/APLT/boards/9332"/>
    <s v="https://tekion.atlassian.net/issues/?filter=41852"/>
  </r>
  <r>
    <x v="10"/>
    <x v="30"/>
    <x v="9"/>
    <n v="26.25"/>
    <n v="52.5"/>
    <s v="AP-Config_Studio"/>
    <m/>
    <m/>
    <m/>
    <m/>
    <m/>
    <m/>
    <m/>
    <m/>
    <m/>
    <m/>
    <m/>
    <s v="All"/>
    <m/>
    <s v="Ragini Yadav"/>
    <m/>
    <s v="Vijay KB_x000a_"/>
    <s v="Deepa"/>
    <m/>
    <s v="Akshay Kanyan_x000a_Rahul Singh_x000a_Jay Prakash_x000a_Ankit Kumar (June 4th)_x000a_Rajkumar N."/>
    <s v="Allwin S, Jayaprakash Chandrasekaran"/>
    <n v="0.8571428571428571"/>
    <s v="Yes"/>
    <m/>
    <x v="4"/>
    <s v="Vaibhav Saini"/>
    <m/>
    <s v="https://tekion.atlassian.net/jira/software/c/projects/APLT/boards/9339"/>
    <s v="https://tekion.atlassian.net/issues/?filter=50021"/>
  </r>
  <r>
    <x v="10"/>
    <x v="31"/>
    <x v="9"/>
    <n v="67.5"/>
    <n v="135"/>
    <s v="AP-Enterprise"/>
    <m/>
    <m/>
    <m/>
    <m/>
    <m/>
    <m/>
    <m/>
    <m/>
    <m/>
    <m/>
    <m/>
    <s v="All"/>
    <m/>
    <s v="Aditya Pandey"/>
    <m/>
    <s v="Anshika"/>
    <s v="Shweta_x000a_Jitendra"/>
    <m/>
    <s v="Balamurugan TS_x000a_Raushan Kumar_x000a_Amar Narute_x000a_Aditya Barve_x000a_Harjeet Singh_x000a_Sukrit Akhauri_x000a_Tushar Gupta_x000a_Amit Lalwani"/>
    <s v="Allwin S, Jayaprakash Chandrasekaran"/>
    <n v="0.8571428571428571"/>
    <s v="Yes"/>
    <m/>
    <x v="4"/>
    <s v="Vaibhav Saini"/>
    <m/>
    <s v="https://tekion.atlassian.net/jira/software/c/projects/APLT/boards/9336"/>
    <s v="https://tekion.atlassian.net/issues/?filter=41858"/>
  </r>
  <r>
    <x v="10"/>
    <x v="32"/>
    <x v="9"/>
    <n v="45"/>
    <n v="90"/>
    <s v="AP-Identity_Mgt"/>
    <m/>
    <m/>
    <m/>
    <m/>
    <m/>
    <m/>
    <m/>
    <m/>
    <m/>
    <m/>
    <m/>
    <s v="All"/>
    <m/>
    <s v="Venkatesh Naik"/>
    <m/>
    <s v="Anshika"/>
    <s v="Ratnadeep Das"/>
    <s v="Sougata"/>
    <s v="Sarthak Yadav_x000a_Harsh Rawat_x000a_Satyam Kumar_x000a_Dhanush P M Naik_x000a_Vaibhav Tomar"/>
    <s v="Allwin S, Jayaprakash Chandrasekaran"/>
    <n v="1"/>
    <s v="Yes"/>
    <m/>
    <x v="4"/>
    <s v="Vaibhav Saini"/>
    <m/>
    <s v="https://tekion.atlassian.net/jira/software/c/projects/APLT/boards/13836"/>
    <s v="https://tekion.atlassian.net/issues/?filter=55293"/>
  </r>
  <r>
    <x v="10"/>
    <x v="33"/>
    <x v="9"/>
    <n v="26.25"/>
    <n v="52.5"/>
    <s v="AP-Printers_Scanners"/>
    <m/>
    <m/>
    <m/>
    <m/>
    <m/>
    <m/>
    <m/>
    <m/>
    <m/>
    <m/>
    <m/>
    <s v="All"/>
    <m/>
    <s v="Priyansu Singh"/>
    <m/>
    <s v="Lohith"/>
    <s v="Deepa"/>
    <m/>
    <s v="Viraj Patel_x000a_Raghu Ram Reddy T_x000a_Anand Pandey_x000a_Sagar Kumar_x000a_Fareha Shakoor"/>
    <s v="Allwin S, Jayaprakash Chandrasekaran"/>
    <n v="0.8571428571428571"/>
    <s v="Yes"/>
    <m/>
    <x v="4"/>
    <s v="Vaibhav Saini"/>
    <m/>
    <s v="https://tekion.atlassian.net/jira/software/c/projects/APLT/boards/9338"/>
    <s v="https://tekion.atlassian.net/issues/?filter=41860"/>
  </r>
  <r>
    <x v="10"/>
    <x v="34"/>
    <x v="9"/>
    <n v="37.5"/>
    <n v="75"/>
    <s v="AP-Workflow_Engine"/>
    <m/>
    <m/>
    <m/>
    <m/>
    <m/>
    <m/>
    <m/>
    <m/>
    <m/>
    <m/>
    <m/>
    <s v="All"/>
    <m/>
    <s v="Priyansu Singh"/>
    <m/>
    <s v="Shwetha Sundarraj"/>
    <s v="Maria"/>
    <m/>
    <s v="Chandra Mouli Gupta_x000a_Robin Thomas_x000a_Riya Varyani_x000a_Aman kumar Jaiswal_x000a_Khushi mittal"/>
    <s v="Allwin S, Jayaprakash Chandrasekaran"/>
    <n v="0.8571428571428571"/>
    <s v="Yes"/>
    <m/>
    <x v="4"/>
    <s v="Vaibhav Saini"/>
    <m/>
    <s v="https://tekion.atlassian.net/jira/software/c/projects/APLT/boards/9337"/>
    <s v="https://tekion.atlassian.net/issues/?filter=51612"/>
  </r>
  <r>
    <x v="11"/>
    <x v="35"/>
    <x v="10"/>
    <n v="45"/>
    <n v="90"/>
    <s v="ARCIntegration-Accounting"/>
    <s v="ARCIntegration-Core"/>
    <s v="ARCIntegration-F&amp;I"/>
    <s v="ARCIntegration-Payroll&amp;Cashiering"/>
    <s v="ARCIntegration-CreditApp&amp;eContracting"/>
    <m/>
    <m/>
    <m/>
    <m/>
    <m/>
    <m/>
    <m/>
    <s v="All"/>
    <m/>
    <s v="Shreya Prakash/_x000a_Raghavendra Pai"/>
    <m/>
    <s v="Credit App - Anandharaman Pattabiraman,_x000a_FNI - Dinesh Kumar Kanakala,_x000a_Accounting - Sanya Singh,_x000a_Core - Prem Bihari,_x000a_Payments - Kumar Gaurav,_x000a_Payroll - Glen Joseph"/>
    <s v="Teja Sree,_x000a_Automation QA - 1"/>
    <s v="No"/>
    <s v="Vignesh Kirubanandam,_x000a_Miral Pareshkumar Modi,_x000a_Aarnav Rastogi,_x000a_Gopal Singh,_x000a_Vidhika Sirwani,_x000a_Abhijit Mohapatra,_x000a_Contractor - 5,_x000a_Software Engineer I - 1"/>
    <s v="No"/>
    <n v="1"/>
    <s v="Yes"/>
    <m/>
    <x v="2"/>
    <s v="Prakash Mohan"/>
    <m/>
    <s v="INTG05-Credit &amp; FNI Integrations - Backlog - JIRA"/>
    <s v="https://tekion.atlassian.net/issues/?filter=45268"/>
  </r>
  <r>
    <x v="11"/>
    <x v="36"/>
    <x v="10"/>
    <n v="45"/>
    <n v="90"/>
    <s v="ARCIntegration-Service"/>
    <m/>
    <m/>
    <m/>
    <m/>
    <m/>
    <m/>
    <m/>
    <m/>
    <m/>
    <m/>
    <m/>
    <s v="US &amp; others except UK &amp; CA"/>
    <m/>
    <s v="Nitesh Kumar/_x000a_D M Raj Karthick"/>
    <m/>
    <s v="Rishabh Dassani"/>
    <s v="Adnan Khan,_x000a_Automation QA - 3"/>
    <s v="No"/>
    <s v="Abhishek Tiwari,_x000a_Staff Engineer - 2,_x000a_Anil Sitharam Thappa,_x000a_Bijan Kumar Dey,_x000a_Barkha Rander,_x000a_Richa Dixit,_x000a_Rohan Raj David,_x000a_Sai Abhinash Hanuman"/>
    <s v="No"/>
    <n v="1"/>
    <s v="Yes"/>
    <m/>
    <x v="2"/>
    <s v="Prakash Mohan"/>
    <m/>
    <s v="INTG06-FixedOps Integration 1 - Backlog - JIRA"/>
    <s v="https://tekion.atlassian.net/issues/?filter=45271"/>
  </r>
  <r>
    <x v="11"/>
    <x v="37"/>
    <x v="10"/>
    <n v="30"/>
    <n v="60"/>
    <s v="ARCIntegration-Service"/>
    <m/>
    <m/>
    <m/>
    <m/>
    <m/>
    <m/>
    <m/>
    <m/>
    <m/>
    <m/>
    <m/>
    <s v="ARC UK &amp; ARC Canada"/>
    <m/>
    <s v="Nitesh Kumar/_x000a_D M Raj Karthick"/>
    <m/>
    <s v="Rishabh Dassani"/>
    <s v="Shreya Mohan"/>
    <s v="No"/>
    <s v="Sounderyan Baluswamy,_x000a_Biswajit,_x000a_Mukesh Gupta,_x000a_D Ganesh,_x000a_Harshit Tiwari,_x000a_Contractor - 4,_x000a_Contractor - 2"/>
    <s v="No"/>
    <n v="1"/>
    <s v="Yes"/>
    <m/>
    <x v="2"/>
    <s v="Prakash Mohan"/>
    <m/>
    <s v="INTG07-FixedOps Integration 2 - Backlog - JIRA"/>
    <s v="https://tekion.atlassian.net/issues/?filter=45272"/>
  </r>
  <r>
    <x v="11"/>
    <x v="38"/>
    <x v="10"/>
    <n v="30"/>
    <n v="60"/>
    <s v="ARCIntegration-Parts"/>
    <m/>
    <m/>
    <m/>
    <m/>
    <m/>
    <m/>
    <m/>
    <m/>
    <m/>
    <m/>
    <m/>
    <s v="All"/>
    <m/>
    <s v="Paviyarasu Vetrivel/_x000a_D M Raj Karthick"/>
    <m/>
    <s v="Parts: Uday Wadhera,_x000a_Service: Rishabh Dassani"/>
    <s v="Vinay K C"/>
    <s v="No"/>
    <s v="Narasimha Vineeth,_x000a_NItesh Soni,_x000a_Gyanenjay Rout,_x000a_Yeshwanth Babu,_x000a_Mohanraj B,_x000a_Senior Software Engineer - 1"/>
    <s v="No"/>
    <n v="1"/>
    <s v="Yes"/>
    <m/>
    <x v="2"/>
    <s v="Prakash Mohan"/>
    <m/>
    <s v="INTG08-FixedOps Integration 3 - Backlog - JIRA"/>
    <s v="https://tekion.atlassian.net/issues/?filter=45273"/>
  </r>
  <r>
    <x v="11"/>
    <x v="39"/>
    <x v="10"/>
    <n v="60"/>
    <n v="120"/>
    <s v="ARCIntegration-Platform"/>
    <s v="ARCIntegration-SRE"/>
    <m/>
    <m/>
    <m/>
    <m/>
    <m/>
    <m/>
    <m/>
    <m/>
    <m/>
    <m/>
    <s v="All"/>
    <m/>
    <s v="Rohan Kumar Sinha/_x000a_DM Raj Karthick"/>
    <m/>
    <s v="Arjun Rajeev"/>
    <s v="Dhananjaya J,_x000a_Automation QA - 2"/>
    <s v="No"/>
    <s v="Akshat Agarwal,_x000a_Sambram HR,_x000a_Naveen K,_x000a_Lawrence Lee,_x000a_Anil Kumar,_x000a_Nitin Mathew,_x000a_Pranav Goswami,_x000a_Archit Saxena,_x000a_Harshdeep Dhiman,_x000a_Contractor - 1,_x000a_Software Engineer II - 1"/>
    <s v="No"/>
    <n v="1"/>
    <s v="Yes"/>
    <m/>
    <x v="2"/>
    <s v="Prakash Mohan"/>
    <m/>
    <s v="INTG02-Platform Integrations - Backlog - JIRA"/>
    <s v="https://tekion.atlassian.net/issues/?filter=45265"/>
  </r>
  <r>
    <x v="11"/>
    <x v="40"/>
    <x v="10"/>
    <n v="45"/>
    <n v="90"/>
    <s v="ARCIntegration-Retail"/>
    <m/>
    <m/>
    <m/>
    <m/>
    <m/>
    <m/>
    <m/>
    <m/>
    <m/>
    <m/>
    <m/>
    <s v="All"/>
    <m/>
    <s v="Rajat Thapliyal/_x000a_Raghavendra Pai"/>
    <m/>
    <s v="Ravi Ranjan Pandey"/>
    <s v="Suchithra M L"/>
    <s v="No"/>
    <s v="Sourabh Kumar,_x000a_Abhishek Upadhyay,_x000a_Gourav Bhosle,_x000a_Dikshant Lutra,_x000a_Sumanth Vemula,_x000a_Naresh Malle"/>
    <s v="No"/>
    <n v="1"/>
    <s v="Yes"/>
    <m/>
    <x v="2"/>
    <s v="Prakash Mohan"/>
    <m/>
    <s v="INTG03-Retail Integration 1 - Backlog - JIRA"/>
    <s v="https://tekion.atlassian.net/issues/?filter=45266"/>
  </r>
  <r>
    <x v="11"/>
    <x v="41"/>
    <x v="10"/>
    <n v="30"/>
    <n v="60"/>
    <s v="ARCIntegration-CRM"/>
    <s v="ARCIntegration-DRS"/>
    <s v="ARCIntegration-Comms"/>
    <m/>
    <m/>
    <m/>
    <m/>
    <m/>
    <m/>
    <m/>
    <m/>
    <m/>
    <s v="All"/>
    <m/>
    <s v="Rajat Thapliyal/_x000a_Raghavendra Pai"/>
    <m/>
    <s v="Siddharth Bountra"/>
    <s v="Moorthy C"/>
    <s v="No"/>
    <s v="_x000a_Staff Software Engineer - 1,_x000a_Senior Software Engineer - 3,_x000a_Manoj Kumawat,_x000a_Khushi Gupta,_x000a_Satish K,_x000a_Contractor - 3"/>
    <s v="No"/>
    <n v="1"/>
    <s v="Yes"/>
    <m/>
    <x v="2"/>
    <s v="Prakash Mohan"/>
    <m/>
    <s v="INTG04-Retail Integration 2 - Backlog - JIRA"/>
    <s v="https://tekion.atlassian.net/issues/?filter=45267"/>
  </r>
  <r>
    <x v="12"/>
    <x v="42"/>
    <x v="11"/>
    <n v="77.5"/>
    <n v="155"/>
    <s v="Campaign-Core"/>
    <s v="CRM-Reports"/>
    <s v="CRM-Dashboards"/>
    <m/>
    <m/>
    <m/>
    <m/>
    <m/>
    <m/>
    <m/>
    <m/>
    <m/>
    <s v="All"/>
    <m/>
    <s v="Nawaz Baba"/>
    <m/>
    <s v="Rashmi Prakash"/>
    <s v="Komala"/>
    <s v="Vanitha Sushma"/>
    <m/>
    <s v="Gaurav Garg"/>
    <n v="0.8571428571428571"/>
    <s v="Yes"/>
    <m/>
    <x v="3"/>
    <s v="Arun Gangadhar"/>
    <m/>
    <s v="https://tekion.atlassian.net/jira/software/c/projects/CRM/boards/7005"/>
    <s v="https://tekion.atlassian.net/issues/?filter=38783"/>
  </r>
  <r>
    <x v="13"/>
    <x v="43"/>
    <x v="12"/>
    <n v="34"/>
    <n v="68"/>
    <s v="Cashiering"/>
    <m/>
    <m/>
    <m/>
    <m/>
    <m/>
    <m/>
    <m/>
    <m/>
    <m/>
    <m/>
    <m/>
    <s v="All"/>
    <m/>
    <s v="Ujjawal"/>
    <m/>
    <s v="Babu Pasupathy, Kumar Gaurav, Jeeth Jose"/>
    <s v="Jagadish M, Shobhit Bhushan"/>
    <s v="Kishore S, Gokul Jayabalan"/>
    <s v="Tushar Mahawar, Yogesh Jaiswal"/>
    <s v="Dhanesh Sharma"/>
    <n v="1"/>
    <s v="Yes"/>
    <m/>
    <x v="0"/>
    <s v="Fahad Tasleem"/>
    <m/>
    <s v="https://tekion.atlassian.net/jira/software/c/projects/SERV/boards/11414/backlog"/>
    <s v="https://tekion.atlassian.net/issues?filter=44437"/>
  </r>
  <r>
    <x v="14"/>
    <x v="44"/>
    <x v="13"/>
    <n v="85"/>
    <n v="170"/>
    <s v="Communication-App_Experience"/>
    <s v="Communication-Platform"/>
    <s v="Communication-AI_Chat"/>
    <m/>
    <m/>
    <m/>
    <m/>
    <m/>
    <m/>
    <m/>
    <m/>
    <m/>
    <m/>
    <m/>
    <s v="Mukesh Bansal"/>
    <m/>
    <s v="Avin Jain"/>
    <s v="Ram Sunkara"/>
    <s v="NA"/>
    <m/>
    <m/>
    <n v="0.7142857142857143"/>
    <s v="Yes"/>
    <m/>
    <x v="3"/>
    <s v="Ketan Dixit"/>
    <m/>
    <s v="https://tekion.atlassian.net/projects/COMM"/>
    <s v="https://tekion.atlassian.net/issues?filter=51541"/>
  </r>
  <r>
    <x v="15"/>
    <x v="45"/>
    <x v="11"/>
    <n v="40"/>
    <n v="80"/>
    <s v="CRM-Migration"/>
    <m/>
    <m/>
    <m/>
    <m/>
    <m/>
    <m/>
    <m/>
    <m/>
    <m/>
    <m/>
    <m/>
    <s v="All"/>
    <m/>
    <s v="Mani T"/>
    <m/>
    <s v="Rashmi Prakash"/>
    <s v="Komala"/>
    <s v="Vanitha Sushma"/>
    <m/>
    <s v="Gaurav Garg"/>
    <n v="0.8571428571428571"/>
    <s v="Yes"/>
    <m/>
    <x v="3"/>
    <s v="Arun Gangadhar"/>
    <m/>
    <s v="https://tekion.atlassian.net/jira/software/c/projects/CRM/boards/6999"/>
    <s v="https://tekion.atlassian.net/issues/?filter=38777"/>
  </r>
  <r>
    <x v="15"/>
    <x v="46"/>
    <x v="11"/>
    <n v="95"/>
    <n v="190"/>
    <s v="CRM-Mobile"/>
    <s v="CRM-Retail_Mobile"/>
    <s v="CRM-AI"/>
    <s v="CRM-Sales_AI"/>
    <s v="CRM-Pro"/>
    <m/>
    <m/>
    <m/>
    <m/>
    <m/>
    <m/>
    <m/>
    <s v="All"/>
    <m/>
    <s v="Mani T"/>
    <m/>
    <s v="Rashmi Prakash"/>
    <s v="Komala"/>
    <s v="Vanitha Sushma"/>
    <m/>
    <s v="Gaurav Garg"/>
    <n v="0.8571428571428571"/>
    <s v="Yes"/>
    <m/>
    <x v="3"/>
    <s v="Arun Gangadhar"/>
    <m/>
    <s v="https://tekion.atlassian.net/jira/software/c/projects/CRM/boards/7002"/>
    <s v="https://tekion.atlassian.net/issues?filter=38780"/>
  </r>
  <r>
    <x v="15"/>
    <x v="47"/>
    <x v="11"/>
    <n v="87.5"/>
    <n v="175"/>
    <s v="CRM-Compliance"/>
    <s v="CRM-Appointment"/>
    <s v="CRM-Task"/>
    <m/>
    <m/>
    <m/>
    <m/>
    <m/>
    <m/>
    <m/>
    <m/>
    <m/>
    <s v="All"/>
    <m/>
    <s v="Jyothi Vejju"/>
    <m/>
    <s v="Rashmi Prakash"/>
    <s v="Komala"/>
    <s v="Vanitha Sushma"/>
    <s v="Parmar Vrushin Ashik, Shikhar Goel, Aman Bharti, Manish Kumar Rai, Falak Sharma, Dipu Saha, Malhaar Deepan Thakore"/>
    <s v="Gaurav Garg"/>
    <n v="1"/>
    <s v="Yes"/>
    <m/>
    <x v="3"/>
    <s v="Arun Gangadhar"/>
    <m/>
    <s v="https://tekion.atlassian.net/jira/software/c/projects/CRM/boards/6997"/>
    <s v="https://tekion.atlassian.net/issues/?filter=52077"/>
  </r>
  <r>
    <x v="15"/>
    <x v="48"/>
    <x v="11"/>
    <n v="75"/>
    <n v="150"/>
    <s v="CRM-Leads"/>
    <s v="CRM-Lead_Assignment"/>
    <m/>
    <m/>
    <m/>
    <m/>
    <m/>
    <m/>
    <m/>
    <m/>
    <m/>
    <m/>
    <s v="All"/>
    <m/>
    <s v="Nitesh Khadanga"/>
    <m/>
    <s v="Rashmi Prakash"/>
    <s v="Komala"/>
    <s v="Vanitha Sushma"/>
    <m/>
    <s v="Gaurav Garg"/>
    <n v="0.8571428571428571"/>
    <s v="Yes"/>
    <m/>
    <x v="3"/>
    <s v="Arun Gangadhar"/>
    <m/>
    <s v="https://tekion.atlassian.net/jira/software/c/projects/CRM/boards/6996"/>
    <s v="https://tekion.atlassian.net/issues/?filter=38772"/>
  </r>
  <r>
    <x v="15"/>
    <x v="49"/>
    <x v="11"/>
    <n v="40"/>
    <n v="80"/>
    <s v="CRM-CMS"/>
    <m/>
    <m/>
    <m/>
    <m/>
    <m/>
    <m/>
    <m/>
    <m/>
    <m/>
    <m/>
    <m/>
    <m/>
    <m/>
    <s v="Siddharth Gaur"/>
    <m/>
    <m/>
    <m/>
    <m/>
    <m/>
    <m/>
    <m/>
    <m/>
    <m/>
    <x v="3"/>
    <s v="Arun Gangadhar"/>
    <m/>
    <m/>
    <m/>
  </r>
  <r>
    <x v="15"/>
    <x v="50"/>
    <x v="11"/>
    <n v="27.5"/>
    <n v="55"/>
    <s v="CRM-CDM"/>
    <m/>
    <m/>
    <m/>
    <m/>
    <m/>
    <m/>
    <m/>
    <m/>
    <m/>
    <m/>
    <m/>
    <m/>
    <m/>
    <s v="Siddharth Gaur"/>
    <m/>
    <m/>
    <m/>
    <m/>
    <m/>
    <m/>
    <m/>
    <m/>
    <m/>
    <x v="3"/>
    <s v="Arun Gangadhar"/>
    <m/>
    <m/>
    <m/>
  </r>
  <r>
    <x v="16"/>
    <x v="51"/>
    <x v="14"/>
    <n v="37.5"/>
    <n v="75"/>
    <s v="DataPlatform-Analytics"/>
    <m/>
    <m/>
    <m/>
    <m/>
    <m/>
    <m/>
    <m/>
    <m/>
    <m/>
    <m/>
    <m/>
    <s v="All"/>
    <m/>
    <s v="Ajay Rao / Ashish Kumar Prasad"/>
    <m/>
    <s v="Chevviyan K / Surya Vikram"/>
    <s v="No"/>
    <s v="No"/>
    <s v="Munagala Snehit; Kashyap Daxini; Nidhi Swami; Shridhan Mahaveer Latthe; Divya Anand"/>
    <s v="No"/>
    <n v="1"/>
    <s v="Yes"/>
    <m/>
    <x v="2"/>
    <s v="Ajay Rao"/>
    <m/>
    <s v="DPLT04-Data Analytics - Backlog - JIRA"/>
    <s v="https://tekion.atlassian.net/issues/?filter=42937"/>
  </r>
  <r>
    <x v="16"/>
    <x v="52"/>
    <x v="14"/>
    <n v="67.5"/>
    <n v="135"/>
    <s v="DataPlatform-DCP"/>
    <s v="DataPlatform-ADM"/>
    <s v="DataPlatform-CDM"/>
    <s v="DataPlatform-RB"/>
    <s v="DataPlatform-FC"/>
    <m/>
    <m/>
    <m/>
    <m/>
    <m/>
    <m/>
    <m/>
    <s v="All"/>
    <m/>
    <s v="Ajay Rao / Saurav Rawat / Gyan Ranjan"/>
    <m/>
    <s v="Chevviyan K / Surya Vikram"/>
    <s v="Sasidharan Ravi"/>
    <s v="No"/>
    <s v="Vaishnavi Chakka; Sharan Chiniwar; Shantanu Tripathi; Sanskar Agarwal; P Vishnu Tej; Darshi Gupta; Shivam Kumar; Pragya Singh; Nikhar Mahendraa"/>
    <s v="Sasidhar Janne"/>
    <n v="1"/>
    <s v="Yes"/>
    <m/>
    <x v="2"/>
    <s v="Ajay Rao"/>
    <m/>
    <s v="DPLT03-Data Intelligence - Backlog - JIRA"/>
    <s v="https://tekion.atlassian.net/issues/?filter=42935"/>
  </r>
  <r>
    <x v="16"/>
    <x v="53"/>
    <x v="14"/>
    <n v="30"/>
    <n v="60"/>
    <s v="DataPlatform-Ingestion"/>
    <s v="DataPlatform-Platform"/>
    <s v="DataPlatform-Serving"/>
    <m/>
    <m/>
    <m/>
    <m/>
    <m/>
    <m/>
    <m/>
    <m/>
    <m/>
    <s v="All"/>
    <m/>
    <s v="Ajay Rao / Dyanesh Varun; Ishan Koul"/>
    <m/>
    <s v="No"/>
    <s v="No"/>
    <s v="No"/>
    <s v=" Prasadh S; Aditya Pandey; Shrvan Warke; Harshalkumar Markana; Ashutosh Sah; Staline Edson D souza; Kalash Kalwani; S Bharath Reddy"/>
    <s v="Vinay K L "/>
    <n v="1"/>
    <s v="Yes"/>
    <m/>
    <x v="2"/>
    <s v="Ajay Rao"/>
    <m/>
    <s v="DPLT02-Data Platform - Backlog - JIRA"/>
    <s v="https://tekion.atlassian.net/issues/?filter=42934"/>
  </r>
  <r>
    <x v="17"/>
    <x v="54"/>
    <x v="15"/>
    <n v="171"/>
    <n v="342"/>
    <s v="DR-Secure_Checkout"/>
    <s v="DR-Legacy"/>
    <m/>
    <m/>
    <m/>
    <m/>
    <m/>
    <m/>
    <m/>
    <m/>
    <m/>
    <m/>
    <s v="All"/>
    <m/>
    <s v="Muralidhar Devanga Karna"/>
    <m/>
    <s v="Nirmal Sajo Thomas"/>
    <s v="Ram Sunkara"/>
    <m/>
    <s v="Chinna, Vedant, Pavitra, Nikhil Gupta, Rohit, Uma Maheshwari      "/>
    <s v="Gaurav Raj"/>
    <n v="0.8571428571428571"/>
    <s v="Yes"/>
    <m/>
    <x v="3"/>
    <s v="Ketan Dikshit"/>
    <m/>
    <s v="https://tekion.atlassian.net/jira/software/c/projects/DGRT/boards/9341/backlog"/>
    <s v="https://tekion.atlassian.net/issues/?filter=41870"/>
  </r>
  <r>
    <x v="17"/>
    <x v="55"/>
    <x v="15"/>
    <n v="67.5"/>
    <n v="135"/>
    <s v="DR-SRCHAT"/>
    <m/>
    <m/>
    <m/>
    <m/>
    <m/>
    <m/>
    <m/>
    <m/>
    <m/>
    <m/>
    <m/>
    <s v="All"/>
    <m/>
    <s v="Akshay Champavat"/>
    <m/>
    <s v="Abhinav Wagadre"/>
    <s v="Ram Sunkara"/>
    <m/>
    <s v="Prakhar Mittal, Deepak Suthar, Mohit Solanki, Apurva Nigam, Anup Sahu"/>
    <m/>
    <m/>
    <s v="Yes"/>
    <m/>
    <x v="3"/>
    <s v="Ketan Dikshit"/>
    <m/>
    <s v="https://tekion.atlassian.net/jira/software/c/projects/DGRT/boards/16128"/>
    <s v=" https://tekion.atlassian.net/issues/?filter=64350"/>
  </r>
  <r>
    <x v="17"/>
    <x v="56"/>
    <x v="15"/>
    <n v="0"/>
    <n v="0"/>
    <s v="DR-AEC_Studio"/>
    <s v="DR-AEC_Website_Setup"/>
    <m/>
    <m/>
    <m/>
    <m/>
    <m/>
    <m/>
    <m/>
    <m/>
    <m/>
    <m/>
    <s v="All"/>
    <m/>
    <s v="Akshay Champavat"/>
    <m/>
    <s v="Aishwarya Dwivedi"/>
    <s v="Ram Sunkara"/>
    <m/>
    <s v="Sanku Rushyender Reddy, Vignesh, Ridham, Pavitra, Aman Yadav, Aman Sinha, Naveen, Shreyansh                "/>
    <s v="Gaurav Raj"/>
    <n v="0.8571428571428571"/>
    <s v="Yes"/>
    <m/>
    <x v="3"/>
    <s v="Ketan Dikshit"/>
    <m/>
    <s v="https://tekion.atlassian.net/jira/software/c/projects/DGRT/boards/9340/backlog"/>
    <s v="https://tekion.atlassian.net/issues/?filter=41869"/>
  </r>
  <r>
    <x v="18"/>
    <x v="57"/>
    <x v="16"/>
    <n v="52.5"/>
    <n v="105"/>
    <s v="DR_GM-Chat_Integration"/>
    <s v="DR_GM-3rd_Party_Chat_Integration"/>
    <m/>
    <m/>
    <m/>
    <m/>
    <m/>
    <m/>
    <m/>
    <m/>
    <m/>
    <m/>
    <s v="All"/>
    <m/>
    <s v="Rahul Kumar"/>
    <m/>
    <s v="Simran L"/>
    <s v="Maheshprasad GK ​"/>
    <s v="Ashwin Dinesh"/>
    <s v="1.Gayathri ​_x000a_2.Pravin​_x000a_3.Nirmesh Bansal​_x000a__x000a_4. Soham Ghosh "/>
    <s v="Sarthak"/>
    <n v="1"/>
    <s v="No"/>
    <m/>
    <x v="1"/>
    <s v="Manoj Kansal"/>
    <m/>
    <m/>
    <m/>
  </r>
  <r>
    <x v="18"/>
    <x v="58"/>
    <x v="16"/>
    <n v="52.5"/>
    <n v="105"/>
    <s v="DR_GM-AEO_GEO"/>
    <m/>
    <m/>
    <m/>
    <m/>
    <m/>
    <m/>
    <m/>
    <m/>
    <m/>
    <m/>
    <m/>
    <s v="All"/>
    <m/>
    <m/>
    <m/>
    <s v="Sasi Sekaran Chandra Leela​,Marichetty Vaibhav​,_x000a_Mohammad Furqan Mir"/>
    <s v="Joyston Felix Frenandes​, Anju Haridas"/>
    <s v="Ashwin Dinesh"/>
    <s v="Gautam Kumar​_x000a__x000a_Shivam Rathore​_x000a__x000a_Mayank Saini​_x000a__x000a_Sushant Pandey​_x000a__x000a_Vikram Sangat​_x000a__x000a_Shreyas Babaladi​_x000a__x000a_Shravan Tandel​_x000a__x000a_Nithish S"/>
    <s v="Sarthak"/>
    <n v="0.8571428571428571"/>
    <s v="No"/>
    <m/>
    <x v="1"/>
    <s v="Manoj Kansal"/>
    <m/>
    <m/>
    <m/>
  </r>
  <r>
    <x v="18"/>
    <x v="59"/>
    <x v="16"/>
    <n v="60"/>
    <n v="120"/>
    <s v="DR_GM-Configurator"/>
    <s v="DR_GM-WebsiteSetup"/>
    <m/>
    <m/>
    <m/>
    <m/>
    <m/>
    <m/>
    <m/>
    <m/>
    <m/>
    <m/>
    <s v="All"/>
    <m/>
    <s v="Naveen S"/>
    <m/>
    <s v="Furquan Mir"/>
    <s v="Arpitha Salian"/>
    <s v="Ashwin Dinesh"/>
    <s v="Akshay Kumar Gupta_x000a_Prathamesh P_x000a_Venkatesh K_x000a_Mukul Saini_x000a_Akash Jha_x000a_Priya Parmar_x000a_Ashish Kumar_x000a_Vivek Lambhi"/>
    <s v="Pratik"/>
    <n v="1"/>
    <s v="No"/>
    <m/>
    <x v="1"/>
    <s v="Manoj Kansal"/>
    <m/>
    <m/>
    <m/>
  </r>
  <r>
    <x v="18"/>
    <x v="60"/>
    <x v="16"/>
    <n v="37.5"/>
    <n v="75"/>
    <s v="DR_GM-Ingestion_Discovery"/>
    <m/>
    <m/>
    <m/>
    <m/>
    <m/>
    <m/>
    <m/>
    <m/>
    <m/>
    <m/>
    <m/>
    <s v="All"/>
    <m/>
    <s v="Ankur Jain"/>
    <m/>
    <s v="Ankur Priyan"/>
    <s v="Rishabh Jain"/>
    <s v="Ashwin Dinesh"/>
    <s v="Rajat Wadhwa_x000a_Surender Saharan_x000a_Aditya Daipuria_x000a_Sonik N_x000a_Shreyash Acharya_x000a_Yogesh Kumar Dhruw"/>
    <s v="Pratik"/>
    <n v="1"/>
    <s v="No"/>
    <m/>
    <x v="1"/>
    <s v="Manoj Kansal"/>
    <m/>
    <m/>
    <m/>
  </r>
  <r>
    <x v="18"/>
    <x v="61"/>
    <x v="16"/>
    <n v="52.5"/>
    <n v="105"/>
    <s v="DR_GM-CustomApps_IC"/>
    <s v="DR_GM-CustomApps_VI"/>
    <s v="DR_GM-CustomApps_CS"/>
    <s v="DR_GM-CustomApps_Setups"/>
    <s v="DR_GM-SC_IC_VI"/>
    <s v="DR_GM-SC_F&amp;I_Forms"/>
    <s v="DR_GM-SC_Pricing"/>
    <s v="DR_GM-SC_Deals"/>
    <m/>
    <m/>
    <m/>
    <m/>
    <s v="All"/>
    <m/>
    <s v="Balaji T"/>
    <m/>
    <s v="Vaibhav "/>
    <s v="Abhimanyu Singh​"/>
    <s v="Ashwin Dinesh"/>
    <s v="1.Sireesha V​_x000a_2. Divyanshu T​_x000a_3. Kulin G​_x000a_4. Leelavathi S​_x000a_5. Ananth P"/>
    <s v="Sarthak"/>
    <n v="1"/>
    <s v="No"/>
    <m/>
    <x v="1"/>
    <s v="Manoj Kansal"/>
    <m/>
    <m/>
    <m/>
  </r>
  <r>
    <x v="18"/>
    <x v="62"/>
    <x v="16"/>
    <n v="75"/>
    <n v="150"/>
    <s v="DR_GM-Int_V1"/>
    <s v="DR_GM-Int_V2"/>
    <s v="DR_GM-DRP_Integrations"/>
    <m/>
    <m/>
    <m/>
    <m/>
    <m/>
    <m/>
    <m/>
    <m/>
    <m/>
    <s v="All"/>
    <m/>
    <s v="Rahul Kumar"/>
    <m/>
    <s v="Simran L, Abhi T"/>
    <s v="Maheshprasad GK ​"/>
    <s v="Ashwin Dinesh"/>
    <s v="1.Pravin Kumar​_x000a_2.Sadhu Lakshmi​_x000a_3. Keshav V ​_x000a_4. Keshav Nowahar​_x000a_5. Harshvardan Tiwari "/>
    <s v="Pratik"/>
    <n v="1"/>
    <s v="No"/>
    <m/>
    <x v="1"/>
    <s v="Manoj Kansal"/>
    <m/>
    <m/>
    <m/>
  </r>
  <r>
    <x v="18"/>
    <x v="63"/>
    <x v="16"/>
    <n v="52.5"/>
    <n v="105"/>
    <s v="DR_GM-Myaccounts"/>
    <s v="DR_GM-Appointments"/>
    <m/>
    <m/>
    <m/>
    <m/>
    <m/>
    <m/>
    <m/>
    <m/>
    <m/>
    <m/>
    <s v="All"/>
    <m/>
    <s v="Shubham Raghuwanshi"/>
    <m/>
    <s v="Ankur Priyan"/>
    <s v="Kavitha"/>
    <s v="Ashwin Dinesh"/>
    <s v="Mrinmay Mukherjee_x000a_Akashdeep Chandrekar_x000a_Shaikh Mushir Shahnawaz_x000a_Prajjwal Kumar Jha_x000a_Vishnu Priya B_x000a_Ankur Kumar_x000a_Rupali Vaishnav_x000a_Debabrata Pal_x000a_Sumit Parmar_x000a_Gayathri Venkateswaran"/>
    <s v="Pratik"/>
    <n v="1"/>
    <s v="No"/>
    <m/>
    <x v="1"/>
    <s v="Manoj Kansal"/>
    <m/>
    <m/>
    <m/>
  </r>
  <r>
    <x v="18"/>
    <x v="64"/>
    <x v="16"/>
    <n v="75"/>
    <n v="150"/>
    <s v="DR_GM-CustomApps_Platform"/>
    <s v="DR_GM-CustomApps_D360"/>
    <s v="DR_GM-Analytics_2.0"/>
    <s v="DR_GM-Custom_Emails"/>
    <s v="DR_GM-CustomApps_POQ"/>
    <s v="DR_GM-CustomApps_Reports"/>
    <s v="DR_GM-Sales Cloud Platform"/>
    <s v="DR_GM-Sales_Cloud_CRM"/>
    <m/>
    <m/>
    <m/>
    <m/>
    <s v="All"/>
    <m/>
    <s v="Abhijith C S"/>
    <m/>
    <s v="Vaibhav (D360), Amit Bahedia (Analytics), Furqan (Emails)"/>
    <s v="TBA"/>
    <s v="Ashwin Dinesh"/>
    <s v="1.Jaykishan Solanki ​_x000a_2.Chanakya ​_x000a__x000a_3. Nawed Diwan​_x000a__x000a_4. Nikunj"/>
    <s v="Sarthak"/>
    <n v="1"/>
    <s v="No"/>
    <m/>
    <x v="1"/>
    <s v="Manoj Kansal"/>
    <m/>
    <m/>
    <m/>
  </r>
  <r>
    <x v="18"/>
    <x v="65"/>
    <x v="16"/>
    <n v="75"/>
    <n v="150"/>
    <s v="DR_GM-OEM_Agentic_AI"/>
    <m/>
    <m/>
    <m/>
    <m/>
    <m/>
    <m/>
    <m/>
    <m/>
    <m/>
    <m/>
    <m/>
    <s v="All"/>
    <m/>
    <s v="Baddam Rakesh"/>
    <m/>
    <s v="Laura Howard"/>
    <s v="Nalina M​"/>
    <s v="Ashwin Dinesh"/>
    <s v="1.Suraj Mehta​_x000a_2. Divyank Dagur​_x000a_3.Medha B​_x000a__x000a_4. Ankit Kumar​_x000a_5. Sagar Gupta"/>
    <s v="Pratik"/>
    <n v="1"/>
    <s v="No"/>
    <m/>
    <x v="1"/>
    <s v="Manoj Kansal"/>
    <m/>
    <m/>
    <m/>
  </r>
  <r>
    <x v="18"/>
    <x v="66"/>
    <x v="16"/>
    <n v="15"/>
    <n v="30"/>
    <s v="DR_GM-OMS"/>
    <s v="DR_GM-Pricing"/>
    <m/>
    <m/>
    <m/>
    <m/>
    <m/>
    <m/>
    <m/>
    <m/>
    <m/>
    <m/>
    <s v="All"/>
    <m/>
    <s v="Ankur Jain"/>
    <m/>
    <s v="Ankur Priyan"/>
    <s v="Divya Priya Venkatesan​"/>
    <s v="Ashwin Dinesh"/>
    <s v="&quot;Nandini Sarda_x000a_Navneet Singhal_x000a_Mohd Asad_x000a_Pankaj Takle&quot;"/>
    <s v="Pratik"/>
    <n v="1"/>
    <s v="No"/>
    <m/>
    <x v="1"/>
    <s v="Manoj Kansal"/>
    <m/>
    <m/>
    <m/>
  </r>
  <r>
    <x v="18"/>
    <x v="67"/>
    <x v="16"/>
    <n v="60"/>
    <n v="120"/>
    <s v="DR_GM-SCX_V2"/>
    <s v="DR_GM-SCX_V1"/>
    <m/>
    <m/>
    <m/>
    <m/>
    <m/>
    <m/>
    <m/>
    <m/>
    <m/>
    <m/>
    <s v="All"/>
    <m/>
    <s v="Balaji T"/>
    <m/>
    <s v="Akshay Gupta"/>
    <s v="Vishal L"/>
    <s v="Ashwin Dinesh"/>
    <s v="1.Ajay Dangil​_x000a__x000a_2.Aditi Mahajan​_x000a__x000a_3.Patel Sarthak​_x000a__x000a_4.Deepankar T​_x000a_5. Deekshith K "/>
    <s v="Sarthak"/>
    <n v="1"/>
    <s v="No"/>
    <m/>
    <x v="1"/>
    <s v="Manoj Kansal"/>
    <m/>
    <m/>
    <m/>
  </r>
  <r>
    <x v="18"/>
    <x v="68"/>
    <x v="16"/>
    <n v="30"/>
    <n v="60"/>
    <s v="DR_GM-VDP"/>
    <s v="DR_GM-LeadForms"/>
    <m/>
    <m/>
    <m/>
    <m/>
    <m/>
    <m/>
    <m/>
    <m/>
    <m/>
    <m/>
    <s v="All"/>
    <m/>
    <s v="Gaurav Sharma"/>
    <m/>
    <s v="Laura Howard"/>
    <s v="Mohammed Asif"/>
    <s v="Ashwin Dinesh"/>
    <s v="Maneesha Konda_x000a_Prachi Singhal_x000a_Jagath J K_x000a_Sushant Kumar Pandey_x000a_Manoj Kumar M_x000a_Avinash Bondapalli_x000a_Elipe Safeen"/>
    <s v="Pratik"/>
    <n v="1"/>
    <s v="No"/>
    <m/>
    <x v="1"/>
    <s v="Manoj Kansal"/>
    <m/>
    <m/>
    <m/>
  </r>
  <r>
    <x v="18"/>
    <x v="69"/>
    <x v="16"/>
    <n v="45"/>
    <n v="90"/>
    <s v="DR_GM-VSR"/>
    <s v="DR_GM-FE_Platform"/>
    <m/>
    <m/>
    <m/>
    <m/>
    <m/>
    <m/>
    <m/>
    <m/>
    <m/>
    <m/>
    <s v="All"/>
    <m/>
    <s v="Shubham Raghuvanshi"/>
    <m/>
    <s v="Laura Howard"/>
    <s v="Arpita B"/>
    <s v="Ashwin Dinesh"/>
    <s v="Kashish Bhandula_x000a_Sushant Kumar_x000a_Konathala Venkata Siva Apparao_x000a_Md Shamim Akhtar_x000a_Vignesh R_x000a_Kartikey Rohila_x000a_Akash Mehrotra"/>
    <s v="Pratik"/>
    <n v="1"/>
    <s v="No"/>
    <m/>
    <x v="1"/>
    <s v="Manoj Kansal"/>
    <m/>
    <m/>
    <m/>
  </r>
  <r>
    <x v="19"/>
    <x v="70"/>
    <x v="17"/>
    <n v="34"/>
    <n v="68"/>
    <s v="DR_Honda-Analytics"/>
    <s v="DR_Honda-Credit_Application"/>
    <s v="DR_Honda-Deals"/>
    <s v="DR_Honda-Desking"/>
    <s v="DR_Honda-DX_OMS"/>
    <s v="DR_Honda-eSign_Docs"/>
    <s v="DR_Honda-eSign_Platform"/>
    <s v="DR_Honda-F&amp;I"/>
    <s v="DR_Honda-Forms"/>
    <s v="DR_Honda-Galaxy"/>
    <s v="DR_Honda-CMS"/>
    <s v="DR_Honda-VI"/>
    <s v="All"/>
    <m/>
    <s v="Ashutosh Arun Morey"/>
    <m/>
    <s v="Navnika, Anandharaman Pattabiraman, Vittal D S"/>
    <s v="Abhijith D N, Vignesh Srinivasan"/>
    <s v="Ajeya Sharma"/>
    <s v="Dhananjay Sharma, Shubham Shreshth, Paridhi Jain, Sagar Bhattacharya"/>
    <s v="Sarthak"/>
    <n v="1"/>
    <s v="No"/>
    <m/>
    <x v="1"/>
    <s v="Ankur Agarwal"/>
    <m/>
    <s v="https://tekion.atlassian.net/jira/software/c/projects/AHM/boards/11843/backlog"/>
    <m/>
  </r>
  <r>
    <x v="19"/>
    <x v="71"/>
    <x v="17"/>
    <n v="8.5"/>
    <n v="17"/>
    <s v="DR_Honda-AEC_Integration"/>
    <m/>
    <m/>
    <m/>
    <m/>
    <m/>
    <m/>
    <m/>
    <m/>
    <m/>
    <m/>
    <m/>
    <s v="All"/>
    <m/>
    <s v="Ashutosh Arun Morey"/>
    <m/>
    <s v="Navnika, Viswanathan Pachaiyappan"/>
    <s v="Vishal Satapute"/>
    <s v="Ajeya Sharma"/>
    <s v="Aviral Gupta"/>
    <s v="Sarthak"/>
    <n v="1"/>
    <s v="No"/>
    <m/>
    <x v="1"/>
    <s v="Ankur Agarwal"/>
    <m/>
    <s v="https://tekion.atlassian.net/jira/software/c/projects/AHM/boards/11843/backlog"/>
    <m/>
  </r>
  <r>
    <x v="19"/>
    <x v="72"/>
    <x v="17"/>
    <n v="93.5"/>
    <n v="187"/>
    <s v="DR_Honda-OEM_Portal"/>
    <s v="DR_Honda-PCX"/>
    <m/>
    <m/>
    <m/>
    <m/>
    <m/>
    <m/>
    <m/>
    <m/>
    <m/>
    <m/>
    <s v="All"/>
    <m/>
    <s v="Mrugesh Thaker"/>
    <m/>
    <s v="Navnika, Sreerag K, Vittal D S"/>
    <s v="Mohammed Faizaan, Manjunatha S"/>
    <s v="Ajeya Sharma"/>
    <s v="Franklin, Shivansh Gupta, Harshal Mukte, Rishabh Kumar, Vibhor, Mohammad Ismail, Rozen Berg, Srinivasan,  Nagabrahmachary M, Dhruv Singal, Vijay Surya"/>
    <s v="Sarthak"/>
    <n v="1"/>
    <s v="No"/>
    <m/>
    <x v="1"/>
    <s v="Ankur Agarwal"/>
    <m/>
    <s v="https://tekion.atlassian.net/jira/software/c/projects/AHM/boards/11843/backlog"/>
    <m/>
  </r>
  <r>
    <x v="19"/>
    <x v="73"/>
    <x v="17"/>
    <n v="25.5"/>
    <n v="51"/>
    <s v="DR_Honda-Checkout"/>
    <m/>
    <m/>
    <m/>
    <m/>
    <m/>
    <m/>
    <m/>
    <m/>
    <m/>
    <m/>
    <m/>
    <s v="All"/>
    <m/>
    <s v="Ankit Upadhyay"/>
    <m/>
    <s v="Navnika, Sreerag K, Vittal"/>
    <s v="Jithendra K N"/>
    <s v="Ajeya Sharma"/>
    <s v="Sharan Ranganathan, Sathish Kumar, Rohit Ramakrishnan"/>
    <s v="Sarthak"/>
    <n v="1"/>
    <s v="No"/>
    <m/>
    <x v="1"/>
    <s v="Ankur Agarwal"/>
    <m/>
    <s v="https://tekion.atlassian.net/jira/software/c/projects/AHM/boards/11843/backlog"/>
    <m/>
  </r>
  <r>
    <x v="20"/>
    <x v="74"/>
    <x v="18"/>
    <n v="45"/>
    <n v="90"/>
    <s v="DR_Hyundai-Deals"/>
    <s v="DR_Hyundai-Desking"/>
    <s v="DR_Hyundai-VI"/>
    <s v="DR_Hyundai-F&amp;I"/>
    <m/>
    <m/>
    <m/>
    <m/>
    <m/>
    <m/>
    <m/>
    <m/>
    <s v="All"/>
    <m/>
    <s v="Ashutosh Arun Morey"/>
    <m/>
    <s v="Aiswarya Dwivedi"/>
    <s v="Darshan Yadav J"/>
    <s v="M Wasim Fasil"/>
    <s v="Harshal Mukte, Paridhi Jain, Sathish Babu, Vijay Srinivasan, Kush Jaiswal, Shoibal Karmakar"/>
    <s v="Sarthak Gupta"/>
    <n v="1"/>
    <m/>
    <m/>
    <x v="1"/>
    <s v="Ankur Agarwal"/>
    <m/>
    <m/>
    <m/>
  </r>
  <r>
    <x v="21"/>
    <x v="75"/>
    <x v="19"/>
    <n v="34"/>
    <n v="68"/>
    <s v="eSign_Platform"/>
    <m/>
    <m/>
    <m/>
    <m/>
    <m/>
    <m/>
    <m/>
    <m/>
    <m/>
    <m/>
    <m/>
    <s v="All"/>
    <m/>
    <s v="Ujjawal"/>
    <m/>
    <s v="Hardik Patel, Sireesha Yakkali"/>
    <s v="Jagadish M, Shobhit Bhushan"/>
    <s v="M Wasim Fasil, Prerna Kohli"/>
    <s v="Akash Kumar Singh, Mukul Rathore"/>
    <s v="Dhanesh Sharma"/>
    <n v="1"/>
    <s v="Yes"/>
    <m/>
    <x v="0"/>
    <s v="Fahad Tasleem"/>
    <m/>
    <s v="https://tekion.atlassian.net/jira/software/c/projects/SERV/boards/9524/backlog"/>
    <s v="https://tekion.atlassian.net/issues?filter=42058"/>
  </r>
  <r>
    <x v="22"/>
    <x v="76"/>
    <x v="17"/>
    <n v="121"/>
    <n v="242"/>
    <s v="Fleet_Honda-Approval_Workflows"/>
    <s v="Fleet_Honda-Forecast"/>
    <s v="Fleet_Honda-Integration"/>
    <s v="Fleet_Honda-Notification"/>
    <s v="Fleet_Honda-Order"/>
    <s v="Fleet_Honda-Others"/>
    <s v="Fleet_Honda-Quote"/>
    <s v="Fleet_Honda-Reporting_Analytics"/>
    <s v="Fleet_Honda-Setups"/>
    <s v="Fleet_Honda-User Access_Permissions"/>
    <m/>
    <m/>
    <s v="All"/>
    <m/>
    <s v="Dharmaraj Karthikeyan"/>
    <m/>
    <s v="Navnika"/>
    <s v="Usha, Vishal Bagti, Shanawaz Khan"/>
    <s v="Ajeya Sharma"/>
    <s v="Manu Surendran, Vivekanand Senthilnathan, Shubh Saxena, Aravindan Ravi, Nithish S, Kush Jaiswal,  Sagar Gupta, Siddharth Singh Bhadoriya, Chintusingh Katewa, Mohammed Abrar Mehdi, Soham Ghosh, Goutham Raj Borra, Piyush Khandelwal, Sathish Babu, Vijay Suriya S"/>
    <s v="Sarthak"/>
    <n v="1"/>
    <s v="Yes"/>
    <m/>
    <x v="1"/>
    <s v="Ankur Agarwal"/>
    <m/>
    <s v="https://tekion.atlassian.net/jira/software/c/projects/AHM/boards/11843/backlog"/>
    <m/>
  </r>
  <r>
    <x v="23"/>
    <x v="77"/>
    <x v="20"/>
    <n v="81"/>
    <n v="162"/>
    <s v="FnI-FormsPro"/>
    <m/>
    <m/>
    <m/>
    <m/>
    <m/>
    <m/>
    <m/>
    <m/>
    <m/>
    <m/>
    <m/>
    <s v="All"/>
    <m/>
    <s v="Trapti Mittal"/>
    <m/>
    <s v="Varun A"/>
    <s v="Prabhakaran M/ Sheetanshu Kumar"/>
    <s v="Mani Bharathi Ravi"/>
    <s v="&quot;Alagappan,_x000a_Arun Senthilkumar,_x000a_Dhinesh Kumar B,_x000a_Kartik V,_x000a_Shashiv Tiwari,_x000a_Vivek Garg,_x000a_Vivek Kumar,_x000a_Prashant Sahu,_x000a_Sunil Darji&quot;"/>
    <s v="Somendra Singh"/>
    <n v="1"/>
    <s v="Yes"/>
    <m/>
    <x v="3"/>
    <s v="Damodara Reddy"/>
    <m/>
    <s v="https://tekion.atlassian.net/jira/software/c/projects/FNI/boards/6583/backlog"/>
    <s v="https://tekion.atlassian.net/issues/?filter=38110"/>
  </r>
  <r>
    <x v="23"/>
    <x v="78"/>
    <x v="20"/>
    <n v="61"/>
    <n v="122"/>
    <s v="FnI-Menu_DX"/>
    <s v="FnI-FI_Aggregator"/>
    <s v="FnI-Menu_CX"/>
    <m/>
    <m/>
    <m/>
    <m/>
    <m/>
    <m/>
    <m/>
    <m/>
    <m/>
    <s v="All"/>
    <m/>
    <s v="Nirupam Chakrabarti"/>
    <m/>
    <s v="Dinesh K"/>
    <s v="Ragupathi K"/>
    <s v="Mani Bharathi Ravi / Sanjai R"/>
    <s v="&quot;Kaustavjit Saha,_x000a_Nikhil Niket,_x000a_Harshdeep Raghuwanshi,_x000a_Sanjeev Kumar Rai,_x000a_Vandana Gupta,_x000a_Varun Joshi&quot;"/>
    <s v="Somendra Singh"/>
    <n v="1"/>
    <s v="Yes"/>
    <m/>
    <x v="3"/>
    <s v="Damodara Reddy"/>
    <m/>
    <s v="https://tekion.atlassian.net/jira/software/c/projects/FNI/boards/4856/backlog"/>
    <s v="https://tekion.atlassian.net/issues/?filter=37387"/>
  </r>
  <r>
    <x v="23"/>
    <x v="79"/>
    <x v="20"/>
    <n v="70"/>
    <n v="140"/>
    <s v="FnI-Compliance"/>
    <m/>
    <m/>
    <m/>
    <m/>
    <m/>
    <m/>
    <m/>
    <m/>
    <m/>
    <m/>
    <m/>
    <s v="All"/>
    <m/>
    <s v="Nirupam Chakrabarti"/>
    <m/>
    <s v="Dinesh K"/>
    <s v="Apurva Nigam"/>
    <s v="Mani Bharathi Ravi / Sanjai R"/>
    <s v="&quot;Guhan Murugesan,_x000a_Ravish Sharma,_x000a_Savan Vaghani,_x000a_Yamini Shakya&quot;"/>
    <s v="Somendra Singh"/>
    <n v="1"/>
    <s v="Yes"/>
    <m/>
    <x v="3"/>
    <s v="Damodara Reddy"/>
    <m/>
    <s v="https://tekion.atlassian.net/jira/software/c/projects/FNI/boards/10180/backlog"/>
    <s v="https://tekion.atlassian.net/issues/?filter=43013"/>
  </r>
  <r>
    <x v="23"/>
    <x v="80"/>
    <x v="20"/>
    <n v="80"/>
    <n v="160"/>
    <s v="FnI-eSign_Docs"/>
    <m/>
    <m/>
    <m/>
    <m/>
    <m/>
    <m/>
    <m/>
    <m/>
    <m/>
    <m/>
    <m/>
    <s v="All"/>
    <m/>
    <s v="Ayush Dash"/>
    <m/>
    <s v="Muskan Singh"/>
    <s v="Neha Khare"/>
    <s v="Mani Bharathi Ravi"/>
    <s v="&quot;Abhijeet Singh,_x000a_Bibhuranjan Sahoo,_x000a_Harshit Prajapati,_x000a_Mayank Gupta,_x000a_Md. Hamid,_x000a_Saurabh Agrawal,_x000a_Shivam Sharma,_x000a_Swapnil Swapnil&quot;"/>
    <s v="Somendra Singh"/>
    <n v="1"/>
    <s v="Yes"/>
    <m/>
    <x v="3"/>
    <s v="Damodara Reddy"/>
    <m/>
    <s v="https://tekion.atlassian.net/jira/software/c/projects/FNI/boards/4922/backlog"/>
    <s v="https://tekion.atlassian.net/issues/?filter=35848"/>
  </r>
  <r>
    <x v="23"/>
    <x v="81"/>
    <x v="20"/>
    <n v="76"/>
    <n v="152"/>
    <s v="FnI-DFE"/>
    <s v="FnI-eContracting"/>
    <m/>
    <m/>
    <m/>
    <m/>
    <m/>
    <m/>
    <m/>
    <m/>
    <m/>
    <m/>
    <s v="All"/>
    <m/>
    <s v="Ayush Dash"/>
    <m/>
    <s v="Mudra Surana"/>
    <s v="Kirthivasan C / Lavanya Muthyala"/>
    <s v="Mani Bharathi Ravi"/>
    <s v="&quot;Mohamed Shiraz Aboobacker,_x000a_Naveen Kumar,_x000a_Parvati Kasaval,_x000a_Raja Sethi,_x000a_Rama Subramanian R,_x000a_Shubham Sehrawet,_x000a_Takshay Makadia ,_x000a_Mitesh Thakor&quot;"/>
    <s v="Somendra Singh"/>
    <n v="1"/>
    <s v="Yes"/>
    <m/>
    <x v="3"/>
    <s v="Damodara Reddy"/>
    <m/>
    <s v="https://tekion.atlassian.net/jira/software/c/projects/FNI/boards/10181/backlog"/>
    <s v="https://tekion.atlassian.net/issues/?filter=43017"/>
  </r>
  <r>
    <x v="24"/>
    <x v="82"/>
    <x v="21"/>
    <n v="90"/>
    <n v="180"/>
    <s v="Galaxy-Core"/>
    <s v="Galaxy-US"/>
    <s v="Galaxy-Canada"/>
    <s v="Galaxy-UK"/>
    <s v="Galaxy-TDP_Modernisation"/>
    <s v="Galaxy-CMS_Decoder"/>
    <m/>
    <m/>
    <m/>
    <m/>
    <m/>
    <m/>
    <s v="All"/>
    <m/>
    <s v="Sunil Garg"/>
    <m/>
    <s v="Prashant Khulbe"/>
    <s v="Venkatesh Shankar"/>
    <s v="NA (BE only)"/>
    <s v="&quot;Archit Agrawal,_x000a_Aryan Sachan,_x000a_Lakshya Singhal,_x000a_Sri Lakshmi Dudala,_x000a_Venkatesh Kamtham&quot;"/>
    <s v="Vaibhav Kakkar"/>
    <n v="1"/>
    <s v="Yes"/>
    <m/>
    <x v="3"/>
    <s v="Damodara Reddy"/>
    <m/>
    <s v="https://tekion.atlassian.net/jira/software/c/projects/GAL/boards/6649/backlog"/>
    <s v="https://tekion.atlassian.net/issues?filter=38306"/>
  </r>
  <r>
    <x v="25"/>
    <x v="83"/>
    <x v="22"/>
    <n v="15"/>
    <n v="30"/>
    <s v="HP-AI_Native"/>
    <m/>
    <m/>
    <m/>
    <m/>
    <m/>
    <m/>
    <m/>
    <m/>
    <m/>
    <m/>
    <m/>
    <s v="All"/>
    <m/>
    <s v="Surendra Gandham"/>
    <m/>
    <s v="Surendra Gandham"/>
    <s v="Surendra Gandham"/>
    <m/>
    <s v="Nisarg A K, Thenukuntla Rohith"/>
    <s v="Arpit Jain"/>
    <n v="0.8571428571428571"/>
    <s v="Yes"/>
    <m/>
    <x v="5"/>
    <s v="Parul Jain"/>
    <m/>
    <s v="https://tekion.atlassian.net/jira/software/c/projects/HPLT/boards/17273"/>
    <s v="https://tekion.atlassian.net/issues/?filter=66065"/>
  </r>
  <r>
    <x v="25"/>
    <x v="84"/>
    <x v="22"/>
    <n v="15"/>
    <n v="30"/>
    <s v="HP-Caching_and_Messaging"/>
    <m/>
    <m/>
    <m/>
    <m/>
    <m/>
    <m/>
    <m/>
    <m/>
    <m/>
    <m/>
    <m/>
    <s v="All"/>
    <m/>
    <s v="Rushikesh"/>
    <m/>
    <s v="Anirudh, Shivang"/>
    <s v="NA - Testing to be done by dev team only"/>
    <m/>
    <s v="&quot;Gaurav Antil_x000a_Shreyansh Gupta _x000a_Shivang Garg_x000a_Ayush Anand&quot;"/>
    <s v="Anirudh, Shivang"/>
    <n v="0.8571428571428571"/>
    <s v="Yes"/>
    <m/>
    <x v="5"/>
    <s v="Parul Jain"/>
    <m/>
    <s v="https://tekion.atlassian.net/jira/software/c/projects/PLTF/boards/9718"/>
    <s v="https://tekion.atlassian.net/issues/?filter=42332"/>
  </r>
  <r>
    <x v="25"/>
    <x v="85"/>
    <x v="22"/>
    <n v="15"/>
    <n v="30"/>
    <s v="HP-Central_Setups"/>
    <m/>
    <m/>
    <m/>
    <m/>
    <m/>
    <m/>
    <m/>
    <m/>
    <m/>
    <m/>
    <m/>
    <s v="All"/>
    <m/>
    <s v="Sandhya"/>
    <m/>
    <s v="Shivam"/>
    <s v="NA - Testing to be done by dev team only"/>
    <m/>
    <s v="Arjun, Raj"/>
    <s v="Shivam"/>
    <n v="0.8571428571428571"/>
    <s v="Yes"/>
    <m/>
    <x v="5"/>
    <s v="Parul Jain"/>
    <m/>
    <s v="https://tekion.atlassian.net/jira/software/c/projects/PLTF/boards/9720"/>
    <s v="https://tekion.atlassian.net/issues/?filter=42336"/>
  </r>
  <r>
    <x v="25"/>
    <x v="86"/>
    <x v="22"/>
    <n v="15"/>
    <n v="30"/>
    <s v="HP-Data_and_Content_Mgmt"/>
    <m/>
    <m/>
    <m/>
    <m/>
    <m/>
    <m/>
    <m/>
    <m/>
    <m/>
    <m/>
    <m/>
    <s v="All"/>
    <m/>
    <s v="Sandhya"/>
    <m/>
    <s v="Shivam"/>
    <s v="NA - Testing to be done by dev team only"/>
    <m/>
    <s v="&quot;Gaurav Antil_x000a_Shreyansh Gupta _x000a_Shivang Garg_x000a_Ayush Anand&quot;"/>
    <s v="Shivam"/>
    <n v="0.8571428571428571"/>
    <s v="Yes"/>
    <m/>
    <x v="5"/>
    <s v="Parul Jain"/>
    <m/>
    <s v="https://tekion.atlassian.net/jira/software/c/projects/PLTF/boards/13213"/>
    <s v="https://tekion.atlassian.net/issues/?filter=51728"/>
  </r>
  <r>
    <x v="25"/>
    <x v="87"/>
    <x v="22"/>
    <n v="15"/>
    <n v="30"/>
    <s v="HP-Interaction_Platforms"/>
    <m/>
    <m/>
    <m/>
    <m/>
    <m/>
    <m/>
    <m/>
    <m/>
    <m/>
    <m/>
    <m/>
    <s v="All"/>
    <m/>
    <s v="Sandhya"/>
    <m/>
    <s v="Shivam"/>
    <s v="Pradeep"/>
    <m/>
    <s v="Shikhar"/>
    <s v="Shivam"/>
    <n v="0.8571428571428571"/>
    <s v="Yes"/>
    <m/>
    <x v="5"/>
    <s v="Parul Jain"/>
    <m/>
    <s v="https://tekion.atlassian.net/jira/software/c/projects/PLTF/boards/13215"/>
    <s v="https://tekion.atlassian.net/issues/?filter=51730"/>
  </r>
  <r>
    <x v="25"/>
    <x v="88"/>
    <x v="22"/>
    <n v="45"/>
    <n v="90"/>
    <s v="HP-Persistence"/>
    <m/>
    <m/>
    <m/>
    <m/>
    <m/>
    <m/>
    <m/>
    <m/>
    <m/>
    <m/>
    <m/>
    <s v="All"/>
    <m/>
    <s v="Rushikesh"/>
    <m/>
    <s v="Anirudh, Shivang"/>
    <s v="NA - Testing to be done by dev team only"/>
    <m/>
    <s v="&quot;Gaurav Antil_x000a_Shreyansh Gupta _x000a_Shivang Garg_x000a_Ayush Anand&quot;"/>
    <s v="Anirudh, Shivang"/>
    <n v="0.8571428571428571"/>
    <s v="Yes"/>
    <m/>
    <x v="5"/>
    <s v="Parul Jain"/>
    <m/>
    <s v="https://tekion.atlassian.net/jira/software/c/projects/PLTF/boards/9719"/>
    <s v="https://tekion.atlassian.net/issues/?filter=42335"/>
  </r>
  <r>
    <x v="25"/>
    <x v="89"/>
    <x v="22"/>
    <n v="0"/>
    <n v="0"/>
    <s v="HP-Presentation_Centric_Platforms"/>
    <m/>
    <m/>
    <m/>
    <m/>
    <m/>
    <m/>
    <m/>
    <m/>
    <m/>
    <m/>
    <m/>
    <s v="All"/>
    <m/>
    <s v="Sandhya"/>
    <m/>
    <s v="Shivam"/>
    <s v="NA - Testing to be done by dev team only"/>
    <m/>
    <s v="Ginia, Gaurang"/>
    <s v="Shivam"/>
    <n v="0.8571428571428571"/>
    <s v="Yes"/>
    <m/>
    <x v="5"/>
    <s v="Parul Jain"/>
    <m/>
    <s v="https://tekion.atlassian.net/jira/software/c/projects/PLTF/boards/13214"/>
    <s v="https://tekion.atlassian.net/issues/?filter=51729"/>
  </r>
  <r>
    <x v="25"/>
    <x v="90"/>
    <x v="22"/>
    <n v="22.5"/>
    <n v="45"/>
    <s v="HP-Registries_and_Config_Stores"/>
    <m/>
    <m/>
    <m/>
    <m/>
    <m/>
    <m/>
    <m/>
    <m/>
    <m/>
    <m/>
    <m/>
    <s v="All"/>
    <m/>
    <s v="Surendra"/>
    <m/>
    <s v="Arpit + Aman (partial)"/>
    <s v="Darsh"/>
    <m/>
    <s v="Kushal, Uttam"/>
    <s v="Arpit + Aman (partial)"/>
    <n v="0.8571428571428571"/>
    <s v="Yes"/>
    <m/>
    <x v="5"/>
    <s v="Parul Jain"/>
    <m/>
    <s v="https://tekion.atlassian.net/jira/software/c/projects/PLTF/boards/9722"/>
    <s v="https://tekion.atlassian.net/issues/?filter=42338"/>
  </r>
  <r>
    <x v="25"/>
    <x v="91"/>
    <x v="22"/>
    <n v="22.5"/>
    <n v="45"/>
    <s v="HP-Routing_and_Reliability"/>
    <m/>
    <m/>
    <m/>
    <m/>
    <m/>
    <m/>
    <m/>
    <m/>
    <m/>
    <m/>
    <m/>
    <s v="All"/>
    <m/>
    <s v="Surendra"/>
    <m/>
    <s v="Arpit + Aman (partial)"/>
    <s v="NA - Testing to be done by dev team only"/>
    <m/>
    <s v="Nisarg, Mithilesh, Rohit"/>
    <s v="Arpit + Aman (partial)"/>
    <n v="0.8571428571428571"/>
    <s v="Yes"/>
    <m/>
    <x v="5"/>
    <s v="Parul Jain"/>
    <m/>
    <s v="https://tekion.atlassian.net/jira/software/c/projects/PLTF/boards/13211"/>
    <s v="https://tekion.atlassian.net/issues/?filter=51725"/>
  </r>
  <r>
    <x v="25"/>
    <x v="92"/>
    <x v="22"/>
    <n v="0"/>
    <n v="0"/>
    <s v="HP-Technologies_and_RnD"/>
    <m/>
    <m/>
    <m/>
    <m/>
    <m/>
    <m/>
    <m/>
    <m/>
    <m/>
    <m/>
    <m/>
    <s v="All"/>
    <m/>
    <s v="Surendra"/>
    <m/>
    <s v="Arpit + Aman (partial)"/>
    <s v="NA - Testing to be done by dev team only"/>
    <m/>
    <m/>
    <s v="Arpit + Aman (partial)"/>
    <n v="0.7142857142857143"/>
    <s v="Yes"/>
    <m/>
    <x v="5"/>
    <s v="Parul Jain"/>
    <m/>
    <s v="https://tekion.atlassian.net/jira/software/c/projects/PLTF/boards/13178"/>
    <s v="https://tekion.atlassian.net/issues/?filter=51716"/>
  </r>
  <r>
    <x v="25"/>
    <x v="93"/>
    <x v="22"/>
    <n v="60"/>
    <n v="120"/>
    <s v="HP-UI_Platforms"/>
    <m/>
    <m/>
    <m/>
    <m/>
    <m/>
    <m/>
    <m/>
    <m/>
    <m/>
    <m/>
    <m/>
    <s v="All"/>
    <m/>
    <s v="Sumit"/>
    <m/>
    <s v="Sumit"/>
    <s v="NA - Testing to be done by dev team only"/>
    <m/>
    <s v="&quot;Gaurav Antil_x000a_Shreyansh Gupta _x000a_Shivang Garg_x000a_Ayush Anand&quot;"/>
    <s v="Sumit"/>
    <n v="0.8571428571428571"/>
    <s v="Yes"/>
    <m/>
    <x v="5"/>
    <s v="Parul Jain"/>
    <m/>
    <s v="https://tekion.atlassian.net/jira/software/c/projects/PLTF/boards/9721"/>
    <s v="https://tekion.atlassian.net/issues/?filter=42337"/>
  </r>
  <r>
    <x v="25"/>
    <x v="94"/>
    <x v="22"/>
    <n v="22.5"/>
    <n v="45"/>
    <s v="HP-Utilities"/>
    <m/>
    <m/>
    <m/>
    <m/>
    <m/>
    <m/>
    <m/>
    <m/>
    <m/>
    <m/>
    <m/>
    <s v="All"/>
    <m/>
    <s v="Surendra"/>
    <m/>
    <s v="Arpit + Aman (partial)"/>
    <s v="NA - Testing to be done by dev team only"/>
    <m/>
    <s v="Meet, Satya, Asutosh"/>
    <s v="Arpit + Aman (partial)"/>
    <n v="0.8571428571428571"/>
    <s v="Yes"/>
    <m/>
    <x v="5"/>
    <s v="Parul Jain"/>
    <m/>
    <s v="https://tekion.atlassian.net/jira/software/c/projects/PLTF/boards/13212"/>
    <s v="https://tekion.atlassian.net/issues/?filter=51727"/>
  </r>
  <r>
    <x v="26"/>
    <x v="95"/>
    <x v="23"/>
    <m/>
    <m/>
    <s v="IOT-CD"/>
    <s v="IOT-OBD"/>
    <s v="IOT-RFID"/>
    <s v="IOT-Sharebox"/>
    <m/>
    <m/>
    <m/>
    <m/>
    <m/>
    <m/>
    <m/>
    <m/>
    <s v="All"/>
    <m/>
    <s v="Lakshmi Narasimman Deivasigamani,_x000a_Srija Ramesh"/>
    <m/>
    <s v="Suhas R, _x000a_Harish Manoharan"/>
    <s v="Venkatesh Mahalinga,_x000a_Mohan Thimmarayappa"/>
    <s v="Gokul Jayabalan"/>
    <s v="Vijay Suriya S,_x000a_Advaith Raij Venkhed BaJinia Konar,_x000a_Prakash Ravichandran,_x000a_Meganathan M"/>
    <s v="No"/>
    <n v="1"/>
    <m/>
    <m/>
    <x v="1"/>
    <s v="Ankur Agarwal"/>
    <m/>
    <m/>
    <m/>
  </r>
  <r>
    <x v="27"/>
    <x v="96"/>
    <x v="24"/>
    <n v="30"/>
    <n v="60"/>
    <s v="OP-CAutomation"/>
    <m/>
    <m/>
    <m/>
    <m/>
    <m/>
    <m/>
    <m/>
    <m/>
    <m/>
    <m/>
    <m/>
    <s v="All"/>
    <m/>
    <s v="Nitish"/>
    <m/>
    <s v="Bobby/ Dharmendra"/>
    <s v="Shivakumar Kinagi"/>
    <m/>
    <m/>
    <s v="Jayaprakash Chandrasekaran"/>
    <n v="0.7142857142857143"/>
    <s v="Yes"/>
    <m/>
    <x v="4"/>
    <s v="Bobby Alexander"/>
    <m/>
    <s v="https://tekion.atlassian.net/jira/software/c/projects/OPLT/boards/15068"/>
    <s v="https://tekion.atlassian.net/issues/?filter=60920"/>
  </r>
  <r>
    <x v="27"/>
    <x v="97"/>
    <x v="24"/>
    <n v="60"/>
    <n v="120"/>
    <s v="OP-GAutomation"/>
    <m/>
    <m/>
    <m/>
    <m/>
    <m/>
    <m/>
    <m/>
    <m/>
    <m/>
    <m/>
    <m/>
    <s v="All"/>
    <m/>
    <s v="Nitish"/>
    <m/>
    <s v="Bobby/ Dharmendra"/>
    <s v="Shivakumar Kinagi"/>
    <m/>
    <m/>
    <m/>
    <n v="0.5714285714285714"/>
    <s v="Yes"/>
    <m/>
    <x v="4"/>
    <s v="Bobby Alexander"/>
    <m/>
    <s v="https://tekion.atlassian.net/jira/software/c/projects/OPLT/boards/15069"/>
    <s v="https://tekion.atlassian.net/issues/?filter=60921"/>
  </r>
  <r>
    <x v="27"/>
    <x v="98"/>
    <x v="24"/>
    <n v="15"/>
    <n v="30"/>
    <s v="OP-Launch_Center"/>
    <m/>
    <m/>
    <m/>
    <m/>
    <m/>
    <m/>
    <m/>
    <m/>
    <m/>
    <m/>
    <m/>
    <s v="All"/>
    <m/>
    <s v="Dharmendra Sigh"/>
    <m/>
    <s v="Bobby/ Dharmendra"/>
    <s v="Aman Kumar Mishra"/>
    <m/>
    <s v="Vardhireddy Sai Maheedhar Reddy_x000a_Namratha K S"/>
    <s v="Allwin, Roshan Pradeepam"/>
    <n v="0.8571428571428571"/>
    <s v="Yes"/>
    <m/>
    <x v="4"/>
    <s v="Bobby Alexander"/>
    <m/>
    <s v="https://tekion.atlassian.net/jira/software/c/projects/OPLT/boards/15070"/>
    <s v="https://tekion.atlassian.net/issues/?filter=60923"/>
  </r>
  <r>
    <x v="27"/>
    <x v="99"/>
    <x v="24"/>
    <n v="7.5"/>
    <n v="15"/>
    <s v="OP-MAutomation"/>
    <m/>
    <m/>
    <m/>
    <m/>
    <m/>
    <m/>
    <m/>
    <m/>
    <m/>
    <m/>
    <m/>
    <s v="All"/>
    <m/>
    <s v="Nitish"/>
    <m/>
    <s v="Bobby/ Dharmendra"/>
    <s v="Shivakumar Kinagi"/>
    <m/>
    <m/>
    <s v="Jayaprakash Chandrasekaran"/>
    <n v="0.7142857142857143"/>
    <s v="Yes"/>
    <m/>
    <x v="4"/>
    <s v="Bobby Alexander"/>
    <m/>
    <s v="https://tekion.atlassian.net/jira/software/c/projects/OPLT/boards/12316"/>
    <s v="https://tekion.atlassian.net/issues/?filter=47685"/>
  </r>
  <r>
    <x v="27"/>
    <x v="100"/>
    <x v="24"/>
    <n v="60"/>
    <n v="120"/>
    <s v="OP-PLG"/>
    <m/>
    <m/>
    <m/>
    <m/>
    <m/>
    <m/>
    <m/>
    <m/>
    <m/>
    <m/>
    <m/>
    <s v="All"/>
    <m/>
    <s v="Ashish"/>
    <m/>
    <m/>
    <s v="Sharmila D"/>
    <s v="Abhishek Adhikari"/>
    <s v="Praful Koppalkar_x000a_Shamshad Khan_x000a_Dinesh Shah_x000a_Shah Adit Hiten_x000a_Preeti Singh_x000a_Devraj Kumar_x000a_Aditya Pal_x000a_Vaibhav Kumar_x000a_Siddharth_x000a_Nitish Kumar"/>
    <s v="Jayaprakash Chandrasekaran"/>
    <n v="0.8571428571428571"/>
    <s v="Yes"/>
    <m/>
    <x v="4"/>
    <s v="Bobby Alexander"/>
    <m/>
    <s v="https://tekion.atlassian.net/jira/software/c/projects/OPLT/boards/15071"/>
    <s v="https://tekion.atlassian.net/issues/?filter=60924"/>
  </r>
  <r>
    <x v="27"/>
    <x v="101"/>
    <x v="24"/>
    <n v="0"/>
    <n v="0"/>
    <s v="OP-Schema_Curator"/>
    <m/>
    <m/>
    <m/>
    <m/>
    <m/>
    <m/>
    <m/>
    <m/>
    <m/>
    <m/>
    <m/>
    <s v="All"/>
    <m/>
    <s v="Ashish"/>
    <m/>
    <s v="Ashish"/>
    <m/>
    <m/>
    <m/>
    <s v="Jayaprakash Chandrasekaran"/>
    <n v="0.5714285714285714"/>
    <s v="Yes"/>
    <m/>
    <x v="4"/>
    <s v="Bobby Alexander"/>
    <m/>
    <m/>
    <m/>
  </r>
  <r>
    <x v="27"/>
    <x v="102"/>
    <x v="24"/>
    <n v="37.5"/>
    <n v="75"/>
    <s v="OP-Setup_Adoption"/>
    <m/>
    <m/>
    <m/>
    <m/>
    <m/>
    <m/>
    <m/>
    <m/>
    <m/>
    <m/>
    <m/>
    <s v="All"/>
    <m/>
    <s v="Darshan Ranganath"/>
    <m/>
    <s v="Prem Bihari"/>
    <s v="Nuteti Vinay Kumar"/>
    <s v="Zakariya Karatu Chali"/>
    <s v="Daminee Sao_x000a_Yeshwanth M_x000a_Suryakant Sharma_x000a_Biplab De"/>
    <s v="Jayaprakash Chandrasekaran"/>
    <n v="1"/>
    <s v="Yes"/>
    <m/>
    <x v="4"/>
    <s v="Bobby Alexander"/>
    <m/>
    <s v="https://tekion.atlassian.net/jira/software/c/projects/OPLT/boards/11523"/>
    <s v="https://tekion.atlassian.net/issues/?filter=44580"/>
  </r>
  <r>
    <x v="27"/>
    <x v="103"/>
    <x v="24"/>
    <n v="60"/>
    <n v="120"/>
    <s v="OP-Setup_Mgt"/>
    <m/>
    <m/>
    <m/>
    <m/>
    <m/>
    <m/>
    <m/>
    <m/>
    <m/>
    <m/>
    <m/>
    <s v="All"/>
    <m/>
    <s v="Darshan Ranganath"/>
    <m/>
    <s v="Prem Bihari"/>
    <s v="Ayush Sharma_x000a_Suhail Nazeer"/>
    <m/>
    <s v="Karanveer Singh_x000a_Varun Vaibhav _x000a_Jayanandhana Elango_x000a_Shubham Upreti_x000a_Akshat Gupta_x000a_Himanshu Jayant_x000a_Gokul J"/>
    <s v="Jayaprakash Chandrasekaran"/>
    <n v="0.8571428571428571"/>
    <s v="Yes"/>
    <m/>
    <x v="4"/>
    <s v="Bobby Alexander"/>
    <m/>
    <s v="https://tekion.atlassian.net/jira/software/c/projects/DLA/boards/11522"/>
    <s v="https://tekion.atlassian.net/issues/?filter=44579"/>
  </r>
  <r>
    <x v="27"/>
    <x v="104"/>
    <x v="24"/>
    <m/>
    <m/>
    <s v="OP-TAO"/>
    <m/>
    <m/>
    <m/>
    <m/>
    <m/>
    <m/>
    <m/>
    <m/>
    <m/>
    <m/>
    <m/>
    <s v="All"/>
    <m/>
    <s v="Nitish Kumar"/>
    <m/>
    <s v="Prem Bihari"/>
    <s v="Veeresh Gadag_x000a_Prajna S Puthran_x000a_Shivakumar Kinagi"/>
    <s v="Yashvi Modh, Sujithra J "/>
    <s v="Karanveer Singh_x000a_Varun Vaibhav _x000a_Jayanandhana Elango_x000a_Shubham Upreti_x000a_Akshat Gupta_x000a_Himanshu Jayant_x000a_Gokul J"/>
    <s v="Allwin S"/>
    <n v="1"/>
    <s v="Yes"/>
    <m/>
    <x v="4"/>
    <s v="Bobby Alexander"/>
    <m/>
    <s v="https://tekion.atlassian.net/jira/software/c/projects/OPLT/boards/17275"/>
    <s v="https://tekion.atlassian.net/issues?filter=66102"/>
  </r>
  <r>
    <x v="28"/>
    <x v="105"/>
    <x v="25"/>
    <n v="70"/>
    <n v="140"/>
    <s v="ORBIT-Deep_Context"/>
    <s v="ORBIT-Central"/>
    <s v="ORBIT-Paper"/>
    <m/>
    <m/>
    <m/>
    <m/>
    <m/>
    <m/>
    <m/>
    <m/>
    <m/>
    <m/>
    <m/>
    <s v="Anandhkumar T"/>
    <m/>
    <s v="NA"/>
    <m/>
    <m/>
    <m/>
    <m/>
    <n v="0.42857142857142855"/>
    <s v="Yes"/>
    <m/>
    <x v="5"/>
    <s v="Jawahar Prasad"/>
    <m/>
    <m/>
    <m/>
  </r>
  <r>
    <x v="28"/>
    <x v="106"/>
    <x v="25"/>
    <n v="15"/>
    <n v="30"/>
    <s v="ORBIT-Agents_Skills_Plugins"/>
    <s v="ORBIT-AIR"/>
    <s v="ORBIT-Analytics"/>
    <s v="ORBIT-Q "/>
    <m/>
    <m/>
    <m/>
    <m/>
    <m/>
    <m/>
    <m/>
    <m/>
    <m/>
    <m/>
    <s v="Vishal Gupta"/>
    <m/>
    <s v="NA"/>
    <m/>
    <m/>
    <m/>
    <m/>
    <n v="0.42857142857142855"/>
    <s v="Yes"/>
    <m/>
    <x v="5"/>
    <s v="Jawahar Prasad"/>
    <m/>
    <m/>
    <m/>
  </r>
  <r>
    <x v="29"/>
    <x v="107"/>
    <x v="26"/>
    <n v="48"/>
    <n v="96"/>
    <s v="Parts-Reporting"/>
    <s v="Parts-Onboarding"/>
    <m/>
    <m/>
    <m/>
    <m/>
    <m/>
    <m/>
    <m/>
    <m/>
    <m/>
    <m/>
    <s v="All"/>
    <m/>
    <s v="Prajesh Sahoo"/>
    <m/>
    <s v="Karthik,Rounak"/>
    <s v="Muniraju_x000a_deepika Gupta"/>
    <s v="Shyamashree, Saumya, Manali, Kiran"/>
    <s v="Arun Kumar_x000a_Kunal_x000a_Divya Aneja_x000a_Lakshay Pachori_x000a_Dhruv Ojha_x000a_Riya Sharma"/>
    <m/>
    <n v="0.8571428571428571"/>
    <s v="Yes"/>
    <m/>
    <x v="0"/>
    <s v="Anirudh Agarwal"/>
    <m/>
    <s v="https://tekion.atlassian.net/jira/software/c/projects/PART/boards/9987/backlog"/>
    <s v="https://tekion.atlassian.net/issues/?filter=42571"/>
  </r>
  <r>
    <x v="29"/>
    <x v="108"/>
    <x v="26"/>
    <n v="48"/>
    <n v="96"/>
    <s v="Parts-Price_Tape"/>
    <s v="Parts-Setups"/>
    <s v="Parts-Integrations"/>
    <s v="Parts-SI"/>
    <s v="Parts-APC"/>
    <m/>
    <m/>
    <m/>
    <m/>
    <m/>
    <m/>
    <m/>
    <s v="All"/>
    <m/>
    <s v="Jay Doshi"/>
    <m/>
    <s v="Uday, Karthik, Pranjal,Nadhavardhan"/>
    <s v="Immanuel"/>
    <s v="Shyamashree, Saumya, Manali, Kiran"/>
    <s v="Jatin bansal,_x000a_Shivansh Srivastava,_x000a_Subhash Subhash,_x000a_Ayan Giri ,_x000a_Vaidik Patel,_x000a_harsh Vardhan Singh, Gehlot"/>
    <m/>
    <n v="0.8571428571428571"/>
    <s v="Yes"/>
    <m/>
    <x v="0"/>
    <s v="Anirudh Agarwal"/>
    <m/>
    <s v="https://tekion.atlassian.net/jira/software/c/projects/PART/boards/9982/backlog"/>
    <s v="https://tekion.atlassian.net/issues/?filter=42538"/>
  </r>
  <r>
    <x v="29"/>
    <x v="109"/>
    <x v="26"/>
    <n v="48"/>
    <n v="96"/>
    <s v="Parts-Inventory"/>
    <s v="Parts-Physical_Inventory"/>
    <s v="Parts-Supersession"/>
    <m/>
    <m/>
    <m/>
    <m/>
    <m/>
    <m/>
    <m/>
    <m/>
    <m/>
    <s v="All"/>
    <m/>
    <s v="Jay Doshi"/>
    <m/>
    <s v="Ritesh, Pranjal and Nadhavardhan"/>
    <s v="Poorna Jadhav _x000a_Aditya Duggani"/>
    <s v="Shyamashree, Kiran, Manali, Saumya"/>
    <s v="Md Hamza,_x000a_Allen Richards,_x000a_Vishal Kathpalia,_x000a_Bhavya Dhing,_x000a_Naman patidar,_x000a_Manan gandhi"/>
    <m/>
    <n v="0.8571428571428571"/>
    <s v="Yes"/>
    <m/>
    <x v="0"/>
    <s v="Anirudh Agarwal"/>
    <m/>
    <s v="https://tekion.atlassian.net/jira/software/c/projects/PART/boards/9949/backlog"/>
    <s v="https://tekion.atlassian.net/issues/?filter=42537"/>
  </r>
  <r>
    <x v="29"/>
    <x v="110"/>
    <x v="26"/>
    <n v="48"/>
    <n v="96"/>
    <s v="Parts-Purchase_Order"/>
    <s v="Parts-Receiving"/>
    <s v="Parts-Dirty_Core_Inventory"/>
    <s v="Parts-Label_Configurator"/>
    <s v="Parts-Material_Return"/>
    <m/>
    <m/>
    <m/>
    <m/>
    <m/>
    <m/>
    <m/>
    <s v="All"/>
    <m/>
    <s v="Ankit Kumar Singh"/>
    <m/>
    <s v="Snigdha, Rounak"/>
    <s v="Drethi Shetty"/>
    <s v="Shyamashree, Saumya, Kiran"/>
    <s v="Shivam Parashar,_x000a_Bipul Sharma,_x000a_Ishan Chaudhary,_x000a_Varum Gautham,_x000a_Prasanna Hegde,_x000a_Shubham Mishra"/>
    <m/>
    <n v="0.8571428571428571"/>
    <s v="Yes"/>
    <m/>
    <x v="0"/>
    <s v="Anirudh Agarwal"/>
    <m/>
    <s v="https://tekion.atlassian.net/jira/software/c/projects/PART/boards/9985/backlog"/>
    <s v="https://tekion.atlassian.net/issues/?filter=42540"/>
  </r>
  <r>
    <x v="29"/>
    <x v="111"/>
    <x v="26"/>
    <n v="48"/>
    <n v="96"/>
    <s v="Parts-Platform"/>
    <s v="Parts-Open_Replay"/>
    <m/>
    <m/>
    <m/>
    <m/>
    <m/>
    <m/>
    <m/>
    <m/>
    <m/>
    <m/>
    <s v="All"/>
    <m/>
    <s v="Akshay Nagpurkar"/>
    <m/>
    <s v="Hemant Agarwal"/>
    <s v="Rahul raman"/>
    <s v="Shyamashree &amp; Kiran"/>
    <s v="Joydeep Das,_x000a_Amaan Ali khan,_x000a_aman goyal,_x000a_Shashank Nandimath,_x000a_Ayush Mishra"/>
    <m/>
    <n v="0.8571428571428571"/>
    <s v="Yes"/>
    <m/>
    <x v="0"/>
    <s v="Anirudh Agarwal"/>
    <m/>
    <s v="https://tekion.atlassian.net/jira/software/c/projects/PART/boards/9986/backlog"/>
    <s v="https://tekion.atlassian.net/issues/?filter=42541"/>
  </r>
  <r>
    <x v="29"/>
    <x v="112"/>
    <x v="26"/>
    <n v="48"/>
    <n v="96"/>
    <s v="Parts-Repair_Order_Sales"/>
    <s v="Parts-Picklist"/>
    <m/>
    <m/>
    <m/>
    <m/>
    <m/>
    <m/>
    <m/>
    <m/>
    <m/>
    <m/>
    <s v="All"/>
    <m/>
    <s v="Prajesh Sahoo"/>
    <m/>
    <s v="Snigdha, Sumedha, Prajjwal"/>
    <s v="Viplove Pradhan_x000a_Venkatesha P_x000a_Dharmendra Singh"/>
    <s v="Shyamashree, Saumya, Manali, Kiran"/>
    <s v="Shivam Gupta,_x000a_Aryan Rawlani,_x000a_Santosh Chauhan,_x000a_Ritwik Chhawal,_x000a_Savan Makwana,_x000a_Ankur Adhyapak"/>
    <m/>
    <n v="0.8571428571428571"/>
    <s v="Yes"/>
    <m/>
    <x v="0"/>
    <s v="Anirudh Agarwal"/>
    <m/>
    <s v="https://tekion.atlassian.net/jira/software/c/projects/PART/boards/9984/backlog"/>
    <s v="https://tekion.atlassian.net/issues/?filter=42570"/>
  </r>
  <r>
    <x v="29"/>
    <x v="113"/>
    <x v="26"/>
    <n v="48"/>
    <n v="96"/>
    <s v="Parts-Sales_Order"/>
    <s v="Parts-Special_Order_Request"/>
    <m/>
    <m/>
    <m/>
    <m/>
    <m/>
    <m/>
    <m/>
    <m/>
    <m/>
    <m/>
    <s v="All"/>
    <m/>
    <s v="Vidit Gupta"/>
    <m/>
    <s v="Sumedha, Prajjwal"/>
    <s v="Manigandhan _x000a_Bhumika "/>
    <s v="Shyamashree, Saumya, Manali, Kiran"/>
    <s v="Anand Ram Rakhyani,_x000a_Aryan Pandey,_x000a_Yuvraj Pandiyan,_x000a_Manas Sharma,_x000a_Tushar Gupta,_x000a_Shivam Garg"/>
    <m/>
    <n v="0.8571428571428571"/>
    <s v="Yes"/>
    <m/>
    <x v="0"/>
    <s v="Anirudh Agarwal"/>
    <m/>
    <s v="https://tekion.atlassian.net/jira/software/c/projects/PART/boards/9983/backlog"/>
    <s v="https://tekion.atlassian.net/issues/?filter=42539"/>
  </r>
  <r>
    <x v="30"/>
    <x v="114"/>
    <x v="27"/>
    <n v="51"/>
    <n v="102"/>
    <s v="Payroll-V1"/>
    <s v="Payroll-V2"/>
    <m/>
    <m/>
    <m/>
    <m/>
    <m/>
    <m/>
    <m/>
    <m/>
    <m/>
    <m/>
    <s v="All"/>
    <m/>
    <s v="Suhail Jain"/>
    <m/>
    <s v="Jeremy Atkins, Preston"/>
    <s v="Shobhit, Priyanka M"/>
    <s v="Sujithra"/>
    <s v="Pravin R,_x000a_Shubham maheshwari,_x000a_Sakshi gupta,_x000a_pranav gautam,_x000a_aadarsh kumar**,_x000a_Bhart sharma,_x000a_Pulkit goyal"/>
    <s v="Dhanesh Sharma"/>
    <n v="1"/>
    <s v="Yes"/>
    <m/>
    <x v="0"/>
    <s v="Fahad Tasleem"/>
    <m/>
    <s v="https://tekion.atlassian.net/jira/software/c/projects/PYRL/boards/9322/backlog"/>
    <s v="https://tekion.atlassian.net/issues/?filter=41841"/>
  </r>
  <r>
    <x v="30"/>
    <x v="115"/>
    <x v="27"/>
    <n v="19"/>
    <n v="38"/>
    <s v="Payroll-EH_V1"/>
    <s v="Payroll-EH_V2"/>
    <m/>
    <m/>
    <m/>
    <m/>
    <m/>
    <m/>
    <m/>
    <m/>
    <m/>
    <m/>
    <s v="All"/>
    <m/>
    <s v="Suhail Jain"/>
    <m/>
    <s v="Glen Joseph"/>
    <s v="Jagadish, Sanjeevi"/>
    <s v="Sujithra"/>
    <s v="Keval Savaliya,_x000a_Prabhat Shukla"/>
    <s v="Dhanesh Sharma"/>
    <n v="1"/>
    <s v="Yes"/>
    <m/>
    <x v="0"/>
    <s v="Fahad Tasleem"/>
    <m/>
    <s v="https://tekion.atlassian.net/jira/software/c/projects/PYRL/boards/9323/backlog"/>
    <s v="https://tekion.atlassian.net/issues/?filter=41842"/>
  </r>
  <r>
    <x v="31"/>
    <x v="116"/>
    <x v="28"/>
    <n v="85"/>
    <n v="170"/>
    <s v="PayTek-Front_Office"/>
    <m/>
    <m/>
    <m/>
    <m/>
    <m/>
    <m/>
    <m/>
    <m/>
    <m/>
    <m/>
    <m/>
    <s v="All"/>
    <m/>
    <s v="Shree Ram Bansal"/>
    <m/>
    <s v="Babu Pasupathy"/>
    <s v="Priya Dhansekar"/>
    <s v="Kishore S"/>
    <s v="&quot;Parita Patel,_x000a_Garvit Modi,_x000a_Yagyik Prajapat,_x000a_Nandini Jha,_x000a_Ayushi rawat,_x000a_Riza Fareed,_x000a_Abhijeet Tomer,_x000a_Deepak Yadav&quot;"/>
    <s v="Parital Patel (FE)_x000a_Hasan Kohadwala (BE)"/>
    <n v="1"/>
    <s v="Yes"/>
    <m/>
    <x v="0"/>
    <s v="Ambuj Mehra"/>
    <m/>
    <s v="https://tekion.atlassian.net/jira/software/c/projects/PYTK/boards/9751"/>
    <s v="https://tekion.atlassian.net/issues/?filter=42346"/>
  </r>
  <r>
    <x v="31"/>
    <x v="117"/>
    <x v="28"/>
    <n v="85"/>
    <n v="170"/>
    <s v="PayTek-Back_Office"/>
    <m/>
    <m/>
    <m/>
    <m/>
    <m/>
    <m/>
    <m/>
    <m/>
    <m/>
    <m/>
    <m/>
    <s v="All"/>
    <m/>
    <s v="Jaymil Koshiya"/>
    <m/>
    <s v="Kumar Gaurav"/>
    <s v="Priya Dhansekar"/>
    <s v="Kishore S"/>
    <s v="&quot;Hasan Kohandawala,_x000a_Vibhav Garg,_x000a_Vaibhav Kumar Singh,_x000a_Himanshu Pandey,_x000a_Aryan Sherawat,_x000a_Vivek Sinha,_x000a_Sarthak Kaushik&quot;"/>
    <s v="Parital Patel (FE)_x000a_Hasan Kohadwala (BE)"/>
    <n v="1"/>
    <s v="Yes"/>
    <m/>
    <x v="0"/>
    <s v="Ambuj Mehra"/>
    <m/>
    <s v="https://tekion.atlassian.net/jira/software/c/projects/PYTK/boards/9752"/>
    <s v="https://tekion.atlassian.net/issues/?filter=42347"/>
  </r>
  <r>
    <x v="32"/>
    <x v="118"/>
    <x v="29"/>
    <n v="67.5"/>
    <n v="135"/>
    <s v="Retail-Caviar"/>
    <m/>
    <m/>
    <m/>
    <m/>
    <m/>
    <m/>
    <m/>
    <m/>
    <m/>
    <m/>
    <m/>
    <s v="All"/>
    <m/>
    <s v="Samanwita De"/>
    <m/>
    <s v="Hardik Pharia "/>
    <m/>
    <m/>
    <s v="Sahil Sharma , Vidhi Shah , Shubhankar Pandey , Vaibhav Sharma , Satyam Sachan"/>
    <s v="Chirag Gupta"/>
    <n v="0.7142857142857143"/>
    <s v="Yes"/>
    <m/>
    <x v="3"/>
    <s v="Karan Jeet Singh"/>
    <m/>
    <s v="https://tekion.atlassian.net/jira/software/c/projects/RETL/boards/13005/backlog"/>
    <s v="https://tekion.atlassian.net/issues?filter=50042"/>
  </r>
  <r>
    <x v="32"/>
    <x v="119"/>
    <x v="29"/>
    <n v="77.5"/>
    <n v="155"/>
    <s v="Retail-Deals"/>
    <m/>
    <m/>
    <m/>
    <m/>
    <m/>
    <m/>
    <m/>
    <m/>
    <m/>
    <m/>
    <m/>
    <s v="All"/>
    <m/>
    <s v="Harish Nanjundaiah"/>
    <m/>
    <s v="Hardik Pharia "/>
    <s v="Mamtha and Hema DG _x000a_"/>
    <m/>
    <s v="Abhishek Mishra,_x000a_Deborshi Bhattacharjee,_x000a_Devam Alkeshbhai Shah,_x000a_Harsh Raitani,_x000a_Parakh Shah,_x000a_Prashanth Ramakrishna,_x000a_Prathamesh Sanjay Zingade,_x000a_Siddharth Dubey,_x000a_Vivek Parihar,"/>
    <s v="Chirag Gupta"/>
    <n v="0.8571428571428571"/>
    <s v="Yes"/>
    <m/>
    <x v="3"/>
    <s v="Karan Jeet Singh"/>
    <m/>
    <s v="https://tekion.atlassian.net/jira/software/c/projects/RETL/boards/10015"/>
    <s v="https://tekion.atlassian.net/issues/?filter=42639"/>
  </r>
  <r>
    <x v="32"/>
    <x v="120"/>
    <x v="29"/>
    <n v="87.5"/>
    <n v="175"/>
    <s v="Retail-Desking"/>
    <m/>
    <m/>
    <m/>
    <m/>
    <m/>
    <m/>
    <m/>
    <m/>
    <m/>
    <m/>
    <m/>
    <s v="All"/>
    <m/>
    <s v="Patel Abhijit Sunil"/>
    <m/>
    <s v="Hardik Pharia "/>
    <s v="Pavithra and Punit "/>
    <m/>
    <s v="Alaukik Srivastava,_x000a_Anmol Gangwal,_x000a_Chintan Ilasaryia,_x000a_Bollineni Dinesh,_x000a_Aman Sharma,_x000a_Sushrut M,_x000a_Sunny Singh,_x000a_Sanidhya Gupta,_x000a_Ajay Bhakhar"/>
    <s v="Chirag Gupta"/>
    <n v="0.8571428571428571"/>
    <s v="Yes"/>
    <m/>
    <x v="3"/>
    <s v="Karan Jeet Singh"/>
    <m/>
    <s v="https://tekion.atlassian.net/jira/software/c/projects/RETL/boards/10016"/>
    <s v="https://tekion.atlassian.net/issues/?filter=42640"/>
  </r>
  <r>
    <x v="32"/>
    <x v="121"/>
    <x v="29"/>
    <n v="60"/>
    <n v="120"/>
    <s v="Retail-IMS"/>
    <m/>
    <m/>
    <m/>
    <m/>
    <m/>
    <m/>
    <m/>
    <m/>
    <m/>
    <m/>
    <m/>
    <s v="All"/>
    <m/>
    <s v="Samanwita De"/>
    <m/>
    <s v="Hardik Pharia "/>
    <m/>
    <m/>
    <s v="Kunal Kumar , Ashutosh Ranjan, Tanvee Devra , Pratik Kansara , Gaurav Mohapatra"/>
    <s v="Chirag Gupta"/>
    <n v="0.7142857142857143"/>
    <s v="Yes"/>
    <m/>
    <x v="3"/>
    <s v="Karan Jeet Singh"/>
    <m/>
    <s v="https://tekion.atlassian.net/jira/software/c/projects/RETL/boards/12771/backlog"/>
    <s v="https://tekion.atlassian.net/issues/?filter=49945"/>
  </r>
  <r>
    <x v="32"/>
    <x v="122"/>
    <x v="29"/>
    <n v="115"/>
    <n v="230"/>
    <s v="Retail-Pricing"/>
    <m/>
    <m/>
    <m/>
    <m/>
    <m/>
    <m/>
    <m/>
    <m/>
    <m/>
    <m/>
    <m/>
    <s v="All"/>
    <m/>
    <s v="Pradip Acharya"/>
    <m/>
    <s v="Hardik Pharia "/>
    <s v="Shivama and Mahumita"/>
    <m/>
    <m/>
    <s v="Chirag Gupta"/>
    <n v="0.7142857142857143"/>
    <s v="Yes"/>
    <m/>
    <x v="3"/>
    <s v="Karan Jeet Singh"/>
    <m/>
    <s v="https://tekion.atlassian.net/jira/software/c/projects/RETL/boards/10018"/>
    <s v="https://tekion.atlassian.net/issues/?filter=42642"/>
  </r>
  <r>
    <x v="32"/>
    <x v="123"/>
    <x v="29"/>
    <n v="97.5"/>
    <n v="195"/>
    <s v="Retail-Vehicle_Inventory"/>
    <s v="Retail-Mobile"/>
    <m/>
    <m/>
    <m/>
    <m/>
    <m/>
    <m/>
    <m/>
    <m/>
    <m/>
    <m/>
    <s v="All"/>
    <m/>
    <s v="Bogadapati Rupesh"/>
    <m/>
    <s v="Hardik Pharia "/>
    <s v="Manoj Kumar(US) and Sonali Dash(UK)"/>
    <m/>
    <s v="Kunal Kumar,_x000a_Ankit A,_x000a_Rishabh Niranjan,_x000a_Annaluru Sivadhar,_x000a_Vidhi Sah,_x000a_Loganathan D,_x000a_Sahil Sharma,_x000a_Shubhankar Pandey,_x000a_Subramanian Neelakantan,_x000a_Souvik Dey,_x000a_Vaibhav Sharma,_x000a_Shreshtha Gupta"/>
    <s v="Chirag Gupta"/>
    <n v="0.8571428571428571"/>
    <s v="Yes"/>
    <m/>
    <x v="3"/>
    <s v="Karan Jeet Singh"/>
    <m/>
    <s v="https://tekion.atlassian.net/jira/software/c/projects/RETL/boards/10017"/>
    <s v="https://tekion.atlassian.net/issues/?filter=42641"/>
  </r>
  <r>
    <x v="33"/>
    <x v="124"/>
    <x v="30"/>
    <n v="45"/>
    <n v="90"/>
    <s v="Service-Consumer_Apps"/>
    <m/>
    <m/>
    <m/>
    <m/>
    <m/>
    <m/>
    <m/>
    <m/>
    <m/>
    <m/>
    <m/>
    <s v="All"/>
    <m/>
    <s v="Faheem Ahmad"/>
    <m/>
    <s v="Raghav Madhok"/>
    <s v="Vidya B Halanayaka, Sheetal Das Mohapatra"/>
    <s v="Shyamashree, Kiran,Twinkle, Alok"/>
    <s v="Naman Pandey,_x000a_Darshankumar , Prajapati, _x000a_Bhupendra Bajolia, _x000a_Shreya Anand, _x000a_Shreyansh Saxena, _x000a_Raman Tayal, _x000a_Puneet Kishore, Brahamdev Sharma, _x000a_Jain Jain, _x000a_Thakkar Thakkar, _x000a_Ravi Ravi"/>
    <s v="Vraj Solanki, Ramesh Adabala"/>
    <n v="1"/>
    <s v="Yes"/>
    <m/>
    <x v="0"/>
    <s v="Prashant Gupta, Vraj Solanki"/>
    <m/>
    <s v="https://tekion.atlassian.net/jira/software/c/projects/SERV/boards/9326/backlog"/>
    <s v="https://tekion.atlassian.net/issues?filter=41848"/>
  </r>
  <r>
    <x v="33"/>
    <x v="125"/>
    <x v="30"/>
    <n v="30"/>
    <n v="60"/>
    <s v="Service-Dealer_Apps"/>
    <m/>
    <m/>
    <m/>
    <m/>
    <m/>
    <m/>
    <m/>
    <m/>
    <m/>
    <m/>
    <m/>
    <s v="All"/>
    <m/>
    <s v="Vishnu Mohan"/>
    <m/>
    <s v="Pranav Kothiwal"/>
    <s v="Sarath Balakrishnan, Sangeetha Ram Sharma"/>
    <s v="Shyamashree, Vineeth, Twinkle, Alok, Arushi"/>
    <s v="Vatsal Chandan,_x000a_Vivek Agarwal,_x000a_Shivendra Tripathi, Yogesh Jaiswal, _x000a_Aiswarya R, _x000a_Roshan Shah, _x000a_Nitin Kumar , _x000a_Govind Ajith"/>
    <s v="Ramesh Adabala"/>
    <n v="1"/>
    <s v="Yes"/>
    <m/>
    <x v="0"/>
    <s v="Prashant Gupta, Vraj Solanki"/>
    <m/>
    <s v="https://tekion.atlassian.net/jira/software/c/projects/SERV/boards/9325/backlog"/>
    <s v="https://tekion.atlassian.net/issues?filter=41847"/>
  </r>
  <r>
    <x v="33"/>
    <x v="126"/>
    <x v="30"/>
    <n v="135"/>
    <n v="270"/>
    <s v="Service-Core"/>
    <s v="Service-Platform"/>
    <s v="Service-Setups"/>
    <s v="Service-Integrations"/>
    <m/>
    <m/>
    <m/>
    <m/>
    <m/>
    <m/>
    <m/>
    <m/>
    <s v="All"/>
    <m/>
    <s v="Ashish Singh, Syed Absar Ahmad"/>
    <m/>
    <s v="Rakshit"/>
    <s v="Nirosha, Praveen Joshi, Lingaraj S, Animesh Kumar"/>
    <s v="Shyamashree, Vineeth, Twinkle, Alok, Arushi"/>
    <s v="Darsh Shah,_x000a_Jithin Veeramachaneni,_x000a_Abhinav Agarwal,_x000a_Saurabh Kumar,_x000a_Rishabh Kumar,_x000a_Omang Rawat,_x000a_Harsh Kishorbhai Bhut,_x000a_Aditya Jain,_x000a_Vishal Sharma, Aditya Gupta, _x000a_Ashish Singh, _x000a_Praneeth Chokka, Aditya Sonkusare, _x000a_Kritika Jain, _x000a_Shivam Gupta, _x000a_Aishwary Tiwari, _x000a_Ashish Bandil, Aarif Khan, _x000a_Vaibhav Kumar, _x000a_Prakriti Sagar, _x000a_Siddhant Jha, "/>
    <s v="Ramesh Adabala"/>
    <n v="1"/>
    <s v="Yes"/>
    <m/>
    <x v="0"/>
    <s v="Prashant Gupta, Vraj Solanki"/>
    <m/>
    <s v="https://tekion.atlassian.net/jira/software/c/projects/SERV/boards/9327/backlog"/>
    <s v="https://tekion.atlassian.net/issues?filter=41849"/>
  </r>
  <r>
    <x v="33"/>
    <x v="127"/>
    <x v="30"/>
    <n v="90"/>
    <n v="180"/>
    <s v="Service-RO_Core"/>
    <s v="Service-RO_Web"/>
    <m/>
    <m/>
    <m/>
    <m/>
    <m/>
    <m/>
    <m/>
    <m/>
    <m/>
    <m/>
    <s v="All"/>
    <m/>
    <s v="Prasad Nagaraj"/>
    <m/>
    <s v="Darshan Dange"/>
    <s v="Vinay I V"/>
    <s v="Shyamashree, Vineeth, Twinkle, Alok, Arushi"/>
    <s v="Rameshwar Sankhala, _x000a_Akash Kunwar,_x000a_Utkarsh Mishra,_x000a_Harshit Malhotra,_x000a_Veda Chennupati,_x000a_Sourabh Kumar,_x000a_Akansh Kumar,_x000a_Himanshu Patidar,_x000a_Parth Chaturvedi,_x000a_Shreyas Bapat,_x000a_Niraj Sureshbhai ,Vadhaiya,_x000a_Tarique Ahmad"/>
    <s v="Ramesh Adabala"/>
    <n v="1"/>
    <s v="Yes"/>
    <m/>
    <x v="0"/>
    <s v="Prashant Gupta, Vraj Solanki"/>
    <s v="Service consumer + mobile board is made , this needs deletion or updation "/>
    <s v="https://tekion.atlassian.net/jira/software/c/projects/SERV/boards/9324/backlog"/>
    <s v="https://tekion.atlassian.net/issues?filter=41845"/>
  </r>
  <r>
    <x v="33"/>
    <x v="128"/>
    <x v="30"/>
    <n v="60"/>
    <n v="120"/>
    <s v="Service-Scheduling"/>
    <s v="Service-Reporting"/>
    <m/>
    <m/>
    <m/>
    <m/>
    <m/>
    <m/>
    <m/>
    <m/>
    <m/>
    <m/>
    <s v="All"/>
    <m/>
    <s v="Raj Patel "/>
    <m/>
    <s v="Priyanka"/>
    <s v="Kiran Saha, Ankit Bhatt"/>
    <s v="Shyamashree, Vineeth, Arushi, Alok"/>
    <s v="Akashdeep Singh, _x000a_Rishabh Kumar Singh, _x000a_Nikhil Patel, _x000a_Neelesh Gupta, _x000a_Jnanadeep R, _x000a_Manan Vishalbhai , Makwana, _x000a_Harshit Agrawal, _x000a_Sawan Kumar Kumar , Patodia, Shashank Shekhar, _x000a_Sandesh Suresh Gade"/>
    <s v="Ramesh Adabala"/>
    <n v="1"/>
    <s v="Yes"/>
    <m/>
    <x v="0"/>
    <s v="Prashant Gupta, Vraj Solanki"/>
    <m/>
    <s v="https://tekion.atlassian.net/jira/software/c/projects/SERV/boards/9328/backlog"/>
    <s v="https://tekion.atlassian.net/issues/?filter=41850"/>
  </r>
  <r>
    <x v="33"/>
    <x v="129"/>
    <x v="30"/>
    <n v="45"/>
    <n v="90"/>
    <s v="Service-Mobile"/>
    <s v="Service-MobilePlatform_Android"/>
    <s v="Service-MobilePlatform_iOS"/>
    <s v="Service-MobilePlatform_RN"/>
    <m/>
    <m/>
    <m/>
    <m/>
    <m/>
    <m/>
    <m/>
    <m/>
    <s v="All"/>
    <m/>
    <s v="Rahul"/>
    <m/>
    <m/>
    <s v="Srinivas Ragunathan"/>
    <s v="Shyamashree, Vineeth, Arushi, Twinkle, Alok, Kiran"/>
    <s v="Asharali V U, _x000a_Kumar Aman, _x000a_Ayush Kushwaha"/>
    <s v="Vraj Solanki"/>
    <n v="0.8571428571428571"/>
    <s v="Yes"/>
    <m/>
    <x v="0"/>
    <s v="Prashant Gupta, Vraj Solanki"/>
    <m/>
    <s v="https://tekion.atlassian.net/jira/software/c/projects/SERV/boards/11415/backlog"/>
    <s v="https://tekion.atlassian.net/issues/?filter=44438"/>
  </r>
  <r>
    <x v="34"/>
    <x v="130"/>
    <x v="31"/>
    <n v="36"/>
    <n v="72"/>
    <s v="SIPlatform-Core"/>
    <s v="SIPlatform-Custom_Fields"/>
    <m/>
    <m/>
    <m/>
    <m/>
    <m/>
    <m/>
    <m/>
    <m/>
    <m/>
    <m/>
    <s v="All"/>
    <m/>
    <s v="John Jompton/_x000a_Raghavendra Pai"/>
    <m/>
    <s v="Darshan Srinivasan, Arjun Rajeev"/>
    <s v="Jenix A"/>
    <s v="Shaan Shivanandan"/>
    <s v="Siddhant Rawat_x000a_Akshay Pathak_x000a_Rachit Rathore_x000a_Harsh Upadhyay"/>
    <s v="No"/>
    <n v="1"/>
    <s v="Yes"/>
    <m/>
    <x v="2"/>
    <s v="Prakash Mohan"/>
    <m/>
    <s v="https://tekion.atlassian.net/jira/software/c/projects/SIP/boards/12349"/>
    <s v="https://tekion.atlassian.net/issues/?filter=47806"/>
  </r>
  <r>
    <x v="34"/>
    <x v="131"/>
    <x v="31"/>
    <n v="36"/>
    <n v="72"/>
    <s v="SIPlatform-Extensions"/>
    <s v="SIPlatform-Configurable_UI"/>
    <m/>
    <m/>
    <m/>
    <m/>
    <m/>
    <m/>
    <m/>
    <m/>
    <m/>
    <m/>
    <s v="All"/>
    <m/>
    <s v="John Jompton/_x000a_Raghavendra Pai"/>
    <m/>
    <s v="Darshan Srinivasan, Arjun Rajeev"/>
    <s v="Rahul U J"/>
    <s v="Shaan Shivanandan"/>
    <s v="_x000a_John Jompton (Half Capacity),_x000a_Sanup Kumar,_x000a_Jijo Jose  ,_x000a_Jagdish Kumar, _x000a_Luv Makin"/>
    <s v="No"/>
    <n v="1"/>
    <s v="Yes"/>
    <m/>
    <x v="2"/>
    <s v="Prakash Mohan"/>
    <m/>
    <s v="https://tekion.atlassian.net/jira/software/c/projects/SIP/boards/12350"/>
    <s v="https://tekion.atlassian.net/issues/?filter=47808"/>
  </r>
  <r>
    <x v="35"/>
    <x v="132"/>
    <x v="32"/>
    <m/>
    <m/>
    <s v="T1-Platform"/>
    <s v="T1-Tools"/>
    <s v="T1-Skills"/>
    <m/>
    <m/>
    <m/>
    <m/>
    <m/>
    <m/>
    <m/>
    <m/>
    <m/>
    <m/>
    <m/>
    <s v="Anandhkumar T"/>
    <m/>
    <s v="Ashish Kalya"/>
    <s v="Anil Kumar GK"/>
    <s v="NA"/>
    <s v="Deepak Dhaka , Vishal Karthik Swaminathan , Arkadyuti Sarkar , Sudhir Singh"/>
    <s v="Arkadyuti Sarkar"/>
    <n v="1"/>
    <m/>
    <m/>
    <x v="5"/>
    <s v="Jawahar Prasad"/>
    <m/>
    <m/>
    <m/>
  </r>
  <r>
    <x v="36"/>
    <x v="133"/>
    <x v="33"/>
    <n v="52.5"/>
    <n v="105"/>
    <s v="ZEBRA-Bootstrapping"/>
    <s v="ZEBRA-GoLiveSupport"/>
    <m/>
    <m/>
    <m/>
    <m/>
    <m/>
    <m/>
    <m/>
    <m/>
    <m/>
    <m/>
    <s v="All"/>
    <m/>
    <s v="Shivam Goyal"/>
    <m/>
    <s v="Sumit"/>
    <s v="Vasavi P"/>
    <m/>
    <s v="Sethubharathi B_x000a_Aditya Chaudhary_x000a_Devesh Dewangan_x000a_Tharun Kumar Boya_x000a_Vishal Raj_x000a_Sonam Nikhil (Internal)_x000a_Krushikbhai savani (Internal)_x000a_Vivek Kumar"/>
    <s v="NA"/>
    <n v="0.8571428571428571"/>
    <s v="Yes"/>
    <m/>
    <x v="4"/>
    <s v="Bobby Alexander"/>
    <m/>
    <s v="https://tekion.atlassian.net/jira/software/c/projects/ZEB/boards/9988"/>
    <s v="https://tekion.atlassian.net/issues/?filter=40386"/>
  </r>
  <r>
    <x v="37"/>
    <x v="134"/>
    <x v="34"/>
    <m/>
    <m/>
    <m/>
    <m/>
    <m/>
    <m/>
    <m/>
    <m/>
    <m/>
    <m/>
    <m/>
    <m/>
    <m/>
    <m/>
    <m/>
    <m/>
    <m/>
    <m/>
    <m/>
    <m/>
    <m/>
    <m/>
    <m/>
    <m/>
    <m/>
    <m/>
    <x v="6"/>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s v="CRM"/>
    <s v="CRM-Lead_Assignment"/>
    <s v="Nitesh Khadanga"/>
    <m/>
    <s v="Arun Gangadhar"/>
    <m/>
    <s v="Ved Singh"/>
    <s v="Shivam Arora"/>
    <s v="Subhash Mohan"/>
    <m/>
    <s v="Rashmi Prakash"/>
    <s v="Gaurav Gupta"/>
    <s v="Satyavrat Mudgil"/>
    <s v="Komala"/>
    <x v="0"/>
    <s v="CRM"/>
    <s v="Srividya Mandalapu"/>
    <m/>
  </r>
  <r>
    <s v="CRM"/>
    <s v="CRM-Leads"/>
    <s v="Nitesh Khadanga"/>
    <m/>
    <s v="Arun Gangadhar"/>
    <m/>
    <s v="Ved Singh"/>
    <s v="Jitendra Rahangdale"/>
    <s v="Subhash Mohan"/>
    <m/>
    <s v="Rashmi Prakash"/>
    <s v="Gaurav Gupta"/>
    <s v="Satyavrat Mudgil"/>
    <s v="Komala"/>
    <x v="0"/>
    <s v="CRM"/>
    <s v="Srividya Mandalapu"/>
    <m/>
  </r>
  <r>
    <s v="CRM"/>
    <s v="CRM-Migration"/>
    <s v="Mani T"/>
    <m/>
    <s v="Arun Gangadhar"/>
    <m/>
    <s v="Ved Singh"/>
    <s v="Subhash Mohan"/>
    <m/>
    <m/>
    <s v="Rashmi Prakash"/>
    <s v="Gaurav Gupta"/>
    <s v="Satyavrat Mudgil"/>
    <s v="Komala"/>
    <x v="1"/>
    <s v="CRM"/>
    <s v="Srividya Mandalapu"/>
    <m/>
  </r>
  <r>
    <s v="CRM"/>
    <s v="CRM-Mobile"/>
    <s v="Mani T"/>
    <m/>
    <s v="Arun Gangadhar"/>
    <m/>
    <s v="Ved Singh"/>
    <s v="Shivam Arora"/>
    <s v="Subhash Mohan"/>
    <m/>
    <s v="Rashmi Prakash"/>
    <s v="Gaurav Gupta"/>
    <s v="Satyavrat Mudgil"/>
    <s v="Komala"/>
    <x v="2"/>
    <s v="CRM"/>
    <s v="Srividya Mandalapu"/>
    <m/>
  </r>
  <r>
    <s v="CRM"/>
    <s v="CRM-Task"/>
    <s v="Anuraag Panchal"/>
    <m/>
    <s v="Arun Gangadhar"/>
    <m/>
    <s v="Ved Singh"/>
    <s v="Jitendra Rahangdale"/>
    <s v="Subhash Mohan"/>
    <m/>
    <s v="Rashmi Prakash"/>
    <s v="Gaurav Gupta"/>
    <s v="Satyavrat Mudgil"/>
    <s v="Komala"/>
    <x v="3"/>
    <s v="CRM"/>
    <s v="Srividya Mandalapu"/>
    <m/>
  </r>
  <r>
    <s v="CRM"/>
    <s v="CRM-Appointment"/>
    <s v="Anuraag Panchal"/>
    <m/>
    <s v="Arun Gangadhar"/>
    <m/>
    <s v="Ved Singh"/>
    <s v="Jitendra Rahangdale"/>
    <s v="Subhash Mohan"/>
    <m/>
    <s v="Rashmi Prakash"/>
    <s v="Gaurav Gupta"/>
    <s v="Satyavrat Mudgil"/>
    <s v="Komala"/>
    <x v="3"/>
    <s v="CRM"/>
    <s v="Srividya Mandalapu"/>
    <m/>
  </r>
  <r>
    <s v="CRM"/>
    <s v="CRM-Reports"/>
    <s v="Mani T"/>
    <m/>
    <s v="Arun Gangadhar"/>
    <m/>
    <s v="Ved Singh"/>
    <s v="Jitendra Rahangdale"/>
    <s v="Subhash Mohan"/>
    <m/>
    <s v="Rashmi Prakash"/>
    <s v="Gaurav Gupta"/>
    <s v="Satyavrat Mudgil"/>
    <s v="Komala"/>
    <x v="4"/>
    <s v="CRM"/>
    <s v="Srividya Mandalapu"/>
    <m/>
  </r>
  <r>
    <s v="CRM"/>
    <s v="CRM-Dashboards"/>
    <s v="Mani T"/>
    <m/>
    <s v="Arun Gangadhar"/>
    <m/>
    <s v="Ved Singh"/>
    <s v="Jitendra Rahangdale"/>
    <s v="Subhash Mohan"/>
    <m/>
    <s v="Rashmi Prakash"/>
    <s v="Gaurav Gupta"/>
    <s v="Satyavrat Mudgil"/>
    <s v="Komala"/>
    <x v="4"/>
    <s v="CRM"/>
    <s v="Srividya Mandalapu"/>
    <m/>
  </r>
  <r>
    <s v="CRM"/>
    <s v="CRM-AI"/>
    <s v="Mani T"/>
    <m/>
    <s v="Arun Gangadhar"/>
    <m/>
    <s v="Ved Singh"/>
    <s v="Shivam Arora"/>
    <s v="Subhash Mohan"/>
    <m/>
    <s v="Rashmi Prakash"/>
    <s v="Gaurav Gupta"/>
    <s v="Satyavrat Mudgil"/>
    <s v="Komala"/>
    <x v="2"/>
    <s v="CRM"/>
    <s v="Srividya Mandalapu"/>
    <m/>
  </r>
  <r>
    <s v="CRM"/>
    <s v="CRM-Retail_Mobile"/>
    <s v="Mani T"/>
    <m/>
    <s v="Arun Gangadhar"/>
    <m/>
    <s v="Ved Singh"/>
    <s v="Palash Sanjay Kotgirwar"/>
    <s v="Hardik Paharia"/>
    <s v="Hardik Paharia"/>
    <m/>
    <s v="Gaurav Gupta"/>
    <s v="Satyavrat Mudgil"/>
    <s v="Komala"/>
    <x v="2"/>
    <s v="CRM"/>
    <s v="Srividya Mandalapu"/>
    <m/>
  </r>
  <r>
    <s v="CRM"/>
    <s v="CRM-Sales_AI"/>
    <s v="Mani T"/>
    <m/>
    <s v="Arun Gangadhar"/>
    <m/>
    <s v="Ved Singh"/>
    <s v="Preetiranjan Pradhan"/>
    <m/>
    <m/>
    <s v="Rashmi Prakash"/>
    <s v="Gaurav Gupta"/>
    <s v="Satyavrat Mudgil"/>
    <s v="Komala"/>
    <x v="2"/>
    <s v="CRM"/>
    <s v="Srividya Mandalapu"/>
    <m/>
  </r>
  <r>
    <s v="CRM"/>
    <s v="CRM-Pro"/>
    <s v="Mani T"/>
    <m/>
    <s v="Arun Gangadhar"/>
    <m/>
    <s v="Ved Singh"/>
    <s v="Preetiranjan Pradhan"/>
    <m/>
    <m/>
    <s v="Rashmi Prakash"/>
    <s v="Gaurav Gupta"/>
    <s v="Satyavrat Mudgil"/>
    <s v="Komala"/>
    <x v="2"/>
    <s v="CRM"/>
    <s v="Srividya Mandalapu"/>
    <m/>
  </r>
  <r>
    <s v="CRM"/>
    <s v="CRM-Compliance"/>
    <s v="Jyothi Vejju"/>
    <m/>
    <s v="Arun Gangadhar"/>
    <m/>
    <s v="Ved Singh"/>
    <s v="Piyush Kumar"/>
    <s v="Avin Jain"/>
    <m/>
    <s v="Ashish Kalya"/>
    <m/>
    <s v="Shiva Somasundaram"/>
    <s v="Komala"/>
    <x v="3"/>
    <s v="CRM"/>
    <s v="Srividya Mandalapu"/>
    <s v="CRM-Communication_Preferences"/>
  </r>
  <r>
    <s v="Campaign"/>
    <s v="Campaign-Core"/>
    <s v="Viral"/>
    <m/>
    <s v="Arun Gangadhar"/>
    <m/>
    <s v="Ved Singh"/>
    <s v="Uday Jumle"/>
    <m/>
    <m/>
    <s v="Rashmi Prakash"/>
    <s v="Gaurav Gupta"/>
    <s v="Satyavrat Mudgil"/>
    <s v="Komala"/>
    <x v="4"/>
    <s v="CRM"/>
    <s v="Srividya Mandalapu"/>
    <m/>
  </r>
  <r>
    <s v="Communication"/>
    <s v="Communication-Calling"/>
    <s v="Vikash kumar"/>
    <m/>
    <s v="Ketan Dikshit"/>
    <m/>
    <s v="Ved Singh"/>
    <s v="Jutla Manaswini"/>
    <s v="Avin Jain"/>
    <m/>
    <s v="Ashish Kalya"/>
    <m/>
    <s v="Shiva Somasundaram"/>
    <m/>
    <x v="5"/>
    <s v="COMM"/>
    <s v="Srividya Mandalapu"/>
    <s v="CRM-Communication"/>
  </r>
  <r>
    <s v="Communication"/>
    <s v="Communication-Texting"/>
    <m/>
    <m/>
    <s v="Ketan Dikshit"/>
    <m/>
    <s v="Ved Singh"/>
    <s v="Piyush Kumar"/>
    <s v="Avin Jain"/>
    <m/>
    <s v="Ashish Kalya"/>
    <m/>
    <s v="Shiva Somasundaram"/>
    <m/>
    <x v="5"/>
    <s v="COMM"/>
    <s v="Srividya Mandalapu"/>
    <m/>
  </r>
  <r>
    <s v="Communication"/>
    <s v="Communication-Email"/>
    <m/>
    <m/>
    <s v="Ketan Dikshit"/>
    <m/>
    <s v="Ved Singh"/>
    <s v="Abhinav Wagadre"/>
    <m/>
    <m/>
    <s v="Ashish Kalya"/>
    <m/>
    <s v="Shiva Somasundaram"/>
    <m/>
    <x v="5"/>
    <s v="COMM"/>
    <s v="Srividya Mandalapu"/>
    <m/>
  </r>
  <r>
    <s v="Communication"/>
    <s v="Communication-Live Chat"/>
    <m/>
    <m/>
    <s v="Ketan Dikshit"/>
    <m/>
    <s v="Ved Singh"/>
    <s v="Abhinav Wagadre"/>
    <m/>
    <m/>
    <s v="Ashish Kalya"/>
    <m/>
    <s v="Shiva Somasundaram"/>
    <m/>
    <x v="5"/>
    <s v="COMM"/>
    <s v="Srividya Mandalapu"/>
    <m/>
  </r>
  <r>
    <s v="Communication"/>
    <s v="Communication-Unified_Platform"/>
    <s v="Vikash kumar"/>
    <m/>
    <s v="Ketan Dikshit"/>
    <m/>
    <s v="Ved Singh"/>
    <s v="Jutla Manaswini"/>
    <s v="Avin Jain"/>
    <m/>
    <s v="Ashish Kalya"/>
    <m/>
    <s v="Shiva Somasundaram"/>
    <m/>
    <x v="5"/>
    <s v="COMM"/>
    <s v="Srividya Mandalapu"/>
    <s v="Communication-Platform"/>
  </r>
  <r>
    <s v="ApplicationPlatforms"/>
    <s v="AP-Compliance"/>
    <s v="Venkatesh naik"/>
    <m/>
    <s v="Vaibhav Saini"/>
    <s v="Surya Narayanan"/>
    <s v="Keith Wiseman"/>
    <s v="Lohit Reddy "/>
    <s v="Vamsee Krishna Mullapudi"/>
    <s v="Vamsee Krishna Mullapudi"/>
    <s v="Vijayakumar B"/>
    <m/>
    <s v="Shiva Somasundaram"/>
    <s v="Shashi Kumar"/>
    <x v="6"/>
    <s v="APLT"/>
    <s v="Rahul Rathore"/>
    <s v="Core-Compliance"/>
  </r>
  <r>
    <s v="ApplicationPlatforms"/>
    <s v="AP-Printers_ Scanners"/>
    <s v="Priyansu Singh"/>
    <m/>
    <s v="Vaibhav Saini"/>
    <s v="Surya Narayanan"/>
    <s v="Keith Wiseman"/>
    <s v="Lohit Reddy "/>
    <s v="Vamsee Krishna Mullapudi"/>
    <s v="Vamsee Krishna Mullapudi"/>
    <s v="Vijayakumar B"/>
    <m/>
    <s v="Shiva Somasundaram"/>
    <s v="Shashi Kumar"/>
    <x v="5"/>
    <s v="APLT"/>
    <s v="Rahul Rathore"/>
    <s v="Core-PrinterScanner"/>
  </r>
  <r>
    <s v="ApplicationPlatforms"/>
    <s v="AP-Enterprise"/>
    <s v="Aditya Pandey"/>
    <m/>
    <s v="Vaibhav Saini"/>
    <s v="Surya Narayanan"/>
    <s v="Keith Wiseman"/>
    <s v="Sudeep Kapadia"/>
    <m/>
    <m/>
    <s v="Vijayakumar B"/>
    <m/>
    <s v="Shiva Somasundaram"/>
    <s v="Shashi Kumar"/>
    <x v="7"/>
    <s v="APLT"/>
    <s v="Rahul Rathore"/>
    <s v="Core-Foundation"/>
  </r>
  <r>
    <s v="ApplicationPlatforms"/>
    <s v="AP-Config_Studio"/>
    <s v="Priyansu Singh"/>
    <m/>
    <s v="Vaibhav Saini"/>
    <s v="Surya Narayanan"/>
    <s v="Keith Wiseman"/>
    <s v="Anshika Chaturvedi"/>
    <s v="Vamsee Krishna Mullapudi"/>
    <s v="Vamsee Krishna Mullapudi"/>
    <s v="Vijayakumar B"/>
    <m/>
    <s v="Shiva Somasundaram"/>
    <s v="Shashi Kumar"/>
    <x v="8"/>
    <s v="APLT"/>
    <s v="Rahul Rathore"/>
    <s v="Core-DealerConfigurations"/>
  </r>
  <r>
    <s v="ApplicationPlatforms"/>
    <s v="AP-Workflow_Engine"/>
    <s v="Priyansu Singh"/>
    <m/>
    <s v="Vaibhav Saini"/>
    <s v="Surya Narayanan"/>
    <s v="Keith Wiseman"/>
    <s v="Jaideep Gangwar"/>
    <s v="Subhash Mohan"/>
    <m/>
    <s v="Rashmi Prakash"/>
    <s v="Gaurav Gupta"/>
    <s v="Satyavrat Mudgil"/>
    <s v="Shashi Kumar"/>
    <x v="9"/>
    <s v="APLT"/>
    <s v="Rahul Rathore"/>
    <s v="Core-RuleEngine"/>
  </r>
  <r>
    <s v="ApplicationPlatforms"/>
    <s v="AP-Identity_Mgt"/>
    <s v="Venkatesh naik"/>
    <m/>
    <s v="Vaibhav Saini"/>
    <s v="Surya Narayanan"/>
    <s v="Keith Wiseman"/>
    <s v="Jayashri Soundararajan"/>
    <s v="Vamsee Krishna Mullapudi"/>
    <s v="Vamsee Krishna Mullapudi"/>
    <s v="Vijayakumar B"/>
    <m/>
    <s v="Shiva Somasundaram"/>
    <s v="Shashi Kumar"/>
    <x v="10"/>
    <s v="APLT"/>
    <s v="Rahul Rathore"/>
    <s v="Core-IdentityManagement"/>
  </r>
  <r>
    <s v="ApplicationPlatforms"/>
    <s v="AP-Audit_Approval"/>
    <s v="Aditya Pandey"/>
    <m/>
    <s v="Vaibhav Saini"/>
    <s v="Surya Narayanan"/>
    <s v="Keith Wiseman"/>
    <s v="Sudeep Kapadia"/>
    <m/>
    <m/>
    <s v="Vijayakumar B"/>
    <m/>
    <s v="Shiva Somasundaram"/>
    <s v="Shashi Kumar"/>
    <x v="11"/>
    <s v="APLT"/>
    <s v="Rahul Rathore"/>
    <m/>
  </r>
  <r>
    <s v="ApplicationPlatforms"/>
    <s v="AP-Helix"/>
    <s v="Priyansu Singh"/>
    <m/>
    <s v="Vaibhav Saini"/>
    <s v="Surya Narayanan"/>
    <s v="Keith Wiseman"/>
    <s v="No PM Coverage"/>
    <s v="No PM Coverage"/>
    <s v="No PM Coverage"/>
    <s v="No PM Coverage"/>
    <s v="No PM Coverage"/>
    <s v="Shiva Somasundaram"/>
    <m/>
    <x v="5"/>
    <s v="APLT"/>
    <s v="Rahul Rathore"/>
    <m/>
  </r>
  <r>
    <s v="ApplicationPlatforms"/>
    <s v="AP-PolicyEngine_And_DataValidationFW"/>
    <s v="Priyansu Singh"/>
    <m/>
    <s v="Vaibhav Saini"/>
    <s v="Surya Narayanan"/>
    <s v="Keith Wiseman"/>
    <s v="No PM Coverage"/>
    <s v="No PM Coverage"/>
    <s v="No PM Coverage"/>
    <s v="No PM Coverage"/>
    <s v="No PM Coverage"/>
    <s v="Shiva Somasundaram"/>
    <m/>
    <x v="5"/>
    <s v="APLT"/>
    <s v="Rahul Rathore"/>
    <m/>
  </r>
  <r>
    <s v="ApplicationPlatforms"/>
    <s v="AP-CentralSetupFW_And_MonitoringServices"/>
    <s v="Priyansu Singh"/>
    <m/>
    <s v="Vaibhav Saini"/>
    <s v="Surya Narayanan"/>
    <s v="Keith Wiseman"/>
    <s v="No PM Coverage"/>
    <s v="No PM Coverage"/>
    <s v="No PM Coverage"/>
    <s v="No PM Coverage"/>
    <s v="No PM Coverage"/>
    <s v="Shiva Somasundaram"/>
    <m/>
    <x v="5"/>
    <s v="APLT"/>
    <s v="Rahul Rathore"/>
    <m/>
  </r>
  <r>
    <s v="ZEBRA"/>
    <s v="ZEBRA-Bootstrapping"/>
    <s v="Shivam Goyal"/>
    <m/>
    <s v="Bobby Alexander"/>
    <s v="Surya Narayanan"/>
    <s v="Keith Wiseman"/>
    <s v="No PM Coverage"/>
    <s v="No PM Coverage"/>
    <s v="No PM Coverage"/>
    <s v="No PM Coverage"/>
    <s v="No PM Coverage"/>
    <s v="Shiva Somasundaram"/>
    <m/>
    <x v="12"/>
    <s v="ZEB"/>
    <s v="Rahul Rathore"/>
    <m/>
  </r>
  <r>
    <s v="ZEBRA"/>
    <s v="ZEBRA-GoLiveSupport"/>
    <s v="Shivam Goyal"/>
    <m/>
    <s v="Bobby Alexander"/>
    <s v="Surya Narayanan"/>
    <s v="Keith Wiseman"/>
    <s v="No PM Coverage"/>
    <s v="No PM Coverage"/>
    <s v="No PM Coverage"/>
    <s v="No PM Coverage"/>
    <s v="No PM Coverage"/>
    <s v="Shiva Somasundaram"/>
    <m/>
    <x v="12"/>
    <s v="ZEB"/>
    <s v="Rahul Rathore"/>
    <m/>
  </r>
  <r>
    <s v="ZEBRA"/>
    <s v="ZEBRA-InternalTools"/>
    <s v="Shivam Goyal"/>
    <m/>
    <s v="Bobby Alexander"/>
    <s v="Surya Narayanan"/>
    <s v="Keith Wiseman"/>
    <s v="No PM Coverage"/>
    <s v="No PM Coverage"/>
    <s v="No PM Coverage"/>
    <s v="No PM Coverage"/>
    <s v="No PM Coverage"/>
    <s v="Shiva Somasundaram"/>
    <m/>
    <x v="5"/>
    <s v="ZEB"/>
    <s v="Rahul Rathore"/>
    <s v="Core-InternalTools"/>
  </r>
  <r>
    <s v="ARCIntegration"/>
    <s v="ARCIntegration-Accounting"/>
    <s v="Raghavendra Pai"/>
    <s v="D M Raj Karthick"/>
    <s v="Prakash Mohan"/>
    <s v="Prakash Mohan"/>
    <s v="Satish Sallakonda"/>
    <s v="Bismah Kiani"/>
    <s v="Hanuth Singh"/>
    <s v="Hanuth Singh"/>
    <m/>
    <m/>
    <s v="Satyavrat Mudgil"/>
    <s v="Abhinandan Srinivas"/>
    <x v="13"/>
    <s v="INTG"/>
    <s v="Nishanth Nag"/>
    <m/>
  </r>
  <r>
    <s v="ARCIntegration"/>
    <s v="ARCIntegration-Core"/>
    <s v="Raghavendra Pai"/>
    <s v="D M Raj Karthick"/>
    <s v="Prakash Mohan"/>
    <s v="Prakash Mohan"/>
    <s v="Satish Sallakonda"/>
    <s v="No PM Coverage"/>
    <m/>
    <m/>
    <s v="Tom Jude Ammanthurutil"/>
    <m/>
    <s v="Turker Coskun"/>
    <s v="Abhinandan Srinivas"/>
    <x v="13"/>
    <s v="INTG"/>
    <s v="Nishanth Nag"/>
    <m/>
  </r>
  <r>
    <s v="ARCIntegration"/>
    <s v="ARCIntegration-CreditApp&amp;eContracting"/>
    <s v="Raghavendra Pai"/>
    <s v="D M Raj Karthick"/>
    <s v="Prakash Mohan"/>
    <s v="Prakash Mohan"/>
    <s v="Satish Sallakonda"/>
    <s v="Mudra Surana"/>
    <s v="Saurabh Birla"/>
    <s v="Saurabh Birla"/>
    <m/>
    <s v="Irfan Presswala"/>
    <s v="Satyavrat Mudgil"/>
    <s v="Abhinandan Srinivas"/>
    <x v="13"/>
    <s v="INTG"/>
    <s v="Nishanth Nag"/>
    <m/>
  </r>
  <r>
    <s v="ARCIntegration"/>
    <s v="ARCIntegration-CRM"/>
    <s v="Raghavendra Pai"/>
    <s v="D M Raj Karthick"/>
    <s v="Prakash Mohan"/>
    <s v="Prakash Mohan"/>
    <s v="Satish Sallakonda"/>
    <s v="Siddharth Bountra"/>
    <m/>
    <m/>
    <s v="Tom Jude Ammanthurutil"/>
    <m/>
    <s v="Turker Coskun"/>
    <s v="Abhinandan Srinivas"/>
    <x v="14"/>
    <s v="INTG"/>
    <s v="Nishanth Nag"/>
    <m/>
  </r>
  <r>
    <s v="ARCIntegration"/>
    <s v="ARCIntegration-DRS"/>
    <s v="Raghavendra Pai"/>
    <s v="D M Raj Karthick"/>
    <s v="Prakash Mohan"/>
    <s v="Prakash Mohan"/>
    <s v="Satish Sallakonda"/>
    <s v="Ankush Kedia"/>
    <m/>
    <m/>
    <s v="Suraj Jain"/>
    <s v="Gaurav Gupta"/>
    <s v="Satyavrat Mudgil"/>
    <s v="Abhinandan Srinivas"/>
    <x v="14"/>
    <s v="INTG"/>
    <s v="Nishanth Nag"/>
    <m/>
  </r>
  <r>
    <s v="ARCIntegration"/>
    <s v="ARCIntegration-F&amp;I"/>
    <s v="Raghavendra Pai"/>
    <s v="D M Raj Karthick"/>
    <s v="Prakash Mohan"/>
    <s v="Prakash Mohan"/>
    <s v="Satish Sallakonda"/>
    <s v="Prakhar Gaur"/>
    <s v="Saurabh Birla"/>
    <s v="Saurabh Birla"/>
    <m/>
    <s v="Irfan Presswala"/>
    <s v="Satyavrat Mudgil"/>
    <s v="Abhinandan Srinivas"/>
    <x v="13"/>
    <s v="INTG"/>
    <s v="Nishanth Nag"/>
    <m/>
  </r>
  <r>
    <s v="ARCIntegration"/>
    <s v="ARCIntegration-Parts"/>
    <s v="D M Raj Karthick"/>
    <s v="D M Raj Karthick"/>
    <s v="Prakash Mohan"/>
    <s v="Prakash Mohan"/>
    <s v="Satish Sallakonda"/>
    <s v="Uday Wadhera"/>
    <s v="Arjun Rajeev"/>
    <m/>
    <s v="Tom Jude Ammanthurutil"/>
    <m/>
    <s v="Turker Coskun"/>
    <s v="Abhinandan Srinivas"/>
    <x v="15"/>
    <s v="INTG"/>
    <s v="Nishanth Nag"/>
    <m/>
  </r>
  <r>
    <s v="ARCIntegration"/>
    <s v="ARCIntegration-Platform"/>
    <s v="D M Raj Karthick"/>
    <s v="D M Raj Karthick"/>
    <s v="Prakash Mohan"/>
    <s v="Prakash Mohan"/>
    <s v="Satish Sallakonda"/>
    <s v="Advait Anand"/>
    <s v="Dhanapal Mohanaswamy"/>
    <m/>
    <s v="Tom Jude Ammanthurutil"/>
    <m/>
    <s v="Turker Coskun"/>
    <s v="Abhinandan Srinivas"/>
    <x v="16"/>
    <s v="INTG"/>
    <s v="Nishanth Nag"/>
    <m/>
  </r>
  <r>
    <s v="ARCIntegration"/>
    <s v="ARCIntegration-Retail"/>
    <s v="Raghavendra Pai"/>
    <s v="D M Raj Karthick"/>
    <s v="Prakash Mohan"/>
    <s v="Prakash Mohan"/>
    <s v="Satish Sallakonda"/>
    <s v="Diksha Jain"/>
    <s v="Siddharth Bountra"/>
    <s v="Siddharth Bountra"/>
    <s v="Tom Jude Ammanthurutil"/>
    <m/>
    <s v="Turker Coskun"/>
    <s v="Abhinandan Srinivas"/>
    <x v="17"/>
    <s v="INTG"/>
    <s v="Nishanth Nag"/>
    <m/>
  </r>
  <r>
    <s v="ARCIntegration"/>
    <s v="ARCIntegration-Service"/>
    <s v="D M Raj Karthick"/>
    <s v="D M Raj Karthick"/>
    <s v="Prakash Mohan"/>
    <s v="Prakash Mohan"/>
    <s v="Satish Sallakonda"/>
    <s v="Arjun Rajeev"/>
    <m/>
    <m/>
    <s v="Tom Jude Ammanthurutil"/>
    <m/>
    <s v="Turker Coskun"/>
    <s v="Abhinandan Srinivas"/>
    <x v="18"/>
    <s v="INTG"/>
    <s v="Nishanth Nag"/>
    <m/>
  </r>
  <r>
    <s v="ARCIntegration"/>
    <s v="ARCIntegration-VinDecoding"/>
    <s v="D M Raj Karthick"/>
    <s v="D M Raj Karthick"/>
    <s v="Prakash Mohan"/>
    <s v="Prakash Mohan"/>
    <s v="Satish Sallakonda"/>
    <s v="No PM Coverage"/>
    <m/>
    <m/>
    <s v="Tom Jude Ammanthurutil"/>
    <m/>
    <s v="Turker Coskun"/>
    <s v="Abhinandan Srinivas"/>
    <x v="5"/>
    <s v="INTG"/>
    <s v="Nishanth Nag"/>
    <m/>
  </r>
  <r>
    <s v="ARCIntegration"/>
    <s v="ARCIntegration-Payroll&amp;Cashiering"/>
    <s v="Raghavendra Pai"/>
    <s v="D M Raj Karthick"/>
    <s v="Prakash Mohan"/>
    <s v="Prakash Mohan"/>
    <s v="Satish Sallakonda"/>
    <s v="Glenn Joseph"/>
    <s v="Sundar Rajagopalan"/>
    <m/>
    <m/>
    <m/>
    <s v="Satyavrat Mudgil"/>
    <s v="Abhinandan Srinivas"/>
    <x v="13"/>
    <s v="INTG"/>
    <s v="Nishanth Nag"/>
    <m/>
  </r>
  <r>
    <s v="ARCIntegration"/>
    <s v="ARCIntegration-Comms"/>
    <s v="Raghavendra Pai"/>
    <s v="D M Raj Karthick"/>
    <s v="Prakash Mohan"/>
    <s v="Prakash Mohan"/>
    <s v="Satish Sallakonda"/>
    <s v="Piyush Kumar"/>
    <s v="Avin Jain"/>
    <m/>
    <s v="Ashish Kalya"/>
    <m/>
    <s v="Shiva Somasundaram"/>
    <m/>
    <x v="14"/>
    <s v="INTG"/>
    <s v="Nishanth Nag"/>
    <m/>
  </r>
  <r>
    <s v="Galaxy"/>
    <s v="Galaxy-Core"/>
    <s v="Sunil Garg"/>
    <m/>
    <s v="Damodara Reddy"/>
    <m/>
    <s v="Ved Singh"/>
    <s v="Prashant Khulbe"/>
    <s v="Hardik Patel"/>
    <s v="Hardik Patel"/>
    <m/>
    <s v="Irfan Presswala"/>
    <s v="Satyavrat Mudgil"/>
    <m/>
    <x v="19"/>
    <s v="GAL"/>
    <s v="Srividya Mandalapu"/>
    <m/>
  </r>
  <r>
    <s v="Galaxy"/>
    <s v="Galaxy-CMS_Decoder"/>
    <s v="Sunil Garg"/>
    <m/>
    <s v="Damodara Reddy"/>
    <m/>
    <s v="Ved Singh"/>
    <s v="Sudhanshu Madhur"/>
    <s v="Prashant Khulbe"/>
    <s v="Hardik Patel"/>
    <m/>
    <s v="Irfan Presswala"/>
    <s v="Satyavrat Mudgil"/>
    <m/>
    <x v="19"/>
    <s v="GAL"/>
    <s v="Srividya Mandalapu"/>
    <m/>
  </r>
  <r>
    <s v="Galaxy"/>
    <s v="Galaxy-US"/>
    <s v="Sunil Garg"/>
    <m/>
    <s v="Damodara Reddy"/>
    <m/>
    <s v="Ved Singh"/>
    <s v="Prashant Khulbe"/>
    <s v="Hardik Patel"/>
    <s v="Hardik Patel"/>
    <m/>
    <s v="Irfan Presswala"/>
    <s v="Satyavrat Mudgil"/>
    <m/>
    <x v="19"/>
    <s v="GAL"/>
    <s v="Srividya Mandalapu"/>
    <m/>
  </r>
  <r>
    <s v="Galaxy"/>
    <s v="Galaxy-Canada"/>
    <s v="Sunil Garg"/>
    <m/>
    <s v="Damodara Reddy"/>
    <m/>
    <s v="Ved Singh"/>
    <s v="Prashant Khulbe"/>
    <s v="Hardik Patel"/>
    <s v="Hardik Patel"/>
    <m/>
    <s v="Irfan Presswala"/>
    <s v="Satyavrat Mudgil"/>
    <m/>
    <x v="19"/>
    <s v="GAL"/>
    <s v="Srividya Mandalapu"/>
    <m/>
  </r>
  <r>
    <s v="Galaxy"/>
    <s v="Galaxy-UK"/>
    <s v="Sunil Garg"/>
    <m/>
    <s v="Damodara Reddy"/>
    <m/>
    <s v="Ved Singh"/>
    <s v="Prashant Khulbe"/>
    <s v="Hardik Patel"/>
    <s v="Hardik Patel"/>
    <m/>
    <s v="Irfan Presswala"/>
    <s v="Satyavrat Mudgil"/>
    <m/>
    <x v="19"/>
    <s v="GAL"/>
    <s v="Srividya Mandalapu"/>
    <m/>
  </r>
  <r>
    <s v="Galaxy"/>
    <s v="Galaxy-TDP_Modernisation"/>
    <s v="Abhijeet Singh"/>
    <m/>
    <s v="Damodara Reddy"/>
    <m/>
    <s v="Ved Singh"/>
    <s v="Sudhanshu Madhur"/>
    <s v="Prashant Khulbe"/>
    <s v="Hardik Patel"/>
    <m/>
    <s v="Irfan Presswala"/>
    <s v="Satyavrat Mudgil"/>
    <m/>
    <x v="19"/>
    <s v="GAL"/>
    <s v="Srividya Mandalapu"/>
    <m/>
  </r>
  <r>
    <s v="TDP"/>
    <s v="TDP-Business"/>
    <s v="Jerson Maglasang"/>
    <m/>
    <s v="Damodara Reddy"/>
    <m/>
    <s v="Ved Singh"/>
    <s v="Diksha Jain"/>
    <s v="Siddharth Bountra"/>
    <s v="Siddharth Bountra"/>
    <s v="Tom Jude Ammanthurutil"/>
    <m/>
    <s v="Turker Coskun"/>
    <m/>
    <x v="5"/>
    <m/>
    <s v="Srividya Mandalapu"/>
    <m/>
  </r>
  <r>
    <s v="Retail"/>
    <s v="Retail-Desking"/>
    <s v="Patel Abhijit Sunil"/>
    <m/>
    <s v="Karan Jeet Singh"/>
    <m/>
    <s v="Ved Singh"/>
    <s v="Naman Jain"/>
    <s v="Hardik Paharia"/>
    <s v="Hardik Paharia"/>
    <m/>
    <s v="Gaurav Gupta"/>
    <s v="Satyavrat Mudgil"/>
    <s v="Lokesh Suresh"/>
    <x v="20"/>
    <s v="RETL"/>
    <s v="Srividya Mandalapu"/>
    <m/>
  </r>
  <r>
    <s v="Retail"/>
    <s v="Retail-Deals"/>
    <s v="Harish Nanjundaiah"/>
    <m/>
    <s v="Karan Jeet Singh"/>
    <m/>
    <s v="Ved Singh"/>
    <s v="Avinash Kumar"/>
    <s v="Nilesh Rana"/>
    <s v="Hardik Paharia"/>
    <m/>
    <s v="Gaurav Gupta"/>
    <s v="Satyavrat Mudgil"/>
    <s v="Lokesh Suresh"/>
    <x v="21"/>
    <s v="RETL"/>
    <s v="Srividya Mandalapu"/>
    <m/>
  </r>
  <r>
    <s v="Retail"/>
    <s v="Retail-Vehicle_Inventory"/>
    <s v="Bogadapati Rupesh"/>
    <m/>
    <s v="Karan Jeet Singh"/>
    <m/>
    <s v="Ved Singh"/>
    <s v="Akash Upadhyay"/>
    <s v="Hardik Paharia"/>
    <s v="Hardik Paharia"/>
    <m/>
    <s v="Gaurav Gupta"/>
    <s v="Satyavrat Mudgil"/>
    <s v="Lokesh Suresh"/>
    <x v="22"/>
    <s v="RETL"/>
    <s v="Srividya Mandalapu"/>
    <m/>
  </r>
  <r>
    <s v="Retail"/>
    <s v="Retail-Pricing"/>
    <s v="Patel Abhijit Sunil"/>
    <m/>
    <s v="Karan Jeet Singh"/>
    <m/>
    <s v="Ved Singh"/>
    <s v="Rakesh Reddy Nallagangula"/>
    <s v="Rishabh Dwivedi"/>
    <s v="Hardik Paharia"/>
    <m/>
    <s v="Gaurav Gupta"/>
    <s v="Satyavrat Mudgil"/>
    <s v="Lokesh Suresh"/>
    <x v="23"/>
    <s v="RETL"/>
    <s v="Srividya Mandalapu"/>
    <m/>
  </r>
  <r>
    <s v="Retail"/>
    <s v="Retail-IMS"/>
    <s v="Samanwita De"/>
    <m/>
    <s v="Karan Jeet Singh"/>
    <m/>
    <s v="Ved Singh"/>
    <s v="Hinal Kumar Mistry"/>
    <s v="Hardik Paharia"/>
    <s v="Hardik Paharia"/>
    <m/>
    <s v="Gaurav Gupta"/>
    <s v="Satyavrat Mudgil"/>
    <s v="Lokesh Suresh"/>
    <x v="24"/>
    <s v="RETL"/>
    <s v="Srividya Mandalapu"/>
    <m/>
  </r>
  <r>
    <s v="Retail"/>
    <s v="Retail-Caviar"/>
    <s v="Bogadapati Rupesh"/>
    <m/>
    <s v="Karan Jeet Singh"/>
    <m/>
    <s v="Ved Singh"/>
    <s v="Ashish Rajput"/>
    <s v="Hardik Paharia"/>
    <s v="Hardik Paharia"/>
    <m/>
    <s v="Gaurav Gupta"/>
    <s v="Satyavrat Mudgil"/>
    <s v="Lokesh Suresh"/>
    <x v="25"/>
    <s v="RETL"/>
    <s v="Srividya Mandalapu"/>
    <m/>
  </r>
  <r>
    <s v="Retail"/>
    <s v="Retail-Mobile"/>
    <s v="Bogadapati Rupesh"/>
    <m/>
    <s v="Karan Jeet Singh"/>
    <m/>
    <s v="Ved Singh"/>
    <s v="Palash Sanjay Kotgirwar"/>
    <s v="Hardik Paharia"/>
    <s v="Hardik Paharia"/>
    <m/>
    <s v="Gaurav Gupta"/>
    <s v="Satyavrat Mudgil"/>
    <s v="Lokesh Suresh"/>
    <x v="22"/>
    <s v="RETL"/>
    <s v="Srividya Mandalapu"/>
    <m/>
  </r>
  <r>
    <s v="Accounting"/>
    <s v="Accounting-Core"/>
    <s v="Ankita Bhandarkar"/>
    <s v="Mudit Singhal"/>
    <s v="Fahad Tasleem"/>
    <m/>
    <s v="Sanyam Agrawal"/>
    <s v="Saanya Singh"/>
    <s v="Hanuth Singh"/>
    <s v="Hanuth Singh"/>
    <m/>
    <m/>
    <s v="Satyavrat Mudgil"/>
    <m/>
    <x v="26"/>
    <s v="ACCT"/>
    <s v="Akanksha Jadli"/>
    <m/>
  </r>
  <r>
    <s v="Accounting"/>
    <s v="Accounting-AP"/>
    <s v="Spurthi Gouthareddy"/>
    <m/>
    <s v="Fahad Tasleem"/>
    <m/>
    <s v="Sanyam Agrawal"/>
    <s v="Bismah Kiani"/>
    <s v="Hanuth Singh"/>
    <s v="Hanuth Singh"/>
    <m/>
    <m/>
    <s v="Satyavrat Mudgil"/>
    <s v="Jalu Ram"/>
    <x v="27"/>
    <s v="ACCT"/>
    <s v="Akanksha Jadli"/>
    <m/>
  </r>
  <r>
    <s v="Accounting"/>
    <s v="Accounting-AR"/>
    <s v="Charu Kulshrestha"/>
    <m/>
    <s v="Fahad Tasleem"/>
    <m/>
    <s v="Sanyam Agrawal"/>
    <s v="Rohith Thommandru"/>
    <s v="Hanuth Singh"/>
    <s v="Hanuth Singh"/>
    <m/>
    <m/>
    <s v="Satyavrat Mudgil"/>
    <s v="Jalu Ram"/>
    <x v="28"/>
    <s v="ACCT"/>
    <s v="Akanksha Jadli"/>
    <m/>
  </r>
  <r>
    <s v="Accounting"/>
    <s v="Accounting-FS"/>
    <s v="Ankita Bhandarkar"/>
    <s v="Mudit Singhal"/>
    <s v="Fahad Tasleem"/>
    <m/>
    <s v="Sanyam Agrawal"/>
    <s v="Calvin William Miranda"/>
    <s v="Saanya Singh"/>
    <s v="Hanuth Singh"/>
    <m/>
    <m/>
    <s v="Satyavrat Mudgil"/>
    <m/>
    <x v="29"/>
    <s v="ACCT"/>
    <s v="Akanksha Jadli"/>
    <m/>
  </r>
  <r>
    <s v="Accounting"/>
    <s v="Accounting-Core2"/>
    <s v="Mudit Singhal"/>
    <s v="Mudit Singhal"/>
    <s v="Fahad Tasleem"/>
    <m/>
    <s v="Sanyam Agrawal"/>
    <s v="Saanya Singh"/>
    <s v="Hanuth Singh"/>
    <s v="Hanuth Singh"/>
    <m/>
    <m/>
    <s v="Satyavrat Mudgil"/>
    <m/>
    <x v="29"/>
    <s v="ACCT"/>
    <s v="Akanksha Jadli"/>
    <m/>
  </r>
  <r>
    <s v="Accounting"/>
    <s v="Accounting-Platform"/>
    <s v="Mudit Singhal"/>
    <s v="Mudit Singhal"/>
    <s v="Fahad Tasleem"/>
    <m/>
    <s v="Sanyam Agrawal"/>
    <s v="Saanya Singh"/>
    <s v="Hanuth Singh"/>
    <s v="Hanuth Singh"/>
    <m/>
    <m/>
    <s v="Satyavrat Mudgil"/>
    <m/>
    <x v="30"/>
    <s v="ACCT"/>
    <s v="Akanksha Jadli"/>
    <m/>
  </r>
  <r>
    <s v="Accounting"/>
    <s v="Accounting-AP-Payments"/>
    <s v="Spurthi Gouthareddy"/>
    <m/>
    <s v="Fahad Tasleem"/>
    <m/>
    <s v="Sanyam Agrawal"/>
    <s v="Bismah Kiani"/>
    <s v="Hanuth Singh"/>
    <s v="Hanuth Singh"/>
    <m/>
    <m/>
    <s v="Satyavrat Mudgil"/>
    <s v="Jalu Ram"/>
    <x v="27"/>
    <s v="ACCT"/>
    <s v="Akanksha Jadli"/>
    <m/>
  </r>
  <r>
    <s v="Accounting"/>
    <s v="Accounting-VMS"/>
    <s v="Spurthi Gouthareddy"/>
    <m/>
    <s v="Fahad Tasleem"/>
    <m/>
    <s v="Sanyam Agrawal"/>
    <s v="Bismah Kiani"/>
    <s v="Hanuth Singh"/>
    <s v="Hanuth Singh"/>
    <m/>
    <m/>
    <s v="Satyavrat Mudgil"/>
    <s v="Abhishek Ghildiyal"/>
    <x v="31"/>
    <s v="ACCT"/>
    <s v="Akanksha Jadli"/>
    <m/>
  </r>
  <r>
    <s v="Payroll"/>
    <s v="Payroll-V1"/>
    <s v="Suhail Jain"/>
    <m/>
    <s v="Fahad Tasleem"/>
    <m/>
    <s v="Sanyam Agrawal"/>
    <s v="Preston Griffin"/>
    <s v="Sundar Rajagopalan"/>
    <m/>
    <m/>
    <m/>
    <s v="Satyavrat Mudgil"/>
    <m/>
    <x v="32"/>
    <s v="PYRL"/>
    <s v="Akanksha Jadli"/>
    <m/>
  </r>
  <r>
    <s v="Payroll"/>
    <s v="Payroll-V2"/>
    <s v="Suhail Jain"/>
    <m/>
    <s v="Fahad Tasleem"/>
    <m/>
    <s v="Sanyam Agrawal"/>
    <s v="Jeremy Atkin"/>
    <s v="Sundar Rajagopalan"/>
    <m/>
    <m/>
    <m/>
    <s v="Satyavrat Mudgil"/>
    <m/>
    <x v="32"/>
    <s v="PYRL"/>
    <s v="Akanksha Jadli"/>
    <m/>
  </r>
  <r>
    <s v="Payroll"/>
    <s v="Payroll-EH_V1"/>
    <s v="Suhail Jain"/>
    <m/>
    <s v="Fahad Tasleem"/>
    <m/>
    <s v="Sanyam Agrawal"/>
    <s v="Glen Joseph"/>
    <s v="Sundar Rajagopalan"/>
    <m/>
    <m/>
    <m/>
    <s v="Satyavrat Mudgil"/>
    <m/>
    <x v="33"/>
    <s v="PYRL"/>
    <s v="Akanksha Jadli"/>
    <m/>
  </r>
  <r>
    <s v="Payroll"/>
    <s v="Payroll-EH_V2"/>
    <s v="Suhail Jain"/>
    <m/>
    <s v="Fahad Tasleem"/>
    <m/>
    <s v="Sanyam Agrawal"/>
    <s v="Glen Joseph"/>
    <s v="Sundar Rajagopalan"/>
    <m/>
    <m/>
    <m/>
    <s v="Satyavrat Mudgil"/>
    <m/>
    <x v="33"/>
    <s v="PYRL"/>
    <s v="Akanksha Jadli"/>
    <m/>
  </r>
  <r>
    <s v="eSign_Platform"/>
    <s v="eSign_Platform"/>
    <s v="Suhail Jain"/>
    <m/>
    <s v="Fahad Tasleem"/>
    <m/>
    <s v="Sanyam Agrawal"/>
    <s v="Sireesha Yakkali"/>
    <s v="Hardik Patel"/>
    <s v="Hardik Patel"/>
    <m/>
    <s v="Irfan Presswala"/>
    <s v="Satyavrat Mudgil"/>
    <s v="Jagadish M"/>
    <x v="34"/>
    <s v="ESGN"/>
    <s v="Akanksha Jadli"/>
    <m/>
  </r>
  <r>
    <s v="Cashiering"/>
    <s v="Cashiering"/>
    <s v="Suhail Jain"/>
    <m/>
    <s v="Fahad Tasleem"/>
    <m/>
    <s v="Sanyam Agrawal"/>
    <s v="Kumar Gaurav"/>
    <s v="Babu Pasupathy"/>
    <s v="Babu Pasupathy"/>
    <m/>
    <m/>
    <s v="Satyavrat Mudgil"/>
    <s v="Jagadish M"/>
    <x v="35"/>
    <s v="CASH"/>
    <s v="Akanksha Jadli"/>
    <m/>
  </r>
  <r>
    <s v="Service"/>
    <s v="Service-RO_Core"/>
    <s v="Prasad Nagraj"/>
    <m/>
    <s v="Prashant Gupta, Vraj Solanki"/>
    <m/>
    <s v="Sanyam Agrawal"/>
    <s v="Darshan Dange"/>
    <s v="Rishabh Dassani"/>
    <m/>
    <m/>
    <s v="Alok Joshi"/>
    <s v="Satyavrat Mudgil"/>
    <s v="Sangeetha Sharma"/>
    <x v="36"/>
    <s v="SERV"/>
    <s v="Akanksha Jadli"/>
    <m/>
  </r>
  <r>
    <s v="Service"/>
    <s v="Service-RO_Web"/>
    <s v="Prasad Nagraj"/>
    <m/>
    <s v="Prashant Gupta, Vraj Solanki"/>
    <m/>
    <s v="Sanyam Agrawal"/>
    <s v="Darshan Dange"/>
    <s v="Rishabh Dassani"/>
    <m/>
    <m/>
    <s v="Alok Joshi"/>
    <s v="Satyavrat Mudgil"/>
    <s v="Sangeetha Sharma"/>
    <x v="36"/>
    <s v="SERV"/>
    <s v="Akanksha Jadli"/>
    <m/>
  </r>
  <r>
    <s v="Service"/>
    <s v="Service-Platform"/>
    <s v="Syed Absar Ahmad"/>
    <s v="Amit Parpiyani"/>
    <s v="Prashant Gupta, Vraj Solanki"/>
    <m/>
    <s v="Sanyam Agrawal"/>
    <s v="Ayush Aditya"/>
    <s v="Rishabh Dassani"/>
    <m/>
    <m/>
    <s v="Alok Joshi"/>
    <s v="Satyavrat Mudgil"/>
    <s v="Sangeetha Sharma"/>
    <x v="37"/>
    <s v="SERV"/>
    <s v="Akanksha Jadli"/>
    <m/>
  </r>
  <r>
    <s v="Service"/>
    <s v="Service-Scheduling"/>
    <s v="Raj Patel"/>
    <s v="Raj Patel"/>
    <s v="Prashant Gupta, Vraj Solanki"/>
    <m/>
    <s v="Sanyam Agrawal"/>
    <s v="Sivarprasad Danthuluri"/>
    <s v="Rishabh Dassani"/>
    <m/>
    <m/>
    <s v="Alok Joshi"/>
    <s v="Satyavrat Mudgil"/>
    <s v="Sangeetha Sharma"/>
    <x v="38"/>
    <s v="SERV"/>
    <s v="Akanksha Jadli"/>
    <m/>
  </r>
  <r>
    <s v="Service"/>
    <s v="Service-Reporting"/>
    <s v="Raj Patel"/>
    <s v="Raj Patel"/>
    <s v="Prashant Gupta, Vraj Solanki"/>
    <m/>
    <s v="Sanyam Agrawal"/>
    <s v="Himani Gandhi"/>
    <s v="Rishabh Dassani"/>
    <m/>
    <m/>
    <s v="Alok Joshi"/>
    <s v="Satyavrat Mudgil"/>
    <s v="Sangeetha Sharma"/>
    <x v="38"/>
    <s v="SERV"/>
    <s v="Akanksha Jadli"/>
    <m/>
  </r>
  <r>
    <s v="Service"/>
    <s v="Service-Setups"/>
    <s v="Amit Parpiyani"/>
    <s v="Amit Parpiyani"/>
    <s v="Prashant Gupta, Vraj Solanki"/>
    <m/>
    <s v="Sanyam Agrawal"/>
    <s v="Ankith NVP"/>
    <s v="Rishabh Dassani"/>
    <m/>
    <m/>
    <s v="Alok Joshi"/>
    <s v="Satyavrat Mudgil"/>
    <s v="Sangeetha Sharma"/>
    <x v="37"/>
    <s v="SERV"/>
    <s v="Akanksha Jadli"/>
    <m/>
  </r>
  <r>
    <s v="Service"/>
    <s v="Service-Integrations"/>
    <s v="Amit Parpiyani"/>
    <s v="Amit Parpiyani"/>
    <s v="Prashant Gupta, Vraj Solanki"/>
    <m/>
    <s v="Sanyam Agrawal"/>
    <s v="Ankith NVP"/>
    <s v="Rishabh Dassani"/>
    <m/>
    <m/>
    <s v="Alok Joshi"/>
    <s v="Satyavrat Mudgil"/>
    <s v="Sangeetha Sharma"/>
    <x v="37"/>
    <s v="SERV"/>
    <s v="Akanksha Jadli"/>
    <m/>
  </r>
  <r>
    <s v="Service"/>
    <s v="Service-Dealer_Apps"/>
    <s v="Jyothish"/>
    <m/>
    <s v="Prashant Gupta, Vraj Solanki"/>
    <m/>
    <s v="Sanyam Agrawal"/>
    <s v="Pranav Kothiwal"/>
    <s v="Rishabh Dassani"/>
    <m/>
    <m/>
    <s v="Alok Joshi"/>
    <s v="Satyavrat Mudgil"/>
    <s v="Sangeetha Sharma"/>
    <x v="39"/>
    <s v="SERV"/>
    <s v="Akanksha Jadli"/>
    <m/>
  </r>
  <r>
    <s v="Service"/>
    <s v="Service-Consumer_Apps"/>
    <s v="Faheem Ahmad"/>
    <m/>
    <s v="Prashant Gupta, Vraj Solanki"/>
    <m/>
    <s v="Sanyam Agrawal"/>
    <s v="Rakshit Agnihotri"/>
    <s v="Rishabh Dassani"/>
    <m/>
    <m/>
    <s v="Alok Joshi"/>
    <s v="Satyavrat Mudgil"/>
    <s v="Sangeetha Sharma"/>
    <x v="40"/>
    <s v="SERV"/>
    <s v="Akanksha Jadli"/>
    <m/>
  </r>
  <r>
    <s v="Service"/>
    <s v="Service-Core"/>
    <s v="Syed Absar Ahmad"/>
    <s v="Amit Parpiyani"/>
    <s v="Prashant Gupta, Vraj Solanki"/>
    <m/>
    <s v="Sanyam Agrawal"/>
    <s v="Ayush Aditya"/>
    <s v="Rishabh Dassani"/>
    <m/>
    <m/>
    <s v="Alok Joshi"/>
    <s v="Satyavrat Mudgil"/>
    <s v="Sangeetha Sharma"/>
    <x v="37"/>
    <s v="SERV"/>
    <s v="Akanksha Jadli"/>
    <m/>
  </r>
  <r>
    <s v="Service"/>
    <s v="Service-Mobile"/>
    <s v="Faheem Ahmad"/>
    <m/>
    <s v="Prashant Gupta, Vraj Solanki"/>
    <m/>
    <s v="Sanyam Agrawal"/>
    <s v="Rakshit Agnihotri"/>
    <s v="Rishabh Dassani"/>
    <m/>
    <m/>
    <s v="Alok Joshi"/>
    <s v="Satyavrat Mudgil"/>
    <s v="Sangeetha Sharma"/>
    <x v="41"/>
    <s v="SERV"/>
    <s v="Akanksha Jadli"/>
    <m/>
  </r>
  <r>
    <s v="Service"/>
    <s v="Service-MobilePlatform_Android"/>
    <s v="Faheem Ahmad"/>
    <m/>
    <s v="Prashant Gupta, Vraj Solanki"/>
    <m/>
    <s v="Sanyam Agrawal"/>
    <s v="Rakshit Agnihotri"/>
    <s v="Rishabh Dassani"/>
    <m/>
    <m/>
    <s v="Alok Joshi"/>
    <s v="Satyavrat Mudgil"/>
    <m/>
    <x v="41"/>
    <s v="SERV"/>
    <s v="Akanksha Jadli"/>
    <m/>
  </r>
  <r>
    <s v="Service"/>
    <s v="Service-MobilePlatform_iOS"/>
    <s v="Faheem Ahmad"/>
    <m/>
    <s v="Prashant Gupta, Vraj Solanki"/>
    <m/>
    <s v="Sanyam Agrawal"/>
    <s v="Jayshri Soundarajan"/>
    <s v="Vamsee Krishna Mullapudi"/>
    <s v="Vamsee Krishna Mullapudi"/>
    <s v="Vijayakumar B"/>
    <m/>
    <s v="Shiva Somasundaram"/>
    <m/>
    <x v="41"/>
    <s v="SERV"/>
    <s v="Akanksha Jadli"/>
    <m/>
  </r>
  <r>
    <s v="Service"/>
    <s v="Service-MobilePlatform_RN"/>
    <s v="Faheem Ahmad"/>
    <m/>
    <s v="Prashant Gupta, Vraj Solanki"/>
    <m/>
    <s v="Sanyam Agrawal"/>
    <s v="Jayshri Soundarajan"/>
    <s v="Vamsee Krishna Mullapudi"/>
    <s v="Vamsee Krishna Mullapudi"/>
    <s v="Vijayakumar B"/>
    <m/>
    <s v="Shiva Somasundaram"/>
    <m/>
    <x v="41"/>
    <s v="SERV"/>
    <s v="Akanksha Jadli"/>
    <m/>
  </r>
  <r>
    <s v="Service"/>
    <s v="Service-ServiceOutboundAI"/>
    <m/>
    <m/>
    <s v="Prashant Gupta, Vraj Solanki"/>
    <m/>
    <s v="Sanyam Agrawal"/>
    <m/>
    <m/>
    <m/>
    <m/>
    <m/>
    <m/>
    <m/>
    <x v="5"/>
    <s v="SERV"/>
    <s v="Akanksha Jadli"/>
    <m/>
  </r>
  <r>
    <s v="Parts"/>
    <s v="Parts-Inventory"/>
    <s v="Jay Doshi"/>
    <s v="Akshay Nagpurkar"/>
    <s v="Anirudh Agarwal"/>
    <m/>
    <s v="Sanyam Agrawal"/>
    <s v="Ritesh Batra"/>
    <s v="Sarita Surapaneni"/>
    <s v="Sarita Surapaneni"/>
    <m/>
    <s v="Alok Joshi"/>
    <s v="Satyavrat Mudgil"/>
    <s v="Venkateswara Rao Gudipati"/>
    <x v="42"/>
    <s v="PART"/>
    <s v="Akanksha Jadli"/>
    <m/>
  </r>
  <r>
    <s v="Parts"/>
    <s v="Parts-Physical_Inventory"/>
    <s v="Jay Doshi"/>
    <s v="Akshay Nagpurkar"/>
    <s v="Anirudh Agarwal"/>
    <m/>
    <s v="Sanyam Agrawal"/>
    <s v="Nandu Battula"/>
    <s v="Sarita Surapaneni"/>
    <s v="Sarita Surapaneni"/>
    <m/>
    <s v="Alok Joshi"/>
    <s v="Satyavrat Mudgil"/>
    <s v="Venkateswara Rao Gudipati"/>
    <x v="42"/>
    <s v="PART"/>
    <s v="Akanksha Jadli"/>
    <m/>
  </r>
  <r>
    <s v="Parts"/>
    <s v="Parts-Purchase_Order"/>
    <s v="Jay Doshi"/>
    <s v="Akshay Nagpurkar"/>
    <s v="Anirudh Agarwal"/>
    <m/>
    <s v="Sanyam Agrawal"/>
    <s v="Snigdha Sahoo"/>
    <s v="Hemant Agarwal"/>
    <s v="Sarita Surapaneni"/>
    <m/>
    <s v="Alok Joshi"/>
    <s v="Satyavrat Mudgil"/>
    <s v="Venkateswara Rao Gudipati"/>
    <x v="43"/>
    <s v="PART"/>
    <s v="Akanksha Jadli"/>
    <m/>
  </r>
  <r>
    <s v="Parts"/>
    <s v="Parts-Receiving"/>
    <s v="Jay Doshi"/>
    <s v="Akshay Nagpurkar"/>
    <s v="Anirudh Agarwal"/>
    <m/>
    <s v="Sanyam Agrawal"/>
    <s v="Rounak Das"/>
    <s v="Hemant Agarwal"/>
    <s v="Sarita Surapaneni"/>
    <m/>
    <s v="Alok Joshi"/>
    <s v="Satyavrat Mudgil"/>
    <s v="Venkateswara Rao Gudipati"/>
    <x v="43"/>
    <s v="PART"/>
    <s v="Akanksha Jadli"/>
    <m/>
  </r>
  <r>
    <s v="Parts"/>
    <s v="Parts-Sales_Order"/>
    <s v="Vidit Gupta"/>
    <s v="Akshay Nagpurkar"/>
    <s v="Anirudh Agarwal"/>
    <m/>
    <s v="Sanyam Agrawal"/>
    <s v="Prajjwal Khandelwal"/>
    <s v="Sarita Surapaneni"/>
    <s v="Sarita Surapaneni"/>
    <m/>
    <s v="Alok Joshi"/>
    <s v="Satyavrat Mudgil"/>
    <s v="Venkateswara Rao Gudipati"/>
    <x v="44"/>
    <s v="PART"/>
    <s v="Akanksha Jadli"/>
    <m/>
  </r>
  <r>
    <s v="Parts"/>
    <s v="Parts-Special_Order_Request"/>
    <s v="Vidit Gupta"/>
    <s v="Akshay Nagpurkar"/>
    <s v="Anirudh Agarwal"/>
    <m/>
    <s v="Sanyam Agrawal"/>
    <s v="Sumedha Sagar"/>
    <s v="Hemant Agarwal"/>
    <s v="Sarita Surapaneni"/>
    <m/>
    <s v="Alok Joshi"/>
    <s v="Satyavrat Mudgil"/>
    <s v="Venkateswara Rao Gudipati"/>
    <x v="44"/>
    <s v="PART"/>
    <s v="Akanksha Jadli"/>
    <m/>
  </r>
  <r>
    <s v="Parts"/>
    <s v="Parts-Label_Configurator"/>
    <s v="Jay Doshi"/>
    <s v="Akshay Nagpurkar"/>
    <s v="Anirudh Agarwal"/>
    <m/>
    <s v="Sanyam Agrawal"/>
    <s v="Nandu Battula"/>
    <s v="Sarita Surapaneni"/>
    <s v="Sarita Surapaneni"/>
    <m/>
    <s v="Alok Joshi"/>
    <s v="Satyavrat Mudgil"/>
    <s v="Venkateswara Rao Gudipati"/>
    <x v="43"/>
    <s v="PART"/>
    <s v="Akanksha Jadli"/>
    <m/>
  </r>
  <r>
    <s v="Parts"/>
    <s v="Parts-Repair_Order_Sales"/>
    <s v="Prajesh Sahoo"/>
    <s v="Akshay Nagpurkar"/>
    <s v="Anirudh Agarwal"/>
    <m/>
    <s v="Sanyam Agrawal"/>
    <s v="Snigdha Sahoo"/>
    <s v="Hemant Agarwal"/>
    <s v="Sarita Surapaneni"/>
    <m/>
    <s v="Alok Joshi"/>
    <s v="Satyavrat Mudgil"/>
    <s v="Venkateswara Rao Gudipati"/>
    <x v="45"/>
    <s v="PART"/>
    <s v="Akanksha Jadli"/>
    <m/>
  </r>
  <r>
    <s v="Parts"/>
    <s v="Parts-Picklist"/>
    <s v="Prajesh Sahoo"/>
    <s v="Akshay Nagpurkar"/>
    <s v="Anirudh Agarwal"/>
    <m/>
    <s v="Sanyam Agrawal"/>
    <s v="Prajjwal Khandelwal"/>
    <s v="Sarita Surapaneni"/>
    <s v="Sarita Surapaneni"/>
    <m/>
    <s v="Alok Joshi"/>
    <s v="Satyavrat Mudgil"/>
    <s v="Venkateswara Rao Gudipati"/>
    <x v="45"/>
    <s v="PART"/>
    <s v="Akanksha Jadli"/>
    <m/>
  </r>
  <r>
    <s v="Parts"/>
    <s v="Parts-Dirty_Core_Inventory"/>
    <s v="Jay Doshi"/>
    <s v="Akshay Nagpurkar"/>
    <s v="Anirudh Agarwal"/>
    <m/>
    <s v="Sanyam Agrawal"/>
    <s v="Rounak Das"/>
    <s v="Hemant Agarwal"/>
    <s v="Sarita Surapaneni"/>
    <m/>
    <s v="Alok Joshi"/>
    <s v="Satyavrat Mudgil"/>
    <s v="Venkateswara Rao Gudipati"/>
    <x v="43"/>
    <s v="PART"/>
    <s v="Akanksha Jadli"/>
    <m/>
  </r>
  <r>
    <s v="Parts"/>
    <s v="Parts-Material_Return"/>
    <s v="Jay Doshi"/>
    <s v="Akshay Nagpurkar"/>
    <s v="Anirudh Agarwal"/>
    <m/>
    <s v="Sanyam Agrawal"/>
    <s v="Rounak Das"/>
    <s v="Hemant Agarwal"/>
    <s v="Sarita Surapaneni"/>
    <m/>
    <s v="Alok Joshi"/>
    <s v="Satyavrat Mudgil"/>
    <s v="Venkateswara Rao Gudipati"/>
    <x v="43"/>
    <s v="PART"/>
    <s v="Akanksha Jadli"/>
    <m/>
  </r>
  <r>
    <s v="Parts"/>
    <s v="Parts-Price_Tape"/>
    <s v="Jay Doshi"/>
    <s v="Akshay Nagpurkar"/>
    <s v="Anirudh Agarwal"/>
    <m/>
    <s v="Sanyam Agrawal"/>
    <s v="Pranjal Pushp"/>
    <s v="Hemant Agarwal"/>
    <s v="Sarita Surapaneni"/>
    <m/>
    <s v="Alok Joshi"/>
    <s v="Satyavrat Mudgil"/>
    <s v="Venkateswara Rao Gudipati"/>
    <x v="46"/>
    <s v="PART"/>
    <s v="Akanksha Jadli"/>
    <m/>
  </r>
  <r>
    <s v="Parts"/>
    <s v="Parts-Supersession"/>
    <s v="Jay Doshi"/>
    <s v="Akshay Nagpurkar"/>
    <s v="Anirudh Agarwal"/>
    <m/>
    <s v="Sanyam Agrawal"/>
    <s v="Karthik Kameshwaran"/>
    <s v="Sarita Surapaneni"/>
    <s v="Sarita Surapaneni"/>
    <m/>
    <s v="Alok Joshi"/>
    <s v="Satyavrat Mudgil"/>
    <s v="Venkateswara Rao Gudipati"/>
    <x v="42"/>
    <s v="PART"/>
    <s v="Akanksha Jadli"/>
    <m/>
  </r>
  <r>
    <s v="Parts"/>
    <s v="Parts-Setups"/>
    <s v="Jay Doshi"/>
    <s v="Akshay Nagpurkar"/>
    <s v="Anirudh Agarwal"/>
    <m/>
    <s v="Sanyam Agrawal"/>
    <s v="Nandu Battula"/>
    <s v="Sarita Surapaneni"/>
    <s v="Sarita Surapaneni"/>
    <m/>
    <s v="Alok Joshi"/>
    <s v="Satyavrat Mudgil"/>
    <s v="Venkateswara Rao Gudipati"/>
    <x v="46"/>
    <s v="PART"/>
    <s v="Akanksha Jadli"/>
    <m/>
  </r>
  <r>
    <s v="Parts"/>
    <s v="Parts-Open_Replay"/>
    <s v="Vidit Gupta"/>
    <s v="Akshay Nagpurkar"/>
    <s v="Anirudh Agarwal"/>
    <m/>
    <s v="Sanyam Agrawal"/>
    <s v="Hemant Agarwal"/>
    <s v="Sarita Surapaneni"/>
    <s v="Sarita Surapaneni"/>
    <m/>
    <s v="Alok Joshi"/>
    <s v="Satyavrat Mudgil"/>
    <s v="Venkateswara Rao Gudipati"/>
    <x v="47"/>
    <s v="PART"/>
    <s v="Akanksha Jadli"/>
    <m/>
  </r>
  <r>
    <s v="Parts"/>
    <s v="Parts-Platform"/>
    <s v="Vidit Gupta"/>
    <s v="Akshay Nagpurkar"/>
    <s v="Anirudh Agarwal"/>
    <m/>
    <s v="Sanyam Agrawal"/>
    <s v="Hemant Agarwal"/>
    <s v="Sarita Surapaneni"/>
    <s v="Sarita Surapaneni"/>
    <m/>
    <s v="Alok Joshi"/>
    <s v="Satyavrat Mudgil"/>
    <s v="Venkateswara Rao Gudipati"/>
    <x v="47"/>
    <s v="PART"/>
    <s v="Akanksha Jadli"/>
    <m/>
  </r>
  <r>
    <s v="Parts"/>
    <s v="Parts-Reporting"/>
    <s v="Prajesh Sahoo"/>
    <s v="Akshay Nagpurkar"/>
    <s v="Anirudh Agarwal"/>
    <m/>
    <s v="Sanyam Agrawal"/>
    <s v="Karthik Kameshwaran"/>
    <s v="Sarita Surapaneni"/>
    <s v="Sarita Surapaneni"/>
    <m/>
    <s v="Alok Joshi"/>
    <s v="Satyavrat Mudgil"/>
    <s v="Venkateswara Rao Gudipati"/>
    <x v="48"/>
    <s v="PART"/>
    <s v="Akanksha Jadli"/>
    <m/>
  </r>
  <r>
    <s v="Parts"/>
    <s v="Parts-Onboarding"/>
    <s v="Prajesh Sahoo"/>
    <s v="Akshay Nagpurkar"/>
    <s v="Anirudh Agarwal"/>
    <m/>
    <s v="Sanyam Agrawal"/>
    <s v="Karthik Kameshwaran"/>
    <s v="Sarita Surapaneni"/>
    <s v="Sarita Surapaneni"/>
    <m/>
    <s v="Alok Joshi"/>
    <s v="Satyavrat Mudgil"/>
    <s v="Venkateswara Rao Gudipati"/>
    <x v="48"/>
    <s v="PART"/>
    <s v="Akanksha Jadli"/>
    <m/>
  </r>
  <r>
    <s v="PayTek"/>
    <s v="PayTek-Front_Office"/>
    <s v="Shree Ram Bansal"/>
    <m/>
    <s v="Ambuj Mehra"/>
    <m/>
    <s v="Sanyam Agrawal"/>
    <s v="Jeeth Jose"/>
    <s v="Babu Pasupathy"/>
    <s v="Babu Pasupathy"/>
    <m/>
    <m/>
    <s v="Satyavrat Mudgil"/>
    <m/>
    <x v="49"/>
    <s v="PYTK"/>
    <s v="Akanksha Jadli"/>
    <m/>
  </r>
  <r>
    <s v="PayTek"/>
    <s v="PayTek-Back_Office"/>
    <s v="Jaymil Koshiya"/>
    <m/>
    <s v="Ambuj Mehra"/>
    <m/>
    <s v="Sanyam Agrawal"/>
    <s v="Jeeth Jose"/>
    <s v="Babu Pasupathy"/>
    <s v="Babu Pasupathy"/>
    <m/>
    <m/>
    <s v="Satyavrat Mudgil"/>
    <m/>
    <x v="50"/>
    <s v="PYTK"/>
    <s v="Akanksha Jadli"/>
    <m/>
  </r>
  <r>
    <s v="PayTek"/>
    <s v="PayTek-Spend"/>
    <s v="Ambuj Mehra"/>
    <m/>
    <s v="Ambuj Mehra"/>
    <m/>
    <s v="Sanyam Agrawal"/>
    <s v="Kumar Gaurav"/>
    <s v="Babu Pasupathy"/>
    <s v="Babu Pasupathy"/>
    <m/>
    <m/>
    <s v="Satyavrat Mudgil"/>
    <m/>
    <x v="50"/>
    <s v="PYTK"/>
    <s v="Akanksha Jadli"/>
    <m/>
  </r>
  <r>
    <s v="HorizontalPlatforms"/>
    <s v="HP-Registries_and_Config_Stores"/>
    <s v="Surendra Gandham"/>
    <m/>
    <s v="Parul Jain"/>
    <s v="Parul Jain"/>
    <s v="Raghu Edalur"/>
    <s v="No PM Coverage"/>
    <s v="No PM Coverage"/>
    <s v="No PM Coverage"/>
    <s v="No PM Coverage"/>
    <s v="No PM Coverage"/>
    <s v="No PM coverage"/>
    <m/>
    <x v="51"/>
    <s v="HPLT"/>
    <s v="Rahul Rathore"/>
    <s v="Platform-Foundations"/>
  </r>
  <r>
    <s v="HorizontalPlatforms"/>
    <s v="HP-Routing_and_Reliability"/>
    <s v="Surendra Gandham"/>
    <m/>
    <s v="Parul Jain"/>
    <s v="Parul Jain"/>
    <s v="Raghu Edalur"/>
    <s v="No PM Coverage"/>
    <s v="No PM Coverage"/>
    <s v="No PM Coverage"/>
    <s v="No PM Coverage"/>
    <s v="No PM Coverage"/>
    <s v="No PM coverage"/>
    <m/>
    <x v="52"/>
    <s v="HPLT"/>
    <s v="Rahul Rathore"/>
    <m/>
  </r>
  <r>
    <s v="HorizontalPlatforms"/>
    <s v="HP-Utilities"/>
    <s v="Surendra Gandham"/>
    <m/>
    <s v="Parul Jain"/>
    <s v="Parul Jain"/>
    <s v="Raghu Edalur"/>
    <s v="No PM Coverage"/>
    <s v="No PM Coverage"/>
    <s v="No PM Coverage"/>
    <s v="No PM Coverage"/>
    <s v="No PM Coverage"/>
    <s v="No PM coverage"/>
    <m/>
    <x v="53"/>
    <s v="HPLT"/>
    <s v="Rahul Rathore"/>
    <m/>
  </r>
  <r>
    <s v="HorizontalPlatforms"/>
    <s v="HP-Technologies_and_RnD"/>
    <s v="Surendra Gandham"/>
    <m/>
    <s v="Parul Jain"/>
    <s v="Parul Jain"/>
    <s v="Raghu Edalur"/>
    <s v="No PM Coverage"/>
    <s v="No PM Coverage"/>
    <s v="No PM Coverage"/>
    <s v="No PM Coverage"/>
    <s v="No PM Coverage"/>
    <s v="No PM coverage"/>
    <m/>
    <x v="54"/>
    <s v="HPLT"/>
    <s v="Rahul Rathore"/>
    <m/>
  </r>
  <r>
    <s v="HorizontalPlatforms"/>
    <s v="HP-Central_Setups"/>
    <s v="Sandhya Singh"/>
    <m/>
    <s v="Parul Jain"/>
    <s v="Parul Jain"/>
    <s v="Raghu Edalur"/>
    <s v="No PM Coverage"/>
    <s v="No PM Coverage"/>
    <s v="No PM Coverage"/>
    <s v="No PM Coverage"/>
    <s v="No PM Coverage"/>
    <s v="No PM coverage"/>
    <m/>
    <x v="55"/>
    <s v="HPLT"/>
    <s v="Rahul Rathore"/>
    <s v="Platform-CentralSetups"/>
  </r>
  <r>
    <s v="HorizontalPlatforms"/>
    <s v="HP-Data_and_Content_Mgmt"/>
    <s v="Sandhya Singh"/>
    <m/>
    <s v="Parul Jain"/>
    <s v="Parul Jain"/>
    <s v="Raghu Edalur"/>
    <s v="No PM Coverage"/>
    <s v="No PM Coverage"/>
    <s v="No PM Coverage"/>
    <s v="No PM Coverage"/>
    <s v="No PM Coverage"/>
    <s v="No PM coverage"/>
    <m/>
    <x v="56"/>
    <s v="HPLT"/>
    <s v="Rahul Rathore"/>
    <m/>
  </r>
  <r>
    <s v="HorizontalPlatforms"/>
    <s v="HP-Presentation_Centric_Platforms"/>
    <s v="Sandhya Singh"/>
    <m/>
    <s v="Parul Jain"/>
    <s v="Parul Jain"/>
    <s v="Raghu Edalur"/>
    <s v="No PM Coverage"/>
    <s v="No PM Coverage"/>
    <s v="No PM Coverage"/>
    <s v="No PM Coverage"/>
    <s v="No PM Coverage"/>
    <s v="No PM coverage"/>
    <m/>
    <x v="57"/>
    <s v="HPLT"/>
    <s v="Rahul Rathore"/>
    <m/>
  </r>
  <r>
    <s v="HorizontalPlatforms"/>
    <s v="HP-Interaction_Platforms"/>
    <s v="Sandhya Singh"/>
    <m/>
    <s v="Parul Jain"/>
    <s v="Parul Jain"/>
    <s v="Raghu Edalur"/>
    <s v="No PM Coverage"/>
    <s v="No PM Coverage"/>
    <s v="No PM Coverage"/>
    <s v="No PM Coverage"/>
    <s v="No PM Coverage"/>
    <s v="No PM coverage"/>
    <m/>
    <x v="58"/>
    <s v="HPLT"/>
    <s v="Rahul Rathore"/>
    <m/>
  </r>
  <r>
    <s v="HorizontalPlatforms"/>
    <s v="HP-Persistence"/>
    <s v="Rushikesh"/>
    <m/>
    <s v="Parul Jain"/>
    <s v="Parul Jain"/>
    <s v="Raghu Edalur"/>
    <s v="No PM Coverage"/>
    <s v="No PM Coverage"/>
    <s v="No PM Coverage"/>
    <s v="No PM Coverage"/>
    <s v="No PM Coverage"/>
    <s v="No PM coverage"/>
    <m/>
    <x v="59"/>
    <s v="HPLT"/>
    <s v="Rahul Rathore"/>
    <s v="Platform-DBAAS"/>
  </r>
  <r>
    <s v="HorizontalPlatforms"/>
    <s v="HP-Caching_and_Messaging"/>
    <s v="Rushikesh"/>
    <m/>
    <s v="Parul Jain"/>
    <s v="Parul Jain"/>
    <s v="Raghu Edalur"/>
    <s v="No PM Coverage"/>
    <s v="No PM Coverage"/>
    <s v="No PM Coverage"/>
    <s v="No PM Coverage"/>
    <s v="No PM Coverage"/>
    <s v="No PM coverage"/>
    <m/>
    <x v="60"/>
    <s v="HPLT"/>
    <s v="Rahul Rathore"/>
    <s v="Platform-Caching"/>
  </r>
  <r>
    <s v="HorizontalPlatforms"/>
    <s v="HP-UI_Platforms"/>
    <s v="Sandesh"/>
    <m/>
    <s v="Parul Jain"/>
    <s v="Parul Jain"/>
    <s v="Raghu Edalur"/>
    <s v="No PM Coverage"/>
    <s v="No PM Coverage"/>
    <s v="No PM Coverage"/>
    <s v="No PM Coverage"/>
    <s v="No PM Coverage"/>
    <s v="No PM coverage"/>
    <m/>
    <x v="61"/>
    <s v="HPLT"/>
    <s v="Rahul Rathore"/>
    <s v="Platform-UI"/>
  </r>
  <r>
    <s v="HorizontalPlatforms"/>
    <s v="HP-AI_Native"/>
    <s v="Surendra Gandham"/>
    <m/>
    <s v="Parul Jain"/>
    <s v="Parul Jain"/>
    <s v="Raghu Edalur"/>
    <s v="No PM Coverage"/>
    <s v="No PM Coverage"/>
    <s v="No PM Coverage"/>
    <s v="No PM Coverage"/>
    <s v="No PM Coverage"/>
    <s v="No PM coverage"/>
    <m/>
    <x v="62"/>
    <s v="HPLT"/>
    <s v="Rahul Rathore"/>
    <m/>
  </r>
  <r>
    <s v="PerformanceEngg"/>
    <s v="PerformanceEngg"/>
    <s v="Mrunal Chimmalagi"/>
    <m/>
    <s v="Saurabh Goyal"/>
    <m/>
    <s v="Viraj Patel"/>
    <s v="No PM Coverage"/>
    <s v="No PM Coverage"/>
    <s v="No PM Coverage"/>
    <s v="No PM Coverage"/>
    <s v="No PM Coverage"/>
    <s v="No PM coverage"/>
    <m/>
    <x v="5"/>
    <m/>
    <s v="Bhuvana Vanama"/>
    <m/>
  </r>
  <r>
    <s v="APC"/>
    <s v="APC-IEX"/>
    <s v="Pushpam"/>
    <s v="Pushpam"/>
    <s v="Vaibhav Saini"/>
    <s v="Surya Narayanan"/>
    <s v="Keith Wiseman"/>
    <s v="Shashank Jaisawal"/>
    <s v="Vinoth Arun"/>
    <m/>
    <s v="Tom Jude Ammanthurutil"/>
    <m/>
    <s v="Turker Coskun"/>
    <s v="Pavithra Ravi"/>
    <x v="63"/>
    <s v="APC"/>
    <s v="Rahul Rathore"/>
    <m/>
  </r>
  <r>
    <s v="APC"/>
    <s v="APC-Cortex"/>
    <s v="Pushpam"/>
    <s v="Pushpam"/>
    <s v="Vaibhav Saini"/>
    <s v="Surya Narayanan"/>
    <s v="Keith Wiseman"/>
    <m/>
    <m/>
    <m/>
    <m/>
    <m/>
    <m/>
    <m/>
    <x v="64"/>
    <s v="APC"/>
    <s v="Rahul Rathore"/>
    <m/>
  </r>
  <r>
    <s v="APC"/>
    <s v="APC-PEX"/>
    <s v="Pushpam"/>
    <s v="Pushpam"/>
    <s v="Vaibhav Saini"/>
    <s v="Surya Narayanan"/>
    <s v="Keith Wiseman"/>
    <s v="Shashank Jaisawal"/>
    <s v="Vinoth Arun"/>
    <m/>
    <s v="Tom Jude Ammanthurutil"/>
    <m/>
    <s v="Turker Coskun"/>
    <s v="Pavithra Ravi"/>
    <x v="65"/>
    <s v="APC"/>
    <s v="Rahul Rathore"/>
    <m/>
  </r>
  <r>
    <s v="DataPlatform"/>
    <s v="DataPlatform-Ingestion"/>
    <s v="Ajay Rao"/>
    <m/>
    <s v="Ajay Rao"/>
    <s v="Raghu Ram Vengalil"/>
    <s v="Satish Sallakonda"/>
    <s v="Surya Vikram"/>
    <s v="Chevviyan K"/>
    <s v="Chevviyan K"/>
    <m/>
    <m/>
    <s v="Shiva Somasundaram"/>
    <m/>
    <x v="66"/>
    <s v="DPLT"/>
    <s v="Nishanth Nag"/>
    <m/>
  </r>
  <r>
    <s v="DataPlatform"/>
    <s v="DataPlatform-Platform"/>
    <s v="Ajay Rao"/>
    <m/>
    <s v="Ajay Rao"/>
    <s v="Raghu Ram Vengalil"/>
    <s v="Satish Sallakonda"/>
    <s v="Surya Vikram"/>
    <s v="Chevviyan K"/>
    <s v="Chevviyan K"/>
    <m/>
    <m/>
    <s v="Shiva Somasundaram"/>
    <m/>
    <x v="66"/>
    <s v="DPLT"/>
    <s v="Nishanth Nag"/>
    <m/>
  </r>
  <r>
    <s v="DataPlatform"/>
    <s v="DataPlatform-Serving"/>
    <s v="Ajay Rao"/>
    <m/>
    <s v="Ajay Rao"/>
    <s v="Raghu Ram Vengalil"/>
    <s v="Satish Sallakonda"/>
    <s v="Surya Vikram"/>
    <s v="Chevviyan K"/>
    <s v="Chevviyan K"/>
    <m/>
    <m/>
    <s v="Shiva Somasundaram"/>
    <m/>
    <x v="66"/>
    <s v="DPLT"/>
    <s v="Nishanth Nag"/>
    <m/>
  </r>
  <r>
    <s v="DataPlatform"/>
    <s v="DataPlatform-DCP"/>
    <s v="Ajay Rao"/>
    <m/>
    <s v="Ajay Rao"/>
    <s v="Raghu Ram Vengalil"/>
    <s v="Satish Sallakonda"/>
    <s v="Ehsan Hoque"/>
    <m/>
    <m/>
    <m/>
    <s v="Karuppiah Anburaja"/>
    <s v="Marc Stillman"/>
    <m/>
    <x v="67"/>
    <s v="DPLT"/>
    <s v="Nishanth Nag"/>
    <m/>
  </r>
  <r>
    <s v="DataPlatform"/>
    <s v="DataPlatform-ADM"/>
    <s v="Ajay Rao"/>
    <m/>
    <s v="Ajay Rao"/>
    <s v="Raghu Ram Vengalil"/>
    <s v="Satish Sallakonda"/>
    <s v="Surya Vikram"/>
    <s v="Chevviyan K"/>
    <s v="Chevviyan K"/>
    <m/>
    <m/>
    <s v="Shiva Somasundaram"/>
    <m/>
    <x v="67"/>
    <s v="DPLT"/>
    <s v="Nishanth Nag"/>
    <m/>
  </r>
  <r>
    <s v="DataPlatform"/>
    <s v="DataPlatform-CDM"/>
    <s v="Ajay Rao"/>
    <m/>
    <s v="Ajay Rao"/>
    <s v="Raghu Ram Vengalil"/>
    <s v="Satish Sallakonda"/>
    <s v="Surya Vikram"/>
    <s v="Chevviyan K"/>
    <s v="Chevviyan K"/>
    <m/>
    <m/>
    <s v="Shiva Somasundaram"/>
    <m/>
    <x v="67"/>
    <s v="DPLT"/>
    <s v="Nishanth Nag"/>
    <m/>
  </r>
  <r>
    <s v="DataPlatform"/>
    <s v="DataPlatform-RB"/>
    <s v="Ajay Rao"/>
    <m/>
    <s v="Ajay Rao"/>
    <s v="Raghu Ram Vengalil"/>
    <s v="Satish Sallakonda"/>
    <s v="Surya Vikram"/>
    <s v="Chevviyan K"/>
    <s v="Chevviyan K"/>
    <m/>
    <m/>
    <s v="Shiva Somasundaram"/>
    <m/>
    <x v="67"/>
    <s v="DPLT"/>
    <s v="Nishanth Nag"/>
    <m/>
  </r>
  <r>
    <s v="DataPlatform"/>
    <s v="DataPlatform-FC"/>
    <s v="Ajay Rao"/>
    <m/>
    <s v="Ajay Rao"/>
    <s v="Raghu Ram Vengalil"/>
    <s v="Satish Sallakonda"/>
    <s v="Surya Vikram"/>
    <s v="Chevviyan K"/>
    <s v="Chevviyan K"/>
    <m/>
    <m/>
    <s v="Shiva Somasundaram"/>
    <m/>
    <x v="67"/>
    <s v="DPLT"/>
    <s v="Nishanth Nag"/>
    <m/>
  </r>
  <r>
    <s v="DataPlatform"/>
    <s v="DataPlatform-Analytics"/>
    <s v="Ajay Rao"/>
    <m/>
    <s v="Ajay Rao"/>
    <s v="Raghu Ram Vengalil"/>
    <s v="Satish Sallakonda"/>
    <s v="Surya Vikram"/>
    <s v="Chevviyan K"/>
    <s v="Chevviyan K"/>
    <m/>
    <m/>
    <s v="Shiva Somasundaram"/>
    <m/>
    <x v="68"/>
    <s v="DPLT"/>
    <s v="Nishanth Nag"/>
    <m/>
  </r>
  <r>
    <s v="DigitalRetailing"/>
    <s v="DR-Secure_Checkout"/>
    <s v="Muralidhar Devanga Karna"/>
    <m/>
    <s v="Ketan Dikshit"/>
    <m/>
    <s v="Ved Singh"/>
    <s v="Abhieraaj Chaudhary"/>
    <m/>
    <m/>
    <s v="Suraj Jain"/>
    <s v="Gaurav Gupta"/>
    <s v="Satyavrat Mudgil"/>
    <m/>
    <x v="69"/>
    <s v="DGRT"/>
    <s v="Srividya Mandalapu"/>
    <m/>
  </r>
  <r>
    <s v="DigitalRetailing"/>
    <s v="DR-Legacy"/>
    <s v="Muralidhar Devanga Karna"/>
    <m/>
    <s v="Ketan Dikshit"/>
    <m/>
    <s v="Ved Singh"/>
    <s v="Nirmal Sajo Thomas"/>
    <m/>
    <m/>
    <s v="Suraj Jain"/>
    <s v="Gaurav Gupta"/>
    <s v="Satyavrat Mudgil"/>
    <m/>
    <x v="69"/>
    <s v="DGRT"/>
    <s v="Srividya Mandalapu"/>
    <m/>
  </r>
  <r>
    <s v="DigitalRetailing"/>
    <s v="DR-AEC_Studio"/>
    <s v="Akshay Champavat"/>
    <m/>
    <s v="Ketan Dikshit"/>
    <m/>
    <s v="Ved Singh"/>
    <s v="Ankush Kedia"/>
    <m/>
    <m/>
    <s v="Suraj Jain"/>
    <s v="Gaurav Gupta"/>
    <s v="Satyavrat Mudgil"/>
    <m/>
    <x v="70"/>
    <s v="DGRT"/>
    <s v="Srividya Mandalapu"/>
    <m/>
  </r>
  <r>
    <s v="DigitalRetailing"/>
    <s v="DR-AEC_Website_Setup"/>
    <s v="Akshay Champavat"/>
    <m/>
    <s v="Ketan Dikshit"/>
    <m/>
    <s v="Ved Singh"/>
    <s v="Rohit Bhangale"/>
    <m/>
    <m/>
    <s v="Suraj Jain"/>
    <s v="Gaurav Gupta"/>
    <s v="Satyavrat Mudgil"/>
    <m/>
    <x v="70"/>
    <s v="DGRT"/>
    <s v="Srividya Mandalapu"/>
    <m/>
  </r>
  <r>
    <s v="DigitalRetailing"/>
    <s v="DR-SRCHAT"/>
    <s v="Akshay Champavat"/>
    <m/>
    <s v="Ketan Dikshit"/>
    <m/>
    <s v="Ved Singh"/>
    <s v="Abhinav Wagadre"/>
    <s v="Avin Jain"/>
    <m/>
    <s v="Ashish Kalya"/>
    <m/>
    <s v="Shiva Somasundaram"/>
    <m/>
    <x v="71"/>
    <s v="DGRT"/>
    <s v="Srividya Mandalapu"/>
    <m/>
  </r>
  <r>
    <s v="Analytics"/>
    <s v="Analytics-ARC"/>
    <m/>
    <m/>
    <s v="Anvesh Aileni"/>
    <m/>
    <s v="Satish Sallakonda"/>
    <s v="Mani Gupta"/>
    <s v="Chevviyan K"/>
    <s v="Chevviyan K"/>
    <m/>
    <m/>
    <s v="Shiva Somasundaram"/>
    <m/>
    <x v="72"/>
    <s v="ANLY"/>
    <s v="Nishanth Nag"/>
    <m/>
  </r>
  <r>
    <s v="Analytics"/>
    <s v="Analytics-Platform"/>
    <m/>
    <m/>
    <s v="Anvesh Aileni"/>
    <m/>
    <s v="Satish Sallakonda"/>
    <s v="Mani Gupta"/>
    <s v="Chevviyan K"/>
    <s v="Chevviyan K"/>
    <m/>
    <m/>
    <s v="Shiva Somasundaram"/>
    <m/>
    <x v="72"/>
    <s v="ANLY"/>
    <s v="Nishanth Nag"/>
    <m/>
  </r>
  <r>
    <s v="Analytics"/>
    <s v="Analytics-Clickstream"/>
    <m/>
    <m/>
    <s v="Anvesh Aileni"/>
    <m/>
    <s v="Satish Sallakonda"/>
    <s v="Surya Vikram"/>
    <s v="Chevviyan K"/>
    <s v="Chevviyan K"/>
    <m/>
    <m/>
    <s v="Shiva Somasundaram"/>
    <m/>
    <x v="72"/>
    <s v="ANLY"/>
    <s v="Nishanth Nag"/>
    <m/>
  </r>
  <r>
    <s v="Analytics"/>
    <s v="Analytics-Report_Builder"/>
    <m/>
    <m/>
    <s v="Anvesh Aileni"/>
    <m/>
    <s v="Satish Sallakonda"/>
    <s v="Mani Gupta"/>
    <s v="Chevviyan K"/>
    <s v="Chevviyan K"/>
    <m/>
    <m/>
    <s v="Shiva Somasundaram"/>
    <m/>
    <x v="72"/>
    <s v="ANLY"/>
    <s v="Nishanth Nag"/>
    <m/>
  </r>
  <r>
    <s v="Analytics"/>
    <s v="Analytics-2.0"/>
    <m/>
    <m/>
    <s v="Anvesh Aileni"/>
    <m/>
    <s v="Satish Sallakonda"/>
    <s v="Mani Gupta"/>
    <s v="Chevviyan K"/>
    <s v="Chevviyan K"/>
    <m/>
    <m/>
    <s v="Shiva Somasundaram"/>
    <m/>
    <x v="72"/>
    <s v="ANLY"/>
    <s v="Nishanth Nag"/>
    <m/>
  </r>
  <r>
    <s v="DataEngg"/>
    <s v="DataEngg-Migration"/>
    <s v="Senthilkumar V"/>
    <m/>
    <s v="Arul Jothi"/>
    <m/>
    <s v="Srin Tangirala"/>
    <s v="Dinesh Kumar Pannirselvam"/>
    <m/>
    <m/>
    <m/>
    <m/>
    <m/>
    <m/>
    <x v="5"/>
    <m/>
    <m/>
    <m/>
  </r>
  <r>
    <s v="DataEngg"/>
    <s v="DataEngg-Migrated_Documents"/>
    <s v="Senthilkumar V"/>
    <m/>
    <s v="Arul Jothi"/>
    <m/>
    <s v="Srin Tangirala"/>
    <s v="Durgesh Tiwari"/>
    <m/>
    <m/>
    <m/>
    <m/>
    <m/>
    <m/>
    <x v="5"/>
    <m/>
    <m/>
    <m/>
  </r>
  <r>
    <s v="DataEngg"/>
    <s v="DataEngg-Conversion"/>
    <s v="Senthilkumar V"/>
    <m/>
    <s v="Arul Jothi"/>
    <m/>
    <s v="Srin Tangirala"/>
    <s v="Senthilkumar V"/>
    <m/>
    <m/>
    <m/>
    <m/>
    <m/>
    <m/>
    <x v="5"/>
    <m/>
    <m/>
    <m/>
  </r>
  <r>
    <s v="Infra"/>
    <s v="Infra-CloudOps"/>
    <s v="Manjunath KP"/>
    <m/>
    <s v="Saurabh Goyal"/>
    <m/>
    <s v="Viraj Patel"/>
    <s v="No PM coverage"/>
    <s v="No PM Coverage"/>
    <s v="No PM Coverage"/>
    <s v="No PM Coverage"/>
    <s v="No PM Coverage"/>
    <s v="No PM coverage"/>
    <s v="-"/>
    <x v="5"/>
    <s v="RELB"/>
    <s v="Bhuvana Vanama"/>
    <m/>
  </r>
  <r>
    <s v="Infra"/>
    <s v="Infra-DBA"/>
    <s v="Sudhir Gadipathi"/>
    <m/>
    <s v="Saurabh Goyal"/>
    <m/>
    <s v="Viraj Patel"/>
    <s v="No PM coverage"/>
    <s v="No PM Coverage"/>
    <s v="No PM Coverage"/>
    <s v="No PM Coverage"/>
    <s v="No PM Coverage"/>
    <s v="No PM coverage"/>
    <s v="-"/>
    <x v="5"/>
    <s v="RELB"/>
    <s v="Bhuvana Vanama"/>
    <m/>
  </r>
  <r>
    <s v="Infra"/>
    <s v="Infra-SRE"/>
    <s v="Ashish Kumar"/>
    <m/>
    <s v="Saurabh Goyal"/>
    <m/>
    <s v="Viraj Patel"/>
    <s v="No PM coverage"/>
    <s v="No PM Coverage"/>
    <s v="No PM Coverage"/>
    <s v="No PM Coverage"/>
    <s v="No PM Coverage"/>
    <s v="No PM coverage"/>
    <s v="-"/>
    <x v="5"/>
    <s v="RELB"/>
    <s v="Bhuvana Vanama"/>
    <m/>
  </r>
  <r>
    <s v="IOT"/>
    <s v="IOT-CD"/>
    <s v="Raja Lingam Jeeva Rethinam"/>
    <m/>
    <s v="Ankur Agarwal"/>
    <m/>
    <s v="Santosh Golecha"/>
    <s v="Harish Manoharan"/>
    <s v="Vamsee Krishna Mullapudi"/>
    <s v="Vamsee Krishna Mullapudi"/>
    <s v="Vijayakumar B"/>
    <m/>
    <s v="Shiva Somasundaram"/>
    <s v="Venkatesh Mahalingam"/>
    <x v="73"/>
    <s v="IOT"/>
    <m/>
    <m/>
  </r>
  <r>
    <s v="IOT"/>
    <s v="IOT-OBD"/>
    <s v="Raja Lingam Jeeva Rethinam"/>
    <m/>
    <s v="Ankur Agarwal"/>
    <m/>
    <s v="Santosh Golecha"/>
    <s v="Harish Manoharan"/>
    <s v="Vamsee Krishna Mullapudi"/>
    <s v="Vamsee Krishna Mullapudi"/>
    <s v="Vijayakumar B"/>
    <m/>
    <s v="Shiva Somasundaram"/>
    <s v="Venkatesh Mahalingam"/>
    <x v="73"/>
    <s v="IOT"/>
    <m/>
    <m/>
  </r>
  <r>
    <s v="IOT"/>
    <s v="IOT-RFID"/>
    <s v="Raja Lingam Jeeva Rethinam"/>
    <m/>
    <s v="Ankur Agarwal"/>
    <m/>
    <s v="Santosh Golecha"/>
    <s v="Harish Manoharan"/>
    <s v="Vamsee Krishna Mullapudi"/>
    <s v="Vamsee Krishna Mullapudi"/>
    <s v="Vijayakumar B"/>
    <m/>
    <s v="Shiva Somasundaram"/>
    <s v="Venkatesh Mahalingam"/>
    <x v="73"/>
    <s v="IOT"/>
    <m/>
    <m/>
  </r>
  <r>
    <s v="IOT"/>
    <s v="IOT-Sharebox"/>
    <s v="Raja Lingam Jeeva Rethinam"/>
    <m/>
    <s v="Ankur Agarwal"/>
    <m/>
    <s v="Santosh Golecha"/>
    <s v="Suhas R"/>
    <s v="Vamsee Krishna Mullapudi"/>
    <s v="Vamsee Krishna Mullapudi"/>
    <s v="Vijayakumar B"/>
    <m/>
    <s v="Shiva Somasundaram"/>
    <s v="Vidya B Halanayaka"/>
    <x v="73"/>
    <s v="IOT"/>
    <m/>
    <m/>
  </r>
  <r>
    <s v="DR_Ford"/>
    <s v="DR_Ford-BNP"/>
    <s v="Dharmaraj Kartikeyan"/>
    <m/>
    <s v="Santosh Golecha"/>
    <m/>
    <s v="Santosh Golecha"/>
    <s v="No PM Coverage"/>
    <s v="No PM Coverage"/>
    <s v="No PM Coverage"/>
    <s v="No PM Coverage"/>
    <s v="No PM Coverage"/>
    <s v="Marc Stillman"/>
    <s v="Satendra Jain"/>
    <x v="5"/>
    <m/>
    <m/>
    <m/>
  </r>
  <r>
    <s v="DR_Ford"/>
    <s v="DR_Ford-OEM_Q2O"/>
    <s v="Dharmaraj Kartikeyan"/>
    <m/>
    <s v="Santosh Golecha"/>
    <m/>
    <s v="Santosh Golecha"/>
    <s v="No PM Coverage"/>
    <s v="No PM Coverage"/>
    <s v="No PM Coverage"/>
    <s v="No PM Coverage"/>
    <s v="No PM Coverage"/>
    <s v="Marc Stillman"/>
    <s v="Satendra Jain"/>
    <x v="5"/>
    <m/>
    <m/>
    <m/>
  </r>
  <r>
    <s v="DR_Ford"/>
    <s v="DR_Ford-Dealer_Q2O"/>
    <s v="Dharmaraj Kartikeyan"/>
    <m/>
    <s v="Santosh Golecha"/>
    <m/>
    <s v="Santosh Golecha"/>
    <s v="No PM Coverage"/>
    <s v="No PM Coverage"/>
    <s v="No PM Coverage"/>
    <s v="No PM Coverage"/>
    <s v="No PM Coverage"/>
    <s v="Marc Stillman"/>
    <s v="Satendra Jain"/>
    <x v="5"/>
    <m/>
    <m/>
    <m/>
  </r>
  <r>
    <s v="AECIntegration"/>
    <s v="AECIntegration-GMDRP"/>
    <s v="Anamik Adhikary"/>
    <m/>
    <s v="Santosh Golecha"/>
    <m/>
    <s v="Santosh Golecha"/>
    <s v="Abhi Thadeshwar"/>
    <s v="M Uday Kiran Reddy"/>
    <s v="M Uday Kiran Reddy"/>
    <m/>
    <m/>
    <s v="Marc Stillman"/>
    <s v="Satendra Jain"/>
    <x v="5"/>
    <m/>
    <m/>
    <m/>
  </r>
  <r>
    <s v="AECIntegration"/>
    <s v="AECIntegration-Honda"/>
    <s v="Dharmaraj Kartikeyan"/>
    <m/>
    <s v="Santosh Golecha"/>
    <m/>
    <s v="Santosh Golecha"/>
    <s v="Anandharaman Pattabiraman"/>
    <s v="Navnika Wason"/>
    <m/>
    <m/>
    <s v="Karuppiah Anburaja"/>
    <s v="Marc Stillman"/>
    <s v="Satendra Jain"/>
    <x v="5"/>
    <m/>
    <m/>
    <m/>
  </r>
  <r>
    <s v="AECIntegration"/>
    <s v="AECIntegration-Ford"/>
    <s v="Dharmaraj Kartikeyan"/>
    <m/>
    <s v="Santosh Golecha"/>
    <m/>
    <s v="Santosh Golecha"/>
    <s v="No PM Coverage"/>
    <s v="No PM Coverage"/>
    <s v="No PM Coverage"/>
    <s v="No PM Coverage"/>
    <s v="No PM Coverage"/>
    <s v="Marc Stillman"/>
    <s v="Satendra Jain"/>
    <x v="5"/>
    <m/>
    <m/>
    <m/>
  </r>
  <r>
    <s v="L&amp;D"/>
    <s v="L&amp;D-Knowledge_Base"/>
    <s v="Prasanth G"/>
    <m/>
    <s v="Koyeli Dasgupta"/>
    <m/>
    <s v="Justin Hou"/>
    <s v="No PM Coverage"/>
    <s v="No PM Coverage"/>
    <s v="No PM Coverage"/>
    <s v="No PM Coverage"/>
    <s v="No PM Coverage"/>
    <s v="Justin Hou"/>
    <m/>
    <x v="5"/>
    <m/>
    <m/>
    <m/>
  </r>
  <r>
    <s v="DR_Honda"/>
    <s v="DR_Honda-PCX"/>
    <s v="Dharmaraj Kartikeyan"/>
    <m/>
    <s v="Ankur Agarwal"/>
    <m/>
    <s v="Santosh Golecha"/>
    <s v="Vittal DS"/>
    <m/>
    <m/>
    <m/>
    <s v="Karuppiah Anburaja"/>
    <s v="Marc Stillman"/>
    <s v="Satendra Jain"/>
    <x v="74"/>
    <s v="AHM"/>
    <s v="Deepak Singh"/>
    <m/>
  </r>
  <r>
    <s v="DR_Honda"/>
    <s v="DR_Honda-AEC_Integration"/>
    <s v="Dharmaraj Kartikeyan"/>
    <m/>
    <s v="Ankur Agarwal"/>
    <m/>
    <s v="Santosh Golecha"/>
    <s v="Vittal DS"/>
    <m/>
    <m/>
    <m/>
    <s v="Karuppiah Anburaja"/>
    <s v="Marc Stillman"/>
    <s v="Satendra Jain"/>
    <x v="75"/>
    <s v="AHM"/>
    <s v="Deepak Singh"/>
    <m/>
  </r>
  <r>
    <s v="DR_Honda"/>
    <s v="DR_Honda-DX_OMS"/>
    <s v="Dharmaraj Kartikeyan"/>
    <m/>
    <s v="Ankur Agarwal"/>
    <m/>
    <s v="Santosh Golecha"/>
    <s v="Anandharaman Pattabiraman"/>
    <s v="Navnika Wason"/>
    <m/>
    <m/>
    <s v="Sandeep Bansi Jumani"/>
    <s v="Marc Stillman"/>
    <s v="Satendra Jain"/>
    <x v="76"/>
    <s v="AHM"/>
    <s v="Deepak Singh"/>
    <m/>
  </r>
  <r>
    <s v="DR_Honda"/>
    <s v="DR_Honda-Deals"/>
    <s v="Dharmaraj Kartikeyan"/>
    <m/>
    <s v="Ankur Agarwal"/>
    <m/>
    <s v="Santosh Golecha"/>
    <s v="Anandharaman Pattabiraman"/>
    <s v="Navnika Wason"/>
    <m/>
    <m/>
    <s v="Sandeep Bansi Jumani"/>
    <s v="Marc Stillman"/>
    <s v="Satendra Jain"/>
    <x v="76"/>
    <s v="AHM"/>
    <s v="Deepak Singh"/>
    <m/>
  </r>
  <r>
    <s v="DR_Honda"/>
    <s v="DR_Honda-Desking"/>
    <s v="Dharmaraj Kartikeyan"/>
    <m/>
    <s v="Ankur Agarwal"/>
    <m/>
    <s v="Santosh Golecha"/>
    <s v="Anandharaman Pattabiraman"/>
    <s v="Navnika Wason"/>
    <m/>
    <m/>
    <s v="Sandeep Bansi Jumani"/>
    <s v="Marc Stillman"/>
    <s v="Satendra Jain"/>
    <x v="76"/>
    <s v="AHM"/>
    <s v="Deepak Singh"/>
    <m/>
  </r>
  <r>
    <s v="DR_Honda"/>
    <s v="DR_Honda-VI"/>
    <s v="Dharmaraj Kartikeyan"/>
    <m/>
    <s v="Ankur Agarwal"/>
    <m/>
    <s v="Santosh Golecha"/>
    <s v="Anandharaman Pattabiraman"/>
    <s v="Navnika Wason"/>
    <m/>
    <m/>
    <s v="Sandeep Bansi Jumani"/>
    <s v="Marc Stillman"/>
    <s v="Satendra Jain"/>
    <x v="76"/>
    <s v="AHM"/>
    <s v="Deepak Singh"/>
    <m/>
  </r>
  <r>
    <s v="DR_Honda"/>
    <s v="DR_Honda-F&amp;I"/>
    <s v="Dharmaraj Kartikeyan"/>
    <m/>
    <s v="Ankur Agarwal"/>
    <m/>
    <s v="Santosh Golecha"/>
    <s v="Anandharaman Pattabiraman"/>
    <s v="Navnika Wason"/>
    <m/>
    <m/>
    <s v="Sandeep Bansi Jumani"/>
    <s v="Marc Stillman"/>
    <s v="Satendra Jain"/>
    <x v="76"/>
    <s v="AHM"/>
    <s v="Deepak Singh"/>
    <m/>
  </r>
  <r>
    <s v="DR_Honda"/>
    <s v="DR_Honda-Checkout"/>
    <s v="Dharmaraj Kartikeyan"/>
    <m/>
    <s v="Ankur Agarwal"/>
    <m/>
    <s v="Santosh Golecha"/>
    <s v="Anandharaman Pattabiraman"/>
    <s v="Navnika Wason"/>
    <m/>
    <m/>
    <s v="Sandeep Bansi Jumani"/>
    <s v="Marc Stillman"/>
    <s v="Satendra Jain"/>
    <x v="77"/>
    <s v="AHM"/>
    <s v="Deepak Singh"/>
    <m/>
  </r>
  <r>
    <s v="DR_Honda"/>
    <s v="DR_Honda-Forms"/>
    <s v="Dharmaraj Kartikeyan"/>
    <m/>
    <s v="Ankur Agarwal"/>
    <m/>
    <s v="Santosh Golecha"/>
    <s v="Anandharaman Pattabiraman"/>
    <s v="Navnika Wason"/>
    <m/>
    <m/>
    <s v="Sandeep Bansi Jumani"/>
    <s v="Marc Stillman"/>
    <s v="Satendra Jain"/>
    <x v="76"/>
    <s v="AHM"/>
    <s v="Deepak Singh"/>
    <m/>
  </r>
  <r>
    <s v="DR_Honda"/>
    <s v="DR_Honda-Credit_Application"/>
    <s v="Dharmaraj Kartikeyan"/>
    <m/>
    <s v="Ankur Agarwal"/>
    <m/>
    <s v="Santosh Golecha"/>
    <s v="Anandharaman Pattabiraman"/>
    <s v="Navnika Wason"/>
    <m/>
    <m/>
    <s v="Sandeep Bansi Jumani"/>
    <s v="Marc Stillman"/>
    <s v="Satendra Jain"/>
    <x v="76"/>
    <s v="AHM"/>
    <s v="Deepak Singh"/>
    <m/>
  </r>
  <r>
    <s v="DR_Honda"/>
    <s v="DR_Honda-Analytics"/>
    <s v="Dharmaraj Kartikeyan"/>
    <m/>
    <s v="Ankur Agarwal"/>
    <m/>
    <s v="Santosh Golecha"/>
    <s v="Anandharaman Pattabiraman"/>
    <s v="Navnika Wason"/>
    <m/>
    <m/>
    <s v="Sandeep Bansi Jumani"/>
    <s v="Marc Stillman"/>
    <s v="Satendra Jain"/>
    <x v="76"/>
    <s v="AHM"/>
    <s v="Deepak Singh"/>
    <m/>
  </r>
  <r>
    <s v="DR_Honda"/>
    <s v="DR_Honda-Galaxy"/>
    <s v="Dharmaraj Kartikeyan"/>
    <m/>
    <s v="Ankur Agarwal"/>
    <m/>
    <s v="Santosh Golecha"/>
    <s v="Anandharaman Pattabiraman"/>
    <s v="Navnika Wason"/>
    <m/>
    <m/>
    <s v="Sandeep Bansi Jumani"/>
    <s v="Marc Stillman"/>
    <s v="Satendra Jain"/>
    <x v="76"/>
    <s v="AHM"/>
    <s v="Deepak Singh"/>
    <m/>
  </r>
  <r>
    <s v="DR_Honda"/>
    <s v="DR_Honda-CMS"/>
    <s v="Dharmaraj Kartikeyan"/>
    <m/>
    <s v="Ankur Agarwal"/>
    <m/>
    <s v="Santosh Golecha"/>
    <s v="Anandharaman Pattabiraman"/>
    <s v="Navnika Wason"/>
    <m/>
    <m/>
    <s v="Sandeep Bansi Jumani"/>
    <s v="Marc Stillman"/>
    <s v="Satendra Jain"/>
    <x v="76"/>
    <s v="AHM"/>
    <s v="Deepak Singh"/>
    <m/>
  </r>
  <r>
    <s v="DR_Honda"/>
    <s v="DR_Honda-eSign_Platform"/>
    <s v="Dharmaraj Kartikeyan"/>
    <m/>
    <s v="Ankur Agarwal"/>
    <m/>
    <s v="Santosh Golecha"/>
    <s v="Anandharaman Pattabiraman"/>
    <s v="Navnika Wason"/>
    <m/>
    <m/>
    <s v="Sandeep Bansi Jumani"/>
    <s v="Marc Stillman"/>
    <s v="Satendra Jain"/>
    <x v="76"/>
    <s v="AHM"/>
    <s v="Deepak Singh"/>
    <m/>
  </r>
  <r>
    <s v="DR_Honda"/>
    <s v="DR_Honda-eSign_Docs"/>
    <s v="Dharmaraj Kartikeyan"/>
    <m/>
    <s v="Ankur Agarwal"/>
    <m/>
    <s v="Santosh Golecha"/>
    <s v="Anandharaman Pattabiraman"/>
    <s v="Navnika Wason"/>
    <m/>
    <m/>
    <s v="Sandeep Bansi Jumani"/>
    <s v="Marc Stillman"/>
    <s v="Satendra Jain"/>
    <x v="76"/>
    <s v="AHM"/>
    <s v="Deepak Singh"/>
    <m/>
  </r>
  <r>
    <s v="DR_Honda"/>
    <s v="DR_Honda-OEM_Portal"/>
    <s v="Dharmaraj Kartikeyan"/>
    <m/>
    <s v="Ankur Agarwal"/>
    <m/>
    <s v="Santosh Golecha"/>
    <s v="Anandharaman Pattabiraman"/>
    <s v="Navnika Wason"/>
    <m/>
    <m/>
    <s v="Sandeep Bansi Jumani"/>
    <s v="Marc Stillman"/>
    <s v="Satendra Jain"/>
    <x v="74"/>
    <s v="AHM"/>
    <s v="Deepak Singh"/>
    <m/>
  </r>
  <r>
    <s v="Fleet_Honda"/>
    <s v="Fleet_Honda-Integration"/>
    <s v="Dharmaraj Kartikeyan"/>
    <m/>
    <s v="Ankur Agarwal"/>
    <m/>
    <s v="Santosh Golecha"/>
    <s v="Viswanathan Pachaiyappan"/>
    <m/>
    <m/>
    <s v="Sandeep Bansi Jumani"/>
    <m/>
    <s v="Marc Stillman"/>
    <m/>
    <x v="78"/>
    <s v="AHM"/>
    <s v="Deepak Singh"/>
    <m/>
  </r>
  <r>
    <s v="Fleet_Honda"/>
    <s v="Fleet_Honda-Approval_Workflows"/>
    <s v="Dharmaraj Kartikeyan"/>
    <m/>
    <s v="Ankur Agarwal"/>
    <m/>
    <s v="Santosh Golecha"/>
    <s v="Viswanathan Pachaiyappan"/>
    <m/>
    <m/>
    <s v="Sandeep Bansi Jumani"/>
    <m/>
    <s v="Marc Stillman"/>
    <m/>
    <x v="78"/>
    <s v="AHM"/>
    <s v="Deepak Singh"/>
    <m/>
  </r>
  <r>
    <s v="Fleet_Honda"/>
    <s v="Fleet_Honda-Forecast"/>
    <s v="Dharmaraj Kartikeyan"/>
    <m/>
    <s v="Ankur Agarwal"/>
    <m/>
    <s v="Santosh Golecha"/>
    <s v="Viswanathan Pachaiyappan"/>
    <m/>
    <m/>
    <s v="Sandeep Bansi Jumani"/>
    <m/>
    <s v="Marc Stillman"/>
    <m/>
    <x v="78"/>
    <s v="AHM"/>
    <s v="Deepak Singh"/>
    <m/>
  </r>
  <r>
    <s v="Fleet_Honda"/>
    <s v="Fleet_Honda-Notification"/>
    <s v="Dharmaraj Kartikeyan"/>
    <m/>
    <s v="Ankur Agarwal"/>
    <m/>
    <s v="Santosh Golecha"/>
    <s v="Viswanathan Pachaiyappan"/>
    <m/>
    <m/>
    <s v="Sandeep Bansi Jumani"/>
    <m/>
    <s v="Marc Stillman"/>
    <m/>
    <x v="78"/>
    <s v="AHM"/>
    <s v="Deepak Singh"/>
    <m/>
  </r>
  <r>
    <s v="Fleet_Honda"/>
    <s v="Fleet_Honda-Order"/>
    <s v="Dharmaraj Kartikeyan"/>
    <m/>
    <s v="Ankur Agarwal"/>
    <m/>
    <s v="Santosh Golecha"/>
    <s v="Viswanathan Pachaiyappan"/>
    <m/>
    <m/>
    <s v="Sandeep Bansi Jumani"/>
    <m/>
    <s v="Marc Stillman"/>
    <m/>
    <x v="78"/>
    <s v="AHM"/>
    <s v="Deepak Singh"/>
    <m/>
  </r>
  <r>
    <s v="Fleet_Honda"/>
    <s v="Fleet_Honda-Others"/>
    <s v="Dharmaraj Kartikeyan"/>
    <m/>
    <s v="Ankur Agarwal"/>
    <m/>
    <s v="Santosh Golecha"/>
    <s v="Viswanathan Pachaiyappan"/>
    <m/>
    <m/>
    <s v="Sandeep Bansi Jumani"/>
    <m/>
    <s v="Marc Stillman"/>
    <m/>
    <x v="78"/>
    <s v="AHM"/>
    <s v="Deepak Singh"/>
    <m/>
  </r>
  <r>
    <s v="Fleet_Honda"/>
    <s v="Fleet_Honda-Quote"/>
    <s v="Dharmaraj Kartikeyan"/>
    <m/>
    <s v="Ankur Agarwal"/>
    <m/>
    <s v="Santosh Golecha"/>
    <s v="Viswanathan Pachaiyappan"/>
    <m/>
    <m/>
    <s v="Sandeep Bansi Jumani"/>
    <m/>
    <s v="Marc Stillman"/>
    <m/>
    <x v="78"/>
    <s v="AHM"/>
    <s v="Deepak Singh"/>
    <m/>
  </r>
  <r>
    <s v="Fleet_Honda"/>
    <s v="Fleet_Honda-Reporting_Analytics"/>
    <s v="Dharmaraj Kartikeyan"/>
    <m/>
    <s v="Ankur Agarwal"/>
    <m/>
    <s v="Santosh Golecha"/>
    <s v="Viswanathan Pachaiyappan"/>
    <m/>
    <m/>
    <s v="Sandeep Bansi Jumani"/>
    <m/>
    <s v="Marc Stillman"/>
    <m/>
    <x v="78"/>
    <s v="AHM"/>
    <s v="Deepak Singh"/>
    <m/>
  </r>
  <r>
    <s v="Fleet_Honda"/>
    <s v="Fleet_Honda-Setups"/>
    <s v="Dharmaraj Kartikeyan"/>
    <m/>
    <s v="Ankur Agarwal"/>
    <m/>
    <s v="Santosh Golecha"/>
    <s v="Viswanathan Pachaiyappan"/>
    <m/>
    <m/>
    <s v="Sandeep Bansi Jumani"/>
    <m/>
    <s v="Marc Stillman"/>
    <m/>
    <x v="78"/>
    <s v="AHM"/>
    <s v="Deepak Singh"/>
    <m/>
  </r>
  <r>
    <s v="Fleet_Honda"/>
    <s v="Fleet_Honda-User Access_Permissions"/>
    <s v="Dharmaraj Kartikeyan"/>
    <m/>
    <s v="Ankur Agarwal"/>
    <m/>
    <s v="Santosh Golecha"/>
    <s v="Viswanathan Pachaiyappan"/>
    <m/>
    <m/>
    <s v="Sandeep Bansi Jumani"/>
    <m/>
    <s v="Marc Stillman"/>
    <m/>
    <x v="78"/>
    <s v="AHM"/>
    <s v="Deepak Singh"/>
    <m/>
  </r>
  <r>
    <s v="OnboardingPlatforms"/>
    <s v="OP-Setup_Mgt"/>
    <s v="Darshan R"/>
    <s v="Ashish Kumar"/>
    <s v="Bobby Alexander"/>
    <s v="Surya Narayanan"/>
    <s v="Keith Wiseman"/>
    <s v="Prem Bihari"/>
    <m/>
    <m/>
    <s v="Vijayakumar B"/>
    <m/>
    <s v="Shiva Somasundaram"/>
    <m/>
    <x v="79"/>
    <s v="OPLT"/>
    <s v="Rahul Rathore"/>
    <s v="DLA-Setup_Management "/>
  </r>
  <r>
    <s v="OnboardingPlatforms"/>
    <s v="OP-Setup_Adoption"/>
    <s v="Darshan R"/>
    <s v="Ashish Kumar"/>
    <s v="Bobby Alexander"/>
    <s v="Surya Narayanan"/>
    <s v="Keith Wiseman"/>
    <s v="Prem Bihari"/>
    <m/>
    <m/>
    <s v="Vijayakumar B"/>
    <m/>
    <s v="Shiva Somasundaram"/>
    <m/>
    <x v="80"/>
    <s v="OPLT"/>
    <s v="Rahul Rathore"/>
    <s v="DLA-Setup_FW_Adoption"/>
  </r>
  <r>
    <s v="OnboardingPlatforms"/>
    <s v="OP-Launch_Center"/>
    <s v="Nitish Kumar"/>
    <m/>
    <s v="Bobby Alexander"/>
    <s v="Surya Narayanan"/>
    <s v="Keith Wiseman"/>
    <s v="Prem Bihari"/>
    <m/>
    <m/>
    <s v="Vijayakumar B"/>
    <m/>
    <s v="Shiva Somasundaram"/>
    <m/>
    <x v="81"/>
    <s v="OPLT"/>
    <s v="Rahul Rathore"/>
    <m/>
  </r>
  <r>
    <s v="OnboardingPlatforms"/>
    <s v="OP-MAutomation"/>
    <s v="Nitish Kumar"/>
    <m/>
    <s v="Bobby Alexander"/>
    <s v="Surya Narayanan"/>
    <s v="Keith Wiseman"/>
    <s v="No PM Coverage"/>
    <s v="No PM Coverage"/>
    <s v="No PM Coverage"/>
    <s v="No PM Coverage"/>
    <s v="No PM Coverage"/>
    <s v="No PM coverage"/>
    <m/>
    <x v="82"/>
    <s v="OPLT"/>
    <s v="Rahul Rathore"/>
    <m/>
  </r>
  <r>
    <s v="OnboardingPlatforms"/>
    <s v="OP-CAutomation"/>
    <s v="Nitish Kumar"/>
    <m/>
    <s v="Bobby Alexander"/>
    <s v="Surya Narayanan"/>
    <s v="Keith Wiseman"/>
    <s v="No PM Coverage"/>
    <s v="No PM Coverage"/>
    <s v="No PM Coverage"/>
    <s v="No PM Coverage"/>
    <s v="No PM Coverage"/>
    <s v="No PM coverage"/>
    <m/>
    <x v="83"/>
    <s v="OPLT"/>
    <s v="Rahul Rathore"/>
    <m/>
  </r>
  <r>
    <s v="OnboardingPlatforms"/>
    <s v="OP-GAutomation"/>
    <s v="Nitish Kumar"/>
    <m/>
    <s v="Bobby Alexander"/>
    <s v="Surya Narayanan"/>
    <s v="Keith Wiseman"/>
    <s v="No PM Coverage"/>
    <s v="No PM Coverage"/>
    <s v="No PM Coverage"/>
    <s v="No PM Coverage"/>
    <s v="No PM Coverage"/>
    <s v="No PM coverage"/>
    <m/>
    <x v="84"/>
    <s v="OPLT"/>
    <s v="Rahul Rathore"/>
    <m/>
  </r>
  <r>
    <s v="OnboardingPlatforms"/>
    <s v="OP-PLG"/>
    <s v="Ashish Kumar"/>
    <s v="Ashish Kumar"/>
    <s v="Bobby Alexander"/>
    <s v="Surya Narayanan"/>
    <s v="Keith Wiseman"/>
    <s v="Aditya Sankrantipati, Charu Papneja"/>
    <m/>
    <m/>
    <s v="Vijayakumar B"/>
    <m/>
    <s v="Shiva Somasundaram"/>
    <m/>
    <x v="85"/>
    <s v="OPLT"/>
    <s v="Rahul Rathore"/>
    <s v="PLG"/>
  </r>
  <r>
    <s v="OnboardingPlatforms"/>
    <s v="OP-Schema_Curator"/>
    <s v="Ashish Kumar"/>
    <s v="Ashish Kumar"/>
    <s v="Bobby Alexander"/>
    <s v="Surya Narayanan"/>
    <s v="Keith Wiseman"/>
    <s v="No PM Coverage"/>
    <s v="No PM Coverage"/>
    <s v="No PM Coverage"/>
    <s v="No PM Coverage"/>
    <s v="No PM Coverage"/>
    <s v="Shiva Somasundaram"/>
    <m/>
    <x v="86"/>
    <s v="OPLT"/>
    <s v="Rahul Rathore"/>
    <m/>
  </r>
  <r>
    <s v="OnboardingPlatforms"/>
    <s v="OP-TAO"/>
    <s v="Nitish Kumar"/>
    <m/>
    <s v="Bobby Alexander"/>
    <s v="Surya Narayanan"/>
    <s v="Keith Wiseman"/>
    <s v="Prem Bihari"/>
    <m/>
    <m/>
    <s v="Vijayakumar B"/>
    <m/>
    <s v="Shiva Somasundaram"/>
    <s v="Prajna S Puthran"/>
    <x v="87"/>
    <s v="OPLT"/>
    <s v="Rahul Rathore"/>
    <m/>
  </r>
  <r>
    <s v="FnI"/>
    <s v="FnI-FormsPro"/>
    <s v="Trapti Mittal"/>
    <m/>
    <s v="Damodara Reddy"/>
    <m/>
    <s v="Ved Singh"/>
    <s v="Varun A"/>
    <s v="Hardik Patel"/>
    <s v="Hardik Patel"/>
    <m/>
    <s v="Irfan Presswala"/>
    <s v="Satyavrat Mudgil"/>
    <s v="Rahul Mendiretta"/>
    <x v="88"/>
    <s v="FNI"/>
    <s v="Srividya Mandalapu"/>
    <m/>
  </r>
  <r>
    <s v="FnI"/>
    <s v="FnI-eContracting"/>
    <s v="Ayush Dash"/>
    <s v="Ayush Dash"/>
    <s v="Damodara Reddy"/>
    <m/>
    <s v="Ved Singh"/>
    <s v="Muskan Singh"/>
    <s v="Saurabh Birla"/>
    <s v="Saurabh Birla"/>
    <m/>
    <s v="Irfan Presswala"/>
    <s v="Satyavrat Mudgil"/>
    <s v="Rahul Mendiretta"/>
    <x v="89"/>
    <s v="FNI"/>
    <s v="Srividya Mandalapu"/>
    <m/>
  </r>
  <r>
    <s v="FnI"/>
    <s v="FnI-eSign_Docs"/>
    <s v="Abhijeet Singh"/>
    <m/>
    <s v="Damodara Reddy"/>
    <m/>
    <s v="Ved Singh"/>
    <s v="Yogesh Kumar"/>
    <s v="Hardik Patel"/>
    <s v="Hardik Patel"/>
    <m/>
    <s v="Irfan Presswala"/>
    <s v="Satyavrat Mudgil"/>
    <s v="Rahul Mendiretta"/>
    <x v="90"/>
    <s v="FNI"/>
    <s v="Srividya Mandalapu"/>
    <m/>
  </r>
  <r>
    <s v="FnI"/>
    <s v="FnI-Menu_DX"/>
    <s v="Nirupam Chakrabarti"/>
    <m/>
    <s v="Damodara Reddy"/>
    <m/>
    <s v="Ved Singh"/>
    <s v="Prakhar Gaur"/>
    <s v="Saurabh Birla"/>
    <s v="Saurabh Birla"/>
    <m/>
    <s v="Irfan Presswala"/>
    <s v="Satyavrat Mudgil"/>
    <s v="Rahul Mendiretta"/>
    <x v="91"/>
    <s v="FNI"/>
    <s v="Srividya Mandalapu"/>
    <m/>
  </r>
  <r>
    <s v="FnI"/>
    <s v="FnI-Menu_CX"/>
    <s v="Nirupam Chakrabarti"/>
    <m/>
    <s v="Damodara Reddy"/>
    <m/>
    <s v="Ved Singh"/>
    <s v="Ankur Dubey"/>
    <s v="Saurabh Birla"/>
    <s v="Saurabh Birla"/>
    <m/>
    <s v="Irfan Presswala"/>
    <s v="Satyavrat Mudgil"/>
    <s v="Rahul Mendiretta"/>
    <x v="91"/>
    <s v="FNI"/>
    <s v="Srividya Mandalapu"/>
    <m/>
  </r>
  <r>
    <s v="FnI"/>
    <s v="FnI-DFE"/>
    <s v="Ayush Dash"/>
    <m/>
    <s v="Damodara Reddy"/>
    <m/>
    <s v="Ved Singh"/>
    <s v="Mudra Surana"/>
    <s v="Saurabh Birla"/>
    <s v="Saurabh Birla"/>
    <m/>
    <s v="Irfan Presswala"/>
    <s v="Satyavrat Mudgil"/>
    <s v="Rahul Mendiretta"/>
    <x v="89"/>
    <s v="FNI"/>
    <s v="Srividya Mandalapu"/>
    <m/>
  </r>
  <r>
    <s v="FnI"/>
    <s v="FnI-FI_Aggregator"/>
    <s v="Nirupam Chakrabarti"/>
    <m/>
    <s v="Damodara Reddy"/>
    <m/>
    <s v="Ved Singh"/>
    <s v="Ankur Dubey"/>
    <s v="Saurabh Birla"/>
    <s v="Saurabh Birla"/>
    <m/>
    <s v="Irfan Presswala"/>
    <s v="Satyavrat Mudgil"/>
    <s v="Rahul Mendiretta"/>
    <x v="91"/>
    <s v="FNI"/>
    <s v="Srividya Mandalapu"/>
    <m/>
  </r>
  <r>
    <s v="FnI"/>
    <s v="FnI-Compliance"/>
    <s v="Nirupam Chakrabarti"/>
    <m/>
    <s v="Damodara Reddy"/>
    <m/>
    <s v="Ved Singh"/>
    <s v="Muskan Singh"/>
    <s v="Saurabh Birla"/>
    <s v="Saurabh Birla"/>
    <m/>
    <s v="Irfan Presswala"/>
    <s v="Satyavrat Mudgil"/>
    <s v="Rahul Mendiretta"/>
    <x v="92"/>
    <s v="FNI"/>
    <s v="Srividya Mandalapu"/>
    <m/>
  </r>
  <r>
    <s v="Architecture"/>
    <s v="Architecture"/>
    <s v="Raghu Edalur"/>
    <m/>
    <s v="Raghu Edalur"/>
    <m/>
    <s v="Raghu Edalur"/>
    <s v="No PM Coverage"/>
    <s v="No PM Coverage"/>
    <s v="No PM Coverage"/>
    <s v="No PM Coverage"/>
    <s v="No PM Coverage"/>
    <s v="No PM coverage"/>
    <m/>
    <x v="5"/>
    <m/>
    <m/>
    <m/>
  </r>
  <r>
    <s v="AIBDC"/>
    <s v="AIBDC-Agent_Application"/>
    <s v="Akshat Gupta"/>
    <m/>
    <s v="Ketan Dikshit"/>
    <m/>
    <s v="Ved Singh"/>
    <s v="K Manu Mitraan"/>
    <s v="Avin Jain"/>
    <m/>
    <s v="Ashish Kalya"/>
    <m/>
    <s v="Shiva Somasundaram"/>
    <m/>
    <x v="93"/>
    <s v="AIB"/>
    <s v="Srividya Mandalapu"/>
    <m/>
  </r>
  <r>
    <s v="AIBDC"/>
    <s v="AIBDC-Analytics"/>
    <s v="Akshat Gupta"/>
    <m/>
    <s v="Ketan Dikshit"/>
    <m/>
    <s v="Ved Singh"/>
    <s v="K Manu Mitraan"/>
    <s v="Avin Jain"/>
    <m/>
    <s v="Ashish Kalya"/>
    <m/>
    <s v="Shiva Somasundaram"/>
    <m/>
    <x v="93"/>
    <s v="AIB"/>
    <s v="Srividya Mandalapu"/>
    <m/>
  </r>
  <r>
    <s v="AIBDC"/>
    <s v="AIBDC-ML_Platform"/>
    <s v="Akshat Gupta"/>
    <m/>
    <s v="Ketan Dikshit"/>
    <m/>
    <s v="Ved Singh"/>
    <s v="K Manu Mitraan"/>
    <s v="Avin Jain"/>
    <m/>
    <s v="Ashish Kalya"/>
    <m/>
    <s v="Shiva Somasundaram"/>
    <m/>
    <x v="93"/>
    <s v="AIB"/>
    <s v="Srividya Mandalapu"/>
    <m/>
  </r>
  <r>
    <s v="AIBDC"/>
    <s v="AIBDC-ML"/>
    <s v="Akshat Gupta"/>
    <m/>
    <s v="Ketan Dikshit"/>
    <m/>
    <s v="Ved Singh"/>
    <s v="K Manu Mitraan"/>
    <s v="Avin Jain"/>
    <m/>
    <s v="Ashish Kalya"/>
    <m/>
    <s v="Shiva Somasundaram"/>
    <m/>
    <x v="93"/>
    <s v="AIB"/>
    <s v="Srividya Mandalapu"/>
    <m/>
  </r>
  <r>
    <s v="AIBDC"/>
    <s v="AIBDC-ServiceOutboundAI"/>
    <s v="Akshat Gupta"/>
    <m/>
    <s v="Ketan Dikshit"/>
    <m/>
    <s v="Ved Singh"/>
    <m/>
    <m/>
    <m/>
    <m/>
    <m/>
    <s v="Shiva Somasundaram"/>
    <m/>
    <x v="5"/>
    <s v="AIB"/>
    <s v="Srividya Mandalapu"/>
    <m/>
  </r>
  <r>
    <s v="AIBDC"/>
    <s v="AIBDC-Comms"/>
    <s v="Akshat Gupta"/>
    <m/>
    <s v="Ketan Dikshit"/>
    <m/>
    <s v="Ved Singh"/>
    <s v="K Manu Mitraan"/>
    <s v="Avin Jain"/>
    <m/>
    <s v="Ashish Kalya"/>
    <m/>
    <s v="Shiva Somasundaram"/>
    <m/>
    <x v="93"/>
    <s v="AIB"/>
    <s v="Srividya Mandalapu"/>
    <m/>
  </r>
  <r>
    <s v="DR_Hyundai"/>
    <s v="DR_Hyundai-Deals"/>
    <s v="Dharmaraj Kartikeyan"/>
    <m/>
    <s v="Ankur Agarwal"/>
    <m/>
    <s v="Santosh Golecha"/>
    <s v="Aishwarya Dwivedi"/>
    <m/>
    <m/>
    <m/>
    <m/>
    <s v="Natasha Giner"/>
    <m/>
    <x v="94"/>
    <s v="HYUN"/>
    <s v="Saurabh Chaurasia"/>
    <m/>
  </r>
  <r>
    <s v="DR_Hyundai"/>
    <s v="DR_Hyundai-Desking"/>
    <s v="Dharmaraj Kartikeyan"/>
    <m/>
    <s v="Ankur Agarwal"/>
    <m/>
    <s v="Santosh Golecha"/>
    <s v="Aishwarya Dwivedi"/>
    <m/>
    <m/>
    <m/>
    <m/>
    <s v="Natasha Giner"/>
    <m/>
    <x v="94"/>
    <s v="HYUN"/>
    <s v="Saurabh Chaurasia"/>
    <m/>
  </r>
  <r>
    <s v="DR_Hyundai"/>
    <s v="DR_Hyundai-VI"/>
    <s v="Dharmaraj Kartikeyan"/>
    <m/>
    <s v="Ankur Agarwal"/>
    <m/>
    <s v="Santosh Golecha"/>
    <s v="Aishwarya Dwivedi"/>
    <m/>
    <m/>
    <m/>
    <m/>
    <s v="Natasha Giner"/>
    <m/>
    <x v="94"/>
    <s v="HYUN"/>
    <s v="Saurabh Chaurasia"/>
    <m/>
  </r>
  <r>
    <s v="DR_Hyundai"/>
    <s v="DR_Hyundai-F&amp;I"/>
    <s v="Dharmaraj Kartikeyan"/>
    <m/>
    <s v="Ankur Agarwal"/>
    <m/>
    <s v="Santosh Golecha"/>
    <s v="Aishwarya Dwivedi"/>
    <m/>
    <m/>
    <m/>
    <m/>
    <s v="Natasha Giner"/>
    <m/>
    <x v="94"/>
    <s v="HYUN"/>
    <s v="Saurabh Chaurasia"/>
    <m/>
  </r>
  <r>
    <s v="IT_Team"/>
    <s v="IT_Team"/>
    <s v="Gowtham Sarveswaran"/>
    <m/>
    <s v="Vijay Kumar"/>
    <m/>
    <s v="Teza Mukkavilli"/>
    <s v="No PM Coverage"/>
    <s v="No PM Coverage"/>
    <s v="No PM Coverage"/>
    <s v="No PM Coverage"/>
    <s v="No PM Coverage"/>
    <s v="No PM coverage"/>
    <m/>
    <x v="5"/>
    <m/>
    <m/>
    <m/>
  </r>
  <r>
    <s v="VOC"/>
    <s v="VOC"/>
    <s v="Ritesh Kushwaha"/>
    <m/>
    <s v="Gaurav Sharma"/>
    <m/>
    <s v="Marc Stillman"/>
    <s v="No PM Coverage"/>
    <s v="No PM Coverage"/>
    <s v="No PM Coverage"/>
    <s v="No PM Coverage"/>
    <s v="No PM Coverage"/>
    <s v="No PM coverage"/>
    <m/>
    <x v="5"/>
    <s v="VOC"/>
    <m/>
    <m/>
  </r>
  <r>
    <s v="Security"/>
    <s v="Security-SOC"/>
    <m/>
    <m/>
    <s v="Kapileshwar Punna"/>
    <m/>
    <s v="Kunal Bhattacharya"/>
    <s v="No PM Coverage"/>
    <s v="No PM Coverage"/>
    <s v="No PM Coverage"/>
    <s v="No PM Coverage"/>
    <s v="No PM Coverage"/>
    <s v="No PM coverage"/>
    <m/>
    <x v="5"/>
    <m/>
    <s v="Girish G Pai"/>
    <m/>
  </r>
  <r>
    <s v="Security"/>
    <s v="Security-PRODSEC"/>
    <m/>
    <m/>
    <s v="Kapileshwar Punna"/>
    <m/>
    <s v="Kunal Bhattacharya"/>
    <s v="No PM Coverage"/>
    <s v="No PM Coverage"/>
    <s v="No PM Coverage"/>
    <s v="No PM Coverage"/>
    <s v="No PM Coverage"/>
    <s v="No PM coverage"/>
    <m/>
    <x v="5"/>
    <m/>
    <s v="Girish G Pai"/>
    <m/>
  </r>
  <r>
    <s v="Security"/>
    <s v="Security-CLOUDSEC"/>
    <m/>
    <m/>
    <s v="Kapileshwar Punna"/>
    <m/>
    <s v="Kunal Bhattacharya"/>
    <s v="No PM Coverage"/>
    <s v="No PM Coverage"/>
    <s v="No PM Coverage"/>
    <s v="No PM Coverage"/>
    <s v="No PM Coverage"/>
    <s v="No PM coverage"/>
    <m/>
    <x v="5"/>
    <m/>
    <s v="Girish G Pai"/>
    <m/>
  </r>
  <r>
    <s v="Security"/>
    <s v="Security-GRC"/>
    <m/>
    <m/>
    <s v="Kapileshwar Punna"/>
    <m/>
    <s v="Kunal Bhattacharya"/>
    <s v="No PM Coverage"/>
    <s v="No PM Coverage"/>
    <s v="No PM Coverage"/>
    <s v="No PM Coverage"/>
    <s v="No PM Coverage"/>
    <s v="No PM coverage"/>
    <m/>
    <x v="5"/>
    <m/>
    <s v="Girish G Pai"/>
    <m/>
  </r>
  <r>
    <s v="Security"/>
    <s v="Security-IAM"/>
    <m/>
    <m/>
    <s v="Kapileshwar Punna"/>
    <m/>
    <s v="Kunal Bhattacharya"/>
    <s v="No PM Coverage"/>
    <s v="No PM Coverage"/>
    <s v="No PM Coverage"/>
    <s v="No PM Coverage"/>
    <s v="No PM Coverage"/>
    <s v="No PM coverage"/>
    <m/>
    <x v="5"/>
    <m/>
    <s v="Girish G Pai"/>
    <m/>
  </r>
  <r>
    <s v="People_Team"/>
    <s v="People_Team"/>
    <s v="Sowmya SM"/>
    <m/>
    <s v="Sowmya SM"/>
    <m/>
    <s v="Sowmya SM"/>
    <s v="No PM Coverage"/>
    <s v="No PM Coverage"/>
    <s v="No PM Coverage"/>
    <s v="No PM Coverage"/>
    <s v="No PM Coverage"/>
    <s v="No PM coverage"/>
    <s v="-"/>
    <x v="5"/>
    <m/>
    <m/>
    <m/>
  </r>
  <r>
    <s v="APEX"/>
    <s v="APEX-VDP"/>
    <s v="Chaitanya Kumar Reddy"/>
    <s v="Sunny Dev"/>
    <s v="Satish Sallakonda"/>
    <m/>
    <s v="Satish Sallakonda"/>
    <s v="Diksha Jain"/>
    <s v="Siddharth Bountra"/>
    <s v="Siddharth Bountra"/>
    <s v="Tom Jude Ammanthurutil"/>
    <m/>
    <s v="Turker Coskun"/>
    <s v="Suresha"/>
    <x v="95"/>
    <s v="APEX"/>
    <s v="Nishanth Nag"/>
    <m/>
  </r>
  <r>
    <s v="APEX"/>
    <s v="APEX-R3Rewrite"/>
    <s v="Chaitanya Kumar Reddy"/>
    <s v="Sunny Dev"/>
    <s v="Satish Sallakonda"/>
    <m/>
    <s v="Satish Sallakonda"/>
    <s v="Richa Sharma"/>
    <s v="Prashant Khulbe"/>
    <s v="Hardik Patel"/>
    <m/>
    <s v="Irfan Presswala"/>
    <s v="Satyavrat Mudgil"/>
    <s v="Karthikeyan V"/>
    <x v="95"/>
    <s v="APEX"/>
    <s v="Nishanth Nag"/>
    <m/>
  </r>
  <r>
    <s v="APEX"/>
    <s v="APEX-Automations"/>
    <s v="Chaitanya Kumar Reddy"/>
    <s v="Sunny Dev"/>
    <s v="Satish Sallakonda"/>
    <m/>
    <s v="Satish Sallakonda"/>
    <s v="Richa Sharma"/>
    <s v="Prashant Khulbe"/>
    <s v="Hardik Patel"/>
    <m/>
    <s v="Irfan Presswala"/>
    <s v="Satyavrat Mudgil"/>
    <s v="Suresha"/>
    <x v="96"/>
    <s v="APEX"/>
    <s v="Nishanth Nag"/>
    <m/>
  </r>
  <r>
    <s v="APEX"/>
    <s v="APEX-Taxes"/>
    <s v="Chaitanya Kumar Reddy"/>
    <s v="Sunny Dev"/>
    <s v="Satish Sallakonda"/>
    <m/>
    <s v="Satish Sallakonda"/>
    <s v="Sireesha Yakkali"/>
    <s v="Hardik Patel"/>
    <s v="Hardik Patel"/>
    <m/>
    <s v="Irfan Presswala"/>
    <s v="Satyavrat Mudgil"/>
    <s v="Suresha"/>
    <x v="97"/>
    <s v="APEX"/>
    <s v="Nishanth Nag"/>
    <m/>
  </r>
  <r>
    <s v="APEX"/>
    <s v="APEX-Fees"/>
    <s v="Chaitanya Kumar Reddy"/>
    <s v="Sunny Dev"/>
    <s v="Satish Sallakonda"/>
    <m/>
    <s v="Satish Sallakonda"/>
    <s v="Sireesha Yakkali"/>
    <s v="Hardik Patel"/>
    <s v="Hardik Patel"/>
    <m/>
    <s v="Irfan Presswala"/>
    <s v="Satyavrat Mudgil"/>
    <s v="Suresha"/>
    <x v="97"/>
    <s v="APEX"/>
    <s v="Nishanth Nag"/>
    <m/>
  </r>
  <r>
    <s v="APEX"/>
    <s v="APEX-R3_DataPipelines"/>
    <s v="Chaitanya Kumar Reddy"/>
    <s v="Sunny Dev"/>
    <s v="Satish Sallakonda"/>
    <m/>
    <s v="Satish Sallakonda"/>
    <s v="Richa Sharma"/>
    <s v="Prashant Khulbe"/>
    <s v="Hardik Patel"/>
    <m/>
    <s v="Irfan Presswala"/>
    <s v="Satyavrat Mudgil"/>
    <m/>
    <x v="96"/>
    <s v="APEX"/>
    <s v="Nishanth Nag"/>
    <m/>
  </r>
  <r>
    <s v="APEX"/>
    <s v="APEX-LD"/>
    <s v="Chaitanya Kumar Reddy"/>
    <s v="Sunny Dev"/>
    <s v="Satish Sallakonda"/>
    <m/>
    <s v="Satish Sallakonda"/>
    <s v="Rajath Singh"/>
    <m/>
    <m/>
    <s v="Jason Baab"/>
    <m/>
    <s v="Justin Hou"/>
    <m/>
    <x v="96"/>
    <s v="APEX"/>
    <s v="Nishanth Nag"/>
    <m/>
  </r>
  <r>
    <s v="APEX"/>
    <s v="APEX-SCP"/>
    <s v="Karthikeyan Ponnusamy"/>
    <s v="Sunny Dev"/>
    <s v="Satish Sallakonda"/>
    <m/>
    <s v="Satish Sallakonda"/>
    <s v="Eshaan Ghosh"/>
    <m/>
    <m/>
    <s v="Ashish Kalya"/>
    <m/>
    <s v="Shiva Somasundaram"/>
    <m/>
    <x v="98"/>
    <s v="APEX"/>
    <s v="Nishanth Nag"/>
    <m/>
  </r>
  <r>
    <s v="APEX"/>
    <s v="APEX-OEMEnhancements "/>
    <m/>
    <s v="Sunny Dev"/>
    <s v="Satish Sallakonda"/>
    <m/>
    <s v="Satish Sallakonda"/>
    <s v="Richa Sharma"/>
    <s v="Prashant Khulbe"/>
    <s v="Hardik Patel"/>
    <m/>
    <s v="Irfan Presswala"/>
    <s v="Satyavrat Mudgil"/>
    <m/>
    <x v="5"/>
    <s v="APEX"/>
    <s v="Nishanth Nag"/>
    <m/>
  </r>
  <r>
    <s v="APEX"/>
    <s v="APEX-ADHOC"/>
    <m/>
    <s v="Sunny Dev"/>
    <s v="Satish Sallakonda"/>
    <m/>
    <s v="Satish Sallakonda"/>
    <s v="Richa Sharma"/>
    <s v="Prashant Khulbe"/>
    <s v="Hardik Patel"/>
    <m/>
    <s v="Irfan Presswala"/>
    <s v="Satyavrat Mudgil"/>
    <m/>
    <x v="5"/>
    <s v="APEX"/>
    <s v="Nishanth Nag"/>
    <m/>
  </r>
  <r>
    <s v="ORBIT"/>
    <s v="ORBIT-Central"/>
    <s v="Anandhkumar Thiyagarajan"/>
    <s v="Anandhkumar Thiyagarajan"/>
    <s v="Jawahar Prasad"/>
    <s v="Jawahar Prasad"/>
    <s v="Raghu Edalur"/>
    <s v="No PM Coverage"/>
    <s v="No PM Coverage"/>
    <s v="No PM Coverage"/>
    <s v="No PM Coverage"/>
    <s v="No PM Coverage"/>
    <s v="No PM coverage"/>
    <s v="-"/>
    <x v="99"/>
    <s v="ORBT"/>
    <s v="Rahul Rathore"/>
    <m/>
  </r>
  <r>
    <s v="ORBIT"/>
    <s v="ORBIT-Agents_Skills_Plugins"/>
    <s v="Vishal Gupta"/>
    <s v="Vishal Gupta"/>
    <s v="Jawahar Prasad"/>
    <s v="Jawahar Prasad"/>
    <s v="Raghu Edalur"/>
    <s v="No PM Coverage"/>
    <s v="No PM Coverage"/>
    <s v="No PM Coverage"/>
    <s v="No PM Coverage"/>
    <s v="No PM Coverage"/>
    <s v="No PM coverage"/>
    <m/>
    <x v="100"/>
    <s v="ORBT"/>
    <s v="Rahul Rathore"/>
    <m/>
  </r>
  <r>
    <s v="ORBIT"/>
    <s v="ORBIT-Deep_Context"/>
    <s v="Anandhkumar Thiyagarajan"/>
    <s v="Anandhkumar Thiyagarajan"/>
    <s v="Jawahar Prasad"/>
    <s v="Jawahar Prasad"/>
    <s v="Raghu Edalur"/>
    <s v="No PM Coverage"/>
    <s v="No PM Coverage"/>
    <s v="No PM Coverage"/>
    <s v="No PM Coverage"/>
    <s v="No PM Coverage"/>
    <s v="No PM coverage"/>
    <m/>
    <x v="99"/>
    <s v="ORBT"/>
    <s v="Rahul Rathore"/>
    <m/>
  </r>
  <r>
    <s v="ORBIT"/>
    <s v="ORBIT-AIR"/>
    <s v="Vishal Gupta"/>
    <s v="Vishal Gupta"/>
    <s v="Jawahar Prasad"/>
    <s v="Jawahar Prasad"/>
    <s v="Raghu Edalur"/>
    <s v="No PM Coverage"/>
    <s v="No PM Coverage"/>
    <s v="No PM Coverage"/>
    <s v="No PM Coverage"/>
    <s v="No PM Coverage"/>
    <s v="No PM coverage"/>
    <m/>
    <x v="100"/>
    <s v="ORBT"/>
    <s v="Rahul Rathore"/>
    <m/>
  </r>
  <r>
    <s v="ORBIT"/>
    <s v="ORBIT-Analytics"/>
    <s v="Vishal Gupta"/>
    <s v="Vishal Gupta"/>
    <s v="Jawahar Prasad"/>
    <s v="Jawahar Prasad"/>
    <s v="Raghu Edalur"/>
    <s v="No PM Coverage"/>
    <s v="No PM Coverage"/>
    <s v="No PM Coverage"/>
    <s v="No PM Coverage"/>
    <s v="No PM Coverage"/>
    <s v="No PM coverage"/>
    <m/>
    <x v="100"/>
    <s v="ORBT"/>
    <s v="Rahul Rathore"/>
    <m/>
  </r>
  <r>
    <s v="ORBIT"/>
    <s v="ORBIT-Q "/>
    <s v="Vishal Gupta"/>
    <s v="Vishal Gupta"/>
    <s v="Jawahar Prasad"/>
    <s v="Jawahar Prasad"/>
    <s v="Raghu Edalur"/>
    <s v="No PM Coverage"/>
    <s v="No PM Coverage"/>
    <s v="No PM Coverage"/>
    <s v="No PM Coverage"/>
    <s v="No PM Coverage"/>
    <s v="No PM coverage"/>
    <m/>
    <x v="100"/>
    <s v="ORBT"/>
    <s v="Rahul Rathore"/>
    <m/>
  </r>
  <r>
    <s v="ORBIT"/>
    <s v="ORBIT-Paper"/>
    <s v="Anandhkumar Thiyagarajan"/>
    <s v="Anandhkumar Thiyagarajan"/>
    <s v="Jawahar Prasad"/>
    <s v="Jawahar Prasad"/>
    <s v="Raghu Edalur"/>
    <s v="No PM Coverage"/>
    <s v="No PM Coverage"/>
    <s v="No PM Coverage"/>
    <s v="No PM Coverage"/>
    <s v="No PM Coverage"/>
    <s v="No PM coverage"/>
    <m/>
    <x v="99"/>
    <s v="ORBT"/>
    <s v="Rahul Rathore"/>
    <m/>
  </r>
  <r>
    <s v="SIPlatform"/>
    <s v="SIPlatform-Core"/>
    <s v="Raghavendra Pai"/>
    <m/>
    <s v="Prakash Mohan"/>
    <m/>
    <s v="Satish Sallakonda"/>
    <s v="Darshan Srinivas"/>
    <s v="Dhanapal Mohanasamy"/>
    <m/>
    <s v="Tom Jude Ammanthurutil"/>
    <m/>
    <s v="Turker Coskun"/>
    <m/>
    <x v="101"/>
    <s v="SIP"/>
    <s v="Nishanth Nag"/>
    <m/>
  </r>
  <r>
    <s v="SIPlatform"/>
    <s v="SIPlatform-Extensions"/>
    <s v="Raghavendra Pai"/>
    <m/>
    <s v="Prakash Mohan"/>
    <m/>
    <s v="Satish Sallakonda"/>
    <s v="Darshan Srinivas"/>
    <s v="Dhanapal Mohanasamy"/>
    <m/>
    <s v="Tom Jude Ammanthurutil"/>
    <m/>
    <s v="Turker Coskun"/>
    <m/>
    <x v="102"/>
    <s v="SIP"/>
    <s v="Nishanth Nag"/>
    <m/>
  </r>
  <r>
    <s v="SIPlatform"/>
    <s v="SIPlatform-Configurable_UI"/>
    <s v="Raghavendra Pai"/>
    <m/>
    <s v="Prakash Mohan"/>
    <m/>
    <s v="Satish Sallakonda"/>
    <s v="Darshan Srinivas"/>
    <s v="Dhanapal Mohanasamy"/>
    <m/>
    <s v="Tom Jude Ammanthurutil"/>
    <m/>
    <s v="Turker Coskun"/>
    <m/>
    <x v="102"/>
    <s v="SIP"/>
    <s v="Nishanth Nag"/>
    <m/>
  </r>
  <r>
    <s v="SIPlatform"/>
    <s v="SIPlatform-Custom_Fields"/>
    <s v="Raghavendra Pai"/>
    <m/>
    <s v="Prakash Mohan"/>
    <m/>
    <s v="Satish Sallakonda"/>
    <s v="Darshan Srinivas"/>
    <s v="Dhanapal Mohanasamy"/>
    <m/>
    <s v="Tom Jude Ammanthurutil"/>
    <m/>
    <s v="Turker Coskun"/>
    <m/>
    <x v="101"/>
    <s v="SIP"/>
    <s v="Nishanth Nag"/>
    <m/>
  </r>
  <r>
    <s v="TOC_Horizontal"/>
    <s v="TOC_Horizontal-Biz_Integrations"/>
    <s v="Thiyagu Kothandan"/>
    <m/>
    <s v="Ramesh Sarabu"/>
    <m/>
    <s v="Teza Mukkavilli"/>
    <m/>
    <s v="Rajavijayan"/>
    <m/>
    <s v="Srinivas Lingutla"/>
    <m/>
    <s v="Teza Mukkavilli"/>
    <s v="Jagadesh"/>
    <x v="5"/>
    <s v="TOC"/>
    <m/>
    <m/>
  </r>
  <r>
    <s v="TOC_Horizontal"/>
    <s v="TOC_Horizontal-Biz_Lite_Apps"/>
    <s v="C Sricharan"/>
    <m/>
    <s v="Ramesh Sarabu"/>
    <m/>
    <s v="Teza Mukkavilli"/>
    <m/>
    <m/>
    <m/>
    <s v=" "/>
    <m/>
    <s v="Teza Mukkavilli"/>
    <s v="Jagadesh"/>
    <x v="5"/>
    <s v="TOC"/>
    <m/>
    <m/>
  </r>
  <r>
    <s v="TOC_Horizontal"/>
    <s v="TOC_Horizontal-Master_Data_Management"/>
    <s v="Mahesh Kumar K R"/>
    <m/>
    <s v="Ramesh Sarabu"/>
    <m/>
    <s v="Teza Mukkavilli"/>
    <m/>
    <s v="Srinivas Lingutla"/>
    <m/>
    <s v="Srinivas Lingutla"/>
    <m/>
    <s v="Teza Mukkavilli"/>
    <s v="Jagadesh"/>
    <x v="5"/>
    <s v="TOC"/>
    <m/>
    <m/>
  </r>
  <r>
    <s v="TOC_Horizontal"/>
    <s v="TOC_Horizontal-Platform"/>
    <s v="Vigneshwar Nellaiyappan"/>
    <m/>
    <s v="Ramesh Sarabu"/>
    <m/>
    <s v="Teza Mukkavilli"/>
    <m/>
    <s v="Manohar Veera"/>
    <m/>
    <s v="Ramesh Sarabu"/>
    <m/>
    <s v="Teza Mukkavilli"/>
    <s v="Jagadesh"/>
    <x v="5"/>
    <s v="TOC"/>
    <m/>
    <m/>
  </r>
  <r>
    <s v="TOC_Horizontal"/>
    <s v="TOC_Horizontal-Biz_Data_Analytics"/>
    <s v="Siva MS"/>
    <m/>
    <s v="Ramesh Sarabu"/>
    <m/>
    <s v="Teza Mukkavilli"/>
    <m/>
    <s v="Manohar Veera"/>
    <m/>
    <s v="Ramesh Sarabu"/>
    <m/>
    <s v="Teza Mukkavilli"/>
    <s v=" "/>
    <x v="5"/>
    <s v="TOC"/>
    <m/>
    <m/>
  </r>
  <r>
    <s v="TOC_Horizontal"/>
    <s v="TOC_Horizontal-Performance"/>
    <s v="Aravind R"/>
    <m/>
    <s v="Ramesh Sarabu"/>
    <m/>
    <s v="Teza Mukkavilli"/>
    <m/>
    <m/>
    <m/>
    <m/>
    <m/>
    <s v="Teza Mukkavilli"/>
    <s v=" "/>
    <x v="5"/>
    <s v="TOC"/>
    <m/>
    <m/>
  </r>
  <r>
    <s v="TOC_Horizontal"/>
    <s v="TOC_Horizontal-Event_Campaign_Management_System_(ECMS)"/>
    <s v="C Sricharan"/>
    <m/>
    <s v="Ramesh Sarabu"/>
    <m/>
    <s v="Teza Mukkavilli"/>
    <m/>
    <s v="Deenan Ravindra"/>
    <m/>
    <s v="Srinivas Lingutla"/>
    <m/>
    <s v="Teza Mukkavilli"/>
    <s v=" "/>
    <x v="5"/>
    <s v="TOC"/>
    <m/>
    <m/>
  </r>
  <r>
    <s v="TOC"/>
    <s v="TOC-Task_Management"/>
    <s v="Nagendra Yadav"/>
    <m/>
    <s v="Vijay Kumar"/>
    <m/>
    <s v="Teza Mukkavilli"/>
    <m/>
    <s v="Deenan Ravindra"/>
    <m/>
    <s v="Srinivas Lingutla"/>
    <m/>
    <s v="Teza Mukkavilli"/>
    <s v="Sundari"/>
    <x v="5"/>
    <s v="TOC"/>
    <m/>
    <m/>
  </r>
  <r>
    <s v="TOC"/>
    <s v="TOC-PSA _IM_ST"/>
    <s v="Prakash Ravindran"/>
    <m/>
    <s v="Vijay Kumar"/>
    <m/>
    <s v="Teza Mukkavilli"/>
    <m/>
    <s v="Bharath P Narayan"/>
    <m/>
    <s v="Thilakgowtham T N"/>
    <m/>
    <s v="Teza Mukkavilli"/>
    <s v="Sundari"/>
    <x v="5"/>
    <s v="TOC"/>
    <m/>
    <m/>
  </r>
  <r>
    <s v="TOC"/>
    <s v="TOC-PSA _AEC"/>
    <s v="Micheal Rackmann"/>
    <m/>
    <s v="Vijay Kumar"/>
    <m/>
    <s v="Teza Mukkavilli"/>
    <m/>
    <s v="Thilakgowtham T N"/>
    <m/>
    <s v="Srinivas Lingutla"/>
    <m/>
    <s v="Teza Mukkavilli"/>
    <s v="Sundari"/>
    <x v="5"/>
    <s v="TOC"/>
    <m/>
    <m/>
  </r>
  <r>
    <s v="TOC"/>
    <s v="TOC-PSA _Timesheet"/>
    <s v="Micheal Rackmann"/>
    <m/>
    <s v="Vijay Kumar"/>
    <m/>
    <s v="Teza Mukkavilli"/>
    <m/>
    <s v="Shalini Shakthivel"/>
    <m/>
    <s v="Thilakgowtham T N"/>
    <m/>
    <s v="Teza Mukkavilli"/>
    <s v="Sundari"/>
    <x v="5"/>
    <s v="TOC"/>
    <m/>
    <m/>
  </r>
  <r>
    <s v="TOC"/>
    <s v="TOC-PSA_PRISM"/>
    <s v="Raj Mohan Jayakumar"/>
    <m/>
    <s v="Vijay Kumar"/>
    <m/>
    <s v="Teza Mukkavilli"/>
    <m/>
    <s v="Shalini Shakthivel"/>
    <m/>
    <s v="Thilakgowtham T N"/>
    <m/>
    <s v="Teza Mukkavilli"/>
    <s v="Siva"/>
    <x v="5"/>
    <s v="TOC"/>
    <m/>
    <m/>
  </r>
  <r>
    <s v="TOC"/>
    <s v="TOC-Success_AM"/>
    <s v="Surendar"/>
    <m/>
    <s v="Vijay Kumar"/>
    <m/>
    <s v="Teza Mukkavilli"/>
    <m/>
    <s v="Praveen G"/>
    <m/>
    <s v="Thilakgowtham T N"/>
    <m/>
    <s v="Teza Mukkavilli"/>
    <s v="Siva"/>
    <x v="5"/>
    <s v="TOC"/>
    <m/>
    <m/>
  </r>
  <r>
    <s v="TOC"/>
    <s v="TOC-PSA_DTM"/>
    <s v="Mahadeer M"/>
    <m/>
    <s v="Vijay Kumar"/>
    <m/>
    <s v="Teza Mukkavilli"/>
    <m/>
    <s v="Deenan Ravindra"/>
    <m/>
    <s v="Srinivas Lingutla"/>
    <m/>
    <s v="Teza Mukkavilli"/>
    <s v="Sundari"/>
    <x v="5"/>
    <s v="TOC"/>
    <m/>
    <m/>
  </r>
  <r>
    <s v="TOC"/>
    <s v="TOC-Support_Center"/>
    <s v="Srinivasan S"/>
    <m/>
    <s v="Vijay Kumar"/>
    <m/>
    <s v="Teza Mukkavilli"/>
    <m/>
    <s v="Keerthikumaran A, Aiswarya Ragavi S"/>
    <m/>
    <s v="Balaji J"/>
    <m/>
    <s v="Teza Mukkavilli"/>
    <s v="Polu Karthik"/>
    <x v="5"/>
    <s v="TOC"/>
    <m/>
    <m/>
  </r>
  <r>
    <s v="TOC"/>
    <s v="TOC-Support_Agent"/>
    <s v="Srinivasan S"/>
    <m/>
    <s v="Vijay Kumar"/>
    <m/>
    <s v="Teza Mukkavilli"/>
    <m/>
    <s v="Keerthikumaran A, Aiswarya Ragavi S"/>
    <m/>
    <s v="Balaji J"/>
    <m/>
    <s v="Teza Mukkavilli"/>
    <s v="Polu Karthik"/>
    <x v="5"/>
    <s v="TOC"/>
    <m/>
    <m/>
  </r>
  <r>
    <s v="TOC"/>
    <s v="TOC-Support_Integrations"/>
    <s v="Srinivasan S"/>
    <m/>
    <s v="Vijay Kumar"/>
    <m/>
    <s v="Teza Mukkavilli"/>
    <m/>
    <s v="Keerthikumaran A, Aiswarya Ragavi S"/>
    <m/>
    <s v="Balaji J"/>
    <m/>
    <s v="Teza Mukkavilli"/>
    <s v="Polu Karthik"/>
    <x v="5"/>
    <s v="TOC"/>
    <m/>
    <m/>
  </r>
  <r>
    <s v="TOC"/>
    <s v="TOC-Support_Operations"/>
    <s v="Kiruthika N"/>
    <m/>
    <s v="Vijay Kumar"/>
    <m/>
    <s v="Teza Mukkavilli"/>
    <m/>
    <s v="Keerthikumaran A"/>
    <m/>
    <s v="Balaji J"/>
    <m/>
    <s v="Teza Mukkavilli"/>
    <s v="Polu Karthik"/>
    <x v="5"/>
    <s v="TOC"/>
    <m/>
    <m/>
  </r>
  <r>
    <s v="TOC"/>
    <s v="TOC-Support_AI_Adoption"/>
    <s v="Srinivasan S"/>
    <m/>
    <s v="Vijay Kumar"/>
    <m/>
    <s v="Teza Mukkavilli"/>
    <m/>
    <s v="Aiswarya Ragavi S"/>
    <m/>
    <s v="Balaji J"/>
    <m/>
    <s v="Teza Mukkavilli"/>
    <s v="Polu Karthik"/>
    <x v="5"/>
    <s v="TOC"/>
    <m/>
    <m/>
  </r>
  <r>
    <s v="TOC"/>
    <s v="TOC-ARC"/>
    <s v="Kiruthika N"/>
    <m/>
    <s v="Vijay Kumar"/>
    <m/>
    <s v="Teza Mukkavilli"/>
    <m/>
    <s v="Keerthikumaran A, Aiswarya Ragavi S"/>
    <m/>
    <s v="Balaji J"/>
    <m/>
    <s v="Teza Mukkavilli"/>
    <s v="Polu Karthik"/>
    <x v="5"/>
    <s v="TOC"/>
    <m/>
    <m/>
  </r>
  <r>
    <s v="TOC"/>
    <s v="TOC-Mobile_App"/>
    <s v="Jeyakumar"/>
    <m/>
    <s v="Vijay Kumar"/>
    <m/>
    <s v="Teza Mukkavilli"/>
    <m/>
    <s v="Balaji J"/>
    <m/>
    <s v="Srinivas Lingutla"/>
    <m/>
    <s v="Teza Mukkavilli"/>
    <s v=" "/>
    <x v="5"/>
    <s v="TOC"/>
    <m/>
    <m/>
  </r>
  <r>
    <s v="TOC"/>
    <s v="TOC-Website"/>
    <s v="Jeyakumar"/>
    <m/>
    <s v="Vijay Kumar"/>
    <m/>
    <s v="Teza Mukkavilli"/>
    <m/>
    <s v="Praveen G"/>
    <m/>
    <s v="Srinivas Lingutla"/>
    <m/>
    <s v="Teza Mukkavilli"/>
    <s v="Jagadesh"/>
    <x v="5"/>
    <s v="TOC"/>
    <m/>
    <m/>
  </r>
  <r>
    <s v="TOC"/>
    <s v="TOC-SalesForce"/>
    <s v="Abhilash"/>
    <m/>
    <s v="Vijay Kumar"/>
    <m/>
    <s v="Teza Mukkavilli"/>
    <m/>
    <s v="Venkat Yennam"/>
    <m/>
    <s v="Venkat Yennam"/>
    <m/>
    <s v="Teza Mukkavilli"/>
    <s v="Jagadesh"/>
    <x v="5"/>
    <s v="TOC"/>
    <m/>
    <m/>
  </r>
  <r>
    <s v="TOC"/>
    <s v="TOC-Netsuite"/>
    <s v="Jayashree"/>
    <m/>
    <s v="Vijay Kumar"/>
    <m/>
    <s v="Teza Mukkavilli"/>
    <m/>
    <s v="Venkat Yennam"/>
    <m/>
    <s v="Venkat Yennam"/>
    <m/>
    <s v="Teza Mukkavilli"/>
    <s v="Jagadesh"/>
    <x v="5"/>
    <s v="TOC"/>
    <m/>
    <m/>
  </r>
  <r>
    <s v="TOC"/>
    <s v="TOC-Partner_Portal"/>
    <s v="Nujita Gutha"/>
    <m/>
    <s v="Vijay Kumar"/>
    <m/>
    <s v="Teza Mukkavilli"/>
    <m/>
    <s v="Thilakgowtham T N"/>
    <m/>
    <s v="Srinivas Lingutla"/>
    <m/>
    <s v="Teza Mukkavilli"/>
    <s v="Jagadesh"/>
    <x v="5"/>
    <s v="TOC"/>
    <m/>
    <m/>
  </r>
  <r>
    <s v="TOC"/>
    <s v="TOC-Product_Reporting"/>
    <m/>
    <m/>
    <s v="Vijay Kumar"/>
    <m/>
    <s v="Teza Mukkavilli"/>
    <m/>
    <m/>
    <m/>
    <m/>
    <m/>
    <s v="Teza Mukkavilli"/>
    <m/>
    <x v="5"/>
    <s v="TOC"/>
    <m/>
    <m/>
  </r>
  <r>
    <s v="TOC"/>
    <s v="TOC-Superset"/>
    <m/>
    <m/>
    <s v="Vijay Kumar"/>
    <m/>
    <s v="Teza Mukkavilli"/>
    <m/>
    <m/>
    <m/>
    <m/>
    <m/>
    <s v="Teza Mukkavilli"/>
    <m/>
    <x v="5"/>
    <s v="TOC"/>
    <m/>
    <m/>
  </r>
  <r>
    <s v="TOC"/>
    <s v="TOC-Role_Management"/>
    <m/>
    <m/>
    <s v="Vijay Kumar"/>
    <m/>
    <s v="Teza Mukkavilli"/>
    <m/>
    <m/>
    <m/>
    <m/>
    <m/>
    <s v="Teza Mukkavilli"/>
    <m/>
    <x v="5"/>
    <s v="TOC"/>
    <m/>
    <m/>
  </r>
  <r>
    <s v="TOC"/>
    <s v="TOC-Core"/>
    <m/>
    <m/>
    <s v="Vijay Kumar"/>
    <m/>
    <s v="Teza Mukkavilli"/>
    <m/>
    <m/>
    <m/>
    <m/>
    <m/>
    <s v="Teza Mukkavilli"/>
    <m/>
    <x v="5"/>
    <s v="TOC"/>
    <m/>
    <m/>
  </r>
  <r>
    <s v="AIE_Platform"/>
    <s v="AIE_Platform-GenAI"/>
    <m/>
    <m/>
    <s v="Satyajeet Singh"/>
    <s v="Raghu Ram Vengalil"/>
    <s v="Satish Sallakonda"/>
    <s v="Saiswaroop Konduru"/>
    <m/>
    <m/>
    <s v="Ashish Kalya"/>
    <m/>
    <s v="Shiva Somasundaram"/>
    <m/>
    <x v="103"/>
    <s v="AIPL"/>
    <s v="Nishanth Nag"/>
    <m/>
  </r>
  <r>
    <s v="AIE_Platform"/>
    <s v="AIE_Platform-ClassicalML"/>
    <m/>
    <m/>
    <s v="Satyajeet Singh"/>
    <s v="Raghu Ram Vengalil"/>
    <s v="Satish Sallakonda"/>
    <s v="Saiswaroop Konduru"/>
    <m/>
    <m/>
    <s v="Ashish Kalya"/>
    <m/>
    <s v="Shiva Somasundaram"/>
    <m/>
    <x v="103"/>
    <s v="AIPL"/>
    <s v="Nishanth Nag"/>
    <m/>
  </r>
  <r>
    <s v="AIE_Platform"/>
    <s v="AIE_Platform_ServiceAIBDC"/>
    <m/>
    <m/>
    <s v="Satyajeet Singh"/>
    <s v="Raghu Ram Vengalil"/>
    <s v="Satish Sallakonda"/>
    <s v="Aniket Chhabra"/>
    <m/>
    <m/>
    <s v="Ashish Kalya"/>
    <m/>
    <s v="Shiva Somasundaram"/>
    <m/>
    <x v="103"/>
    <s v="AIPL"/>
    <s v="Nishanth Nag"/>
    <m/>
  </r>
  <r>
    <s v="AIE_Platform"/>
    <s v="AIE_Platform-ServiceAgents"/>
    <m/>
    <m/>
    <s v="Satyajeet Singh"/>
    <s v="Raghu Ram Vengalil"/>
    <s v="Satish Sallakonda"/>
    <s v="Eshaan Ghosh"/>
    <m/>
    <m/>
    <s v="Ashish Kalya"/>
    <m/>
    <s v="Shiva Somasundaram"/>
    <m/>
    <x v="103"/>
    <s v="AIPL"/>
    <s v="Nishanth Nag"/>
    <m/>
  </r>
  <r>
    <s v="AIE_Platform"/>
    <s v="AIE_Platform-Sales"/>
    <m/>
    <m/>
    <s v="Satyajeet Singh"/>
    <s v="Raghu Ram Vengalil"/>
    <s v="Satish Sallakonda"/>
    <s v="Uday Jumle"/>
    <m/>
    <m/>
    <s v="Rashmi Prakash"/>
    <s v="Gaurav Gupta"/>
    <s v="Satyavrat Mudgil"/>
    <m/>
    <x v="103"/>
    <s v="AIPL"/>
    <s v="Nishanth Nag"/>
    <m/>
  </r>
  <r>
    <s v="AIE_Platform"/>
    <s v="AIE_Platform-CRMPro"/>
    <m/>
    <m/>
    <s v="Satyajeet Singh"/>
    <s v="Raghu Ram Vengalil"/>
    <s v="Satish Sallakonda"/>
    <s v="Preetiranjan Pradhan"/>
    <m/>
    <m/>
    <s v="Rashmi Prakash"/>
    <s v="Gaurav Gupta"/>
    <s v="Satyavrat Mudgil"/>
    <m/>
    <x v="103"/>
    <s v="AIPL"/>
    <s v="Nishanth Nag"/>
    <m/>
  </r>
  <r>
    <s v="AIE_Platform"/>
    <s v="AIE_Platform-CRMBase"/>
    <m/>
    <m/>
    <s v="Satyajeet Singh"/>
    <s v="Raghu Ram Vengalil"/>
    <s v="Satish Sallakonda"/>
    <s v="Preetiranjan Pradhan"/>
    <m/>
    <m/>
    <s v="Rashmi Prakash"/>
    <s v="Gaurav Gupta"/>
    <s v="Satyavrat Mudgil"/>
    <m/>
    <x v="103"/>
    <s v="AIPL"/>
    <s v="Nishanth Nag"/>
    <m/>
  </r>
  <r>
    <s v="AIE_Platform"/>
    <s v="AIE_Platform-UML"/>
    <m/>
    <m/>
    <s v="Satyajeet Singh"/>
    <s v="Raghu Ram Vengalil"/>
    <s v="Satish Sallakonda"/>
    <s v="Saiswaroop Konduru"/>
    <m/>
    <m/>
    <s v="Ashish Kalya"/>
    <m/>
    <s v="Shiva Somasundaram"/>
    <m/>
    <x v="103"/>
    <s v="AIPL"/>
    <s v="Nishanth Nag"/>
    <m/>
  </r>
  <r>
    <s v="AIE_Platform"/>
    <s v="AIE_Platform-T1"/>
    <m/>
    <m/>
    <s v="Satyajeet Singh"/>
    <s v="Raghu Ram Vengalil"/>
    <s v="Satish Sallakonda"/>
    <s v="Eshaan Ghosh"/>
    <m/>
    <m/>
    <s v="Ashish Kalya"/>
    <m/>
    <s v="Shiva Somasundaram"/>
    <m/>
    <x v="103"/>
    <s v="AIPL"/>
    <s v="Nishanth Nag"/>
    <m/>
  </r>
  <r>
    <s v="AIE_Platform"/>
    <s v="AIE_Platform-SCP"/>
    <m/>
    <m/>
    <s v="Satyajeet Singh"/>
    <s v="Raghu Ram Vengalil"/>
    <s v="Satish Sallakonda"/>
    <s v="Eshaan Ghosh"/>
    <m/>
    <m/>
    <s v="Ashish Kalya"/>
    <m/>
    <s v="Shiva Somasundaram"/>
    <m/>
    <x v="103"/>
    <s v="AIPL"/>
    <s v="Nishanth Nag"/>
    <m/>
  </r>
  <r>
    <s v="DR_GM"/>
    <s v="DR_GM-VSR"/>
    <s v="Sumit Kumar Bansal"/>
    <s v="Sumit Kumar Bansal"/>
    <s v="Manoj Kansal"/>
    <s v="Manoj Kansal"/>
    <s v="Santosh Golecha"/>
    <s v="Laura Howard"/>
    <s v="Sasi Sekaran Chandra Leela"/>
    <s v="Sasi Sekaran Chandra Leela"/>
    <m/>
    <m/>
    <s v="Santosh Golecha"/>
    <s v="Satendra Jain"/>
    <x v="104"/>
    <s v="GM"/>
    <s v="Preeti Anandan"/>
    <m/>
  </r>
  <r>
    <s v="DR_GM"/>
    <s v="DR_GM-FE_Platform"/>
    <s v="Sumit Kumar Bansal"/>
    <s v="Sumit Kumar Bansal"/>
    <s v="Manoj Kansal"/>
    <s v="Manoj Kansal"/>
    <s v="Santosh Golecha"/>
    <s v="Laura Howard"/>
    <s v="Sasi Sekaran Chandra Leela"/>
    <s v="Sasi Sekaran Chandra Leela"/>
    <m/>
    <m/>
    <s v="Santosh Golecha"/>
    <s v="Satendra Jain"/>
    <x v="104"/>
    <s v="GM"/>
    <s v="Preeti Anandan"/>
    <m/>
  </r>
  <r>
    <s v="DR_GM"/>
    <s v="DR_GM-VDP"/>
    <s v="Sumit Kumar Bansal"/>
    <s v="Sumit Kumar Bansal"/>
    <s v="Manoj Kansal"/>
    <s v="Manoj Kansal"/>
    <s v="Santosh Golecha"/>
    <s v="Ankur Priyam"/>
    <s v="M Uday Kiran Reddy"/>
    <s v="M Uday Kiran Reddy"/>
    <m/>
    <m/>
    <s v="Santosh Golecha"/>
    <s v="Satendra Jain"/>
    <x v="105"/>
    <s v="GM"/>
    <s v="Preeti Anandan"/>
    <m/>
  </r>
  <r>
    <s v="DR_GM"/>
    <s v="DR_GM-LeadForms"/>
    <s v="Sumit Kumar Bansal"/>
    <s v="Sumit Kumar Bansal"/>
    <s v="Manoj Kansal"/>
    <s v="Manoj Kansal"/>
    <s v="Santosh Golecha"/>
    <s v="Ankur Priyam"/>
    <s v="M Uday Kiran Reddy"/>
    <s v="M Uday Kiran Reddy"/>
    <m/>
    <m/>
    <s v="Santosh Golecha"/>
    <s v="Satendra Jain"/>
    <x v="105"/>
    <s v="GM"/>
    <s v="Preeti Anandan"/>
    <m/>
  </r>
  <r>
    <s v="DR_GM"/>
    <s v="DR_GM-Configurator"/>
    <s v="Naveen S"/>
    <s v="Sumit Kumar Bansal"/>
    <s v="Manoj Kansal"/>
    <s v="Manoj Kansal"/>
    <s v="Santosh Golecha"/>
    <s v="Mohammad Furqan Mir"/>
    <s v="M Uday Kiran Reddy"/>
    <s v="M Uday Kiran Reddy"/>
    <m/>
    <m/>
    <s v="Santosh Golecha"/>
    <s v="Satendra Jain"/>
    <x v="106"/>
    <s v="GM"/>
    <s v="Preeti Anandan"/>
    <m/>
  </r>
  <r>
    <s v="DR_GM"/>
    <s v="DR_GM-Myaccounts"/>
    <s v="Sumit Kumar Bansal"/>
    <s v="Sumit Kumar Bansal"/>
    <s v="Manoj Kansal"/>
    <s v="Manoj Kansal"/>
    <s v="Santosh Golecha"/>
    <s v="Laura Howard"/>
    <s v="Sasi Sekaran Chandra Leela"/>
    <s v="Sasi Sekaran Chandra Leela"/>
    <m/>
    <m/>
    <s v="Santosh Golecha"/>
    <s v="Satendra Jain"/>
    <x v="107"/>
    <s v="GM"/>
    <s v="Preeti Anandan"/>
    <m/>
  </r>
  <r>
    <s v="DR_GM"/>
    <s v="DR_GM-Appointments"/>
    <s v="Sumit Kumar Bansal"/>
    <s v="Sumit Kumar Bansal"/>
    <s v="Manoj Kansal"/>
    <s v="Manoj Kansal"/>
    <s v="Santosh Golecha"/>
    <s v="Laura Howard"/>
    <s v="Sasi Sekaran Chandra Leela"/>
    <s v="Sasi Sekaran Chandra Leela"/>
    <m/>
    <m/>
    <s v="Santosh Golecha"/>
    <s v="Satendra Jain"/>
    <x v="107"/>
    <s v="GM"/>
    <s v="Preeti Anandan"/>
    <m/>
  </r>
  <r>
    <s v="DR_GM"/>
    <s v="DR_GM-WebsiteSetup"/>
    <s v="Naveen S"/>
    <s v="Sumit Kumar Bansal"/>
    <s v="Manoj Kansal"/>
    <s v="Manoj Kansal"/>
    <s v="Santosh Golecha"/>
    <s v="Mohammad Furqan Mir"/>
    <s v="M Uday Kiran Reddy"/>
    <s v="M Uday Kiran Reddy"/>
    <m/>
    <m/>
    <s v="Santosh Golecha"/>
    <s v="Satendra Jain"/>
    <x v="106"/>
    <s v="GM"/>
    <s v="Preeti Anandan"/>
    <m/>
  </r>
  <r>
    <s v="DR_GM"/>
    <s v="DR_GM-Ingestion_Discovery"/>
    <s v="Ankur Jain"/>
    <s v="Sumit Kumar Bansal"/>
    <s v="Manoj Kansal"/>
    <s v="Manoj Kansal"/>
    <s v="Santosh Golecha"/>
    <s v="Laura Howard"/>
    <s v="Sasi Sekaran Chandra Leela"/>
    <s v="Sasi Sekaran Chandra Leela"/>
    <m/>
    <m/>
    <s v="Santosh Golecha"/>
    <s v="Satendra Jain"/>
    <x v="108"/>
    <s v="GM"/>
    <s v="Preeti Anandan"/>
    <m/>
  </r>
  <r>
    <s v="DR_GM"/>
    <s v="DR_GM-OMS"/>
    <s v="Ankur Jain"/>
    <s v="Sumit Kumar Bansal"/>
    <s v="Manoj Kansal"/>
    <s v="Manoj Kansal"/>
    <s v="Santosh Golecha"/>
    <s v="Ankur Priyam"/>
    <s v="M Uday Kiran Reddy"/>
    <s v="M Uday Kiran Reddy"/>
    <m/>
    <m/>
    <s v="Santosh Golecha"/>
    <s v="Satendra Jain"/>
    <x v="109"/>
    <s v="GM"/>
    <s v="Preeti Anandan"/>
    <m/>
  </r>
  <r>
    <s v="DR_GM"/>
    <s v="DR_GM-Pricing"/>
    <s v="Ankur Jain"/>
    <s v="Sumit Kumar Bansal"/>
    <s v="Manoj Kansal"/>
    <s v="Manoj Kansal"/>
    <s v="Santosh Golecha"/>
    <s v="Ankur Priyam"/>
    <s v="M Uday Kiran Reddy"/>
    <s v="M Uday Kiran Reddy"/>
    <m/>
    <m/>
    <s v="Santosh Golecha"/>
    <s v="Satendra Jain"/>
    <x v="109"/>
    <s v="GM"/>
    <s v="Preeti Anandan"/>
    <m/>
  </r>
  <r>
    <s v="DR_GM"/>
    <s v="DR_GM-CustomApps_IC"/>
    <s v="Hunny Mittal"/>
    <m/>
    <s v="Manoj Kansal"/>
    <s v="Manoj Kansal"/>
    <s v="Santosh Golecha"/>
    <s v="Amit Bahedia"/>
    <s v="M Uday Kiran Reddy"/>
    <s v="M Uday Kiran Reddy"/>
    <m/>
    <m/>
    <s v="Santosh Golecha"/>
    <s v="Satendra Jain"/>
    <x v="110"/>
    <s v="GM"/>
    <s v="Preeti Anandan"/>
    <m/>
  </r>
  <r>
    <s v="DR_GM"/>
    <s v="DR_GM-CustomApps_VI"/>
    <s v="Hunny Mittal"/>
    <m/>
    <s v="Manoj Kansal"/>
    <s v="Manoj Kansal"/>
    <s v="Santosh Golecha"/>
    <s v="Simran L"/>
    <s v="Akshay Gupta"/>
    <s v="M Uday Kiran Reddy"/>
    <m/>
    <m/>
    <s v="Santosh Golecha"/>
    <s v="Satendra Jain"/>
    <x v="110"/>
    <s v="GM"/>
    <s v="Preeti Anandan"/>
    <m/>
  </r>
  <r>
    <s v="DR_GM"/>
    <s v="DR_GM-CustomApps_CS"/>
    <s v="Hunny Mittal"/>
    <m/>
    <s v="Manoj Kansal"/>
    <s v="Manoj Kansal"/>
    <s v="Santosh Golecha"/>
    <s v="Mohammad Furqan Mir"/>
    <s v="M Uday Kiran Reddy"/>
    <s v="M Uday Kiran Reddy"/>
    <m/>
    <m/>
    <s v="Santosh Golecha"/>
    <s v="Satendra Jain"/>
    <x v="110"/>
    <s v="GM"/>
    <s v="Preeti Anandan"/>
    <m/>
  </r>
  <r>
    <s v="DR_GM"/>
    <s v="DR_GM-CustomApps_Setups"/>
    <s v="Hunny Mittal"/>
    <m/>
    <s v="Manoj Kansal"/>
    <s v="Manoj Kansal"/>
    <s v="Santosh Golecha"/>
    <s v="Amit Bahedia"/>
    <s v="M Uday Kiran Reddy"/>
    <s v="M Uday Kiran Reddy"/>
    <m/>
    <m/>
    <s v="Santosh Golecha"/>
    <s v="Satendra Jain"/>
    <x v="110"/>
    <s v="GM"/>
    <s v="Preeti Anandan"/>
    <m/>
  </r>
  <r>
    <s v="DR_GM"/>
    <s v="DR_GM-SCX_V2"/>
    <s v="Hunny Mittal"/>
    <m/>
    <s v="Manoj Kansal"/>
    <s v="Manoj Kansal"/>
    <s v="Santosh Golecha"/>
    <s v="Ankur Priyam"/>
    <s v="M Uday Kiran Reddy"/>
    <s v="M Uday Kiran Reddy"/>
    <m/>
    <m/>
    <s v="Santosh Golecha"/>
    <s v="Satendra Jain"/>
    <x v="111"/>
    <s v="GM"/>
    <s v="Preeti Anandan"/>
    <m/>
  </r>
  <r>
    <s v="DR_GM"/>
    <s v="DR_GM-SC_IC_VI"/>
    <s v="Hunny Mittal"/>
    <m/>
    <s v="Manoj Kansal"/>
    <s v="Manoj Kansal"/>
    <s v="Santosh Golecha"/>
    <s v="Amit Bahedia"/>
    <s v="M Uday Kiran Reddy"/>
    <s v="M Uday Kiran Reddy"/>
    <m/>
    <m/>
    <s v="Santosh Golecha"/>
    <s v="Satendra Jain"/>
    <x v="110"/>
    <s v="GM"/>
    <s v="Preeti Anandan"/>
    <m/>
  </r>
  <r>
    <s v="DR_GM"/>
    <s v="DR_GM-SC_F&amp;I_Forms"/>
    <s v="Hunny Mittal"/>
    <m/>
    <s v="Manoj Kansal"/>
    <s v="Manoj Kansal"/>
    <s v="Santosh Golecha"/>
    <s v="Amit Bahedia"/>
    <s v="M Uday Kiran Reddy"/>
    <s v="M Uday Kiran Reddy"/>
    <m/>
    <m/>
    <s v="Santosh Golecha"/>
    <s v="Satendra Jain"/>
    <x v="110"/>
    <s v="GM"/>
    <s v="Preeti Anandan"/>
    <m/>
  </r>
  <r>
    <s v="DR_GM"/>
    <s v="DR_GM-SC_Pricing"/>
    <s v="Hunny Mittal"/>
    <m/>
    <s v="Manoj Kansal"/>
    <s v="Manoj Kansal"/>
    <s v="Santosh Golecha"/>
    <s v="Simran L"/>
    <s v="Akshay Gupta"/>
    <s v="M Uday Kiran Reddy"/>
    <m/>
    <m/>
    <s v="Santosh Golecha"/>
    <s v="Satendra Jain"/>
    <x v="110"/>
    <s v="GM"/>
    <s v="Preeti Anandan"/>
    <m/>
  </r>
  <r>
    <s v="DR_GM"/>
    <s v="DR_GM-SC_Deals"/>
    <s v="Hunny Mittal"/>
    <m/>
    <s v="Manoj Kansal"/>
    <s v="Manoj Kansal"/>
    <s v="Santosh Golecha"/>
    <s v="Simran L"/>
    <s v="Akshay Gupta"/>
    <s v="M Uday Kiran Reddy"/>
    <m/>
    <m/>
    <s v="Santosh Golecha"/>
    <s v="Satendra Jain"/>
    <x v="110"/>
    <s v="GM"/>
    <s v="Preeti Anandan"/>
    <m/>
  </r>
  <r>
    <s v="DR_GM"/>
    <s v="DR_GM-SCX_V1"/>
    <s v="Hunny Mittal"/>
    <m/>
    <s v="Manoj Kansal"/>
    <s v="Manoj Kansal"/>
    <s v="Santosh Golecha"/>
    <s v="Ankur Priyam"/>
    <s v="M Uday Kiran Reddy"/>
    <s v="M Uday Kiran Reddy"/>
    <m/>
    <m/>
    <s v="Santosh Golecha"/>
    <s v="Satendra Jain"/>
    <x v="111"/>
    <s v="GM"/>
    <s v="Preeti Anandan"/>
    <m/>
  </r>
  <r>
    <s v="DR_GM"/>
    <s v="DR_GM-Int_V1"/>
    <s v="Sumit Kumar Bansal"/>
    <s v="Sumit Kumar Bansal"/>
    <s v="Manoj Kansal"/>
    <s v="Manoj Kansal"/>
    <s v="Santosh Golecha"/>
    <s v="Abhi Thadeshwar"/>
    <s v="Sasi Sekaran Chandra Leela"/>
    <s v="M Uday Kiran Reddy"/>
    <m/>
    <m/>
    <s v="Santosh Golecha"/>
    <s v="Satendra Jain"/>
    <x v="112"/>
    <s v="GM"/>
    <s v="Preeti Anandan"/>
    <m/>
  </r>
  <r>
    <s v="DR_GM"/>
    <s v="DR_GM-Int_V2"/>
    <s v="Sumit Kumar Bansal"/>
    <s v="Sumit Kumar Bansal"/>
    <s v="Manoj Kansal"/>
    <s v="Manoj Kansal"/>
    <s v="Santosh Golecha"/>
    <s v="Abhi Thadeshwar"/>
    <s v="Sasi Sekaran Chandra Leela"/>
    <s v="M Uday Kiran Reddy"/>
    <m/>
    <m/>
    <s v="Santosh Golecha"/>
    <s v="Satendra Jain"/>
    <x v="112"/>
    <s v="GM"/>
    <s v="Preeti Anandan"/>
    <m/>
  </r>
  <r>
    <s v="DR_GM"/>
    <s v="DR_GM-CustomApps_POQ"/>
    <s v="Hunny Mittal"/>
    <m/>
    <s v="Manoj Kansal"/>
    <s v="Manoj Kansal"/>
    <s v="Santosh Golecha"/>
    <s v="Marichetty Venkata Teja Vaibhav"/>
    <s v="M Uday Kiran Reddy"/>
    <s v="M Uday Kiran Reddy"/>
    <m/>
    <m/>
    <s v="Santosh Golecha"/>
    <s v="Satendra Jain"/>
    <x v="113"/>
    <s v="GM"/>
    <s v="Preeti Anandan"/>
    <m/>
  </r>
  <r>
    <s v="DR_GM"/>
    <s v="DR_GM-CustomApps_PI"/>
    <s v="Hunny Mittal"/>
    <m/>
    <s v="Manoj Kansal"/>
    <s v="Manoj Kansal"/>
    <s v="Santosh Golecha"/>
    <s v="Marichetty Venkata Teja Vaibhav"/>
    <s v="M Uday Kiran Reddy"/>
    <s v="M Uday Kiran Reddy"/>
    <m/>
    <m/>
    <s v="Santosh Golecha"/>
    <s v="Satendra Jain"/>
    <x v="5"/>
    <s v="GM"/>
    <s v="Preeti Anandan"/>
    <m/>
  </r>
  <r>
    <s v="DR_GM"/>
    <s v="DR_GM-CustomApps_D360"/>
    <s v="Hunny Mittal"/>
    <m/>
    <s v="Manoj Kansal"/>
    <s v="Manoj Kansal"/>
    <s v="Santosh Golecha"/>
    <s v="Marichetty Venkata Teja Vaibhav"/>
    <s v="M Uday Kiran Reddy"/>
    <s v="M Uday Kiran Reddy"/>
    <m/>
    <m/>
    <s v="Santosh Golecha"/>
    <s v="Satendra Jain"/>
    <x v="113"/>
    <s v="GM"/>
    <s v="Preeti Anandan"/>
    <m/>
  </r>
  <r>
    <s v="DR_GM"/>
    <s v="DR_GM-CustomApps_Reports"/>
    <s v="Hunny Mittal"/>
    <m/>
    <s v="Manoj Kansal"/>
    <s v="Manoj Kansal"/>
    <s v="Santosh Golecha"/>
    <s v="Marichetty Venkata Teja Vaibhav"/>
    <s v="M Uday Kiran Reddy"/>
    <s v="M Uday Kiran Reddy"/>
    <m/>
    <m/>
    <s v="Santosh Golecha"/>
    <s v="Satendra Jain"/>
    <x v="113"/>
    <s v="GM"/>
    <s v="Preeti Anandan"/>
    <m/>
  </r>
  <r>
    <s v="DR_GM"/>
    <s v="DR_GM-CustomApps_Platform"/>
    <s v="Hunny Mittal"/>
    <m/>
    <s v="Manoj Kansal"/>
    <s v="Manoj Kansal"/>
    <s v="Santosh Golecha"/>
    <s v="Marichetty Venkata Teja Vaibhav"/>
    <s v="M Uday Kiran Reddy"/>
    <s v="M Uday Kiran Reddy"/>
    <m/>
    <m/>
    <s v="Santosh Golecha"/>
    <s v="Satendra Jain"/>
    <x v="113"/>
    <s v="GM"/>
    <s v="Preeti Anandan"/>
    <m/>
  </r>
  <r>
    <s v="DR_GM"/>
    <s v="DR_GM-Analytics_2.0"/>
    <s v="Hunny Mittal"/>
    <m/>
    <s v="Manoj Kansal"/>
    <s v="Manoj Kansal"/>
    <s v="Santosh Golecha"/>
    <s v="Amit Bahedia"/>
    <s v="M Uday Kiran Reddy"/>
    <s v="M Uday Kiran Reddy"/>
    <m/>
    <m/>
    <s v="Santosh Golecha"/>
    <s v="Satendra Jain"/>
    <x v="113"/>
    <s v="GM"/>
    <s v="Preeti Anandan"/>
    <m/>
  </r>
  <r>
    <s v="DR_GM"/>
    <s v="DR_GM-Custom_Emails"/>
    <s v="Hunny Mittal"/>
    <m/>
    <s v="Manoj Kansal"/>
    <s v="Manoj Kansal"/>
    <s v="Santosh Golecha"/>
    <s v="Mohammad Furqan Mir"/>
    <s v="M Uday Kiran Reddy"/>
    <s v="M Uday Kiran Reddy"/>
    <m/>
    <m/>
    <s v="Santosh Golecha"/>
    <s v="Satendra Jain"/>
    <x v="113"/>
    <s v="GM"/>
    <s v="Preeti Anandan"/>
    <m/>
  </r>
  <r>
    <s v="DR_GM"/>
    <s v="DR_GM-Sales Cloud Platform"/>
    <s v="Hunny Mittal"/>
    <m/>
    <s v="Manoj Kansal"/>
    <s v="Manoj Kansal"/>
    <s v="Santosh Golecha"/>
    <s v="Amit Bahedia"/>
    <s v="M Uday Kiran Reddy"/>
    <s v="M Uday Kiran Reddy"/>
    <m/>
    <m/>
    <s v="Santosh Golecha"/>
    <s v="Satendra Jain"/>
    <x v="113"/>
    <s v="GM"/>
    <s v="Preeti Anandan"/>
    <m/>
  </r>
  <r>
    <s v="DR_GM"/>
    <s v="DR_GM-Sales_Cloud_CRM"/>
    <s v="Hunny Mittal"/>
    <m/>
    <s v="Manoj Kansal"/>
    <s v="Manoj Kansal"/>
    <s v="Santosh Golecha"/>
    <s v="Simran L"/>
    <s v="Akshay Gupta"/>
    <s v="M Uday Kiran Reddy"/>
    <m/>
    <m/>
    <s v="Santosh Golecha"/>
    <s v="Satendra Jain"/>
    <x v="113"/>
    <s v="GM"/>
    <s v="Preeti Anandan"/>
    <m/>
  </r>
  <r>
    <s v="DR_GM"/>
    <s v="DR_GM-AEO_GEO"/>
    <s v="Sumit Kumar Bansal"/>
    <s v="Sumit Kumar Bansal"/>
    <s v="Manoj Kansal"/>
    <s v="Manoj Kansal"/>
    <s v="Santosh Golecha"/>
    <s v="Ankur Priyam"/>
    <s v="M Uday Kiran Reddy"/>
    <s v="M Uday Kiran Reddy"/>
    <m/>
    <m/>
    <s v="Santosh Golecha"/>
    <s v="Satendra Jain"/>
    <x v="114"/>
    <s v="GM"/>
    <s v="Preeti Anandan"/>
    <m/>
  </r>
  <r>
    <s v="DR_GM"/>
    <s v="DR_GM-OEM_Agentic_AI"/>
    <m/>
    <m/>
    <s v="Manoj Kansal"/>
    <s v="Manoj Kansal"/>
    <s v="Santosh Golecha"/>
    <s v="Ankur Priyam"/>
    <s v="M Uday Kiran Reddy"/>
    <s v="M Uday Kiran Reddy"/>
    <m/>
    <m/>
    <s v="Santosh Golecha"/>
    <s v="Satendra Jain"/>
    <x v="115"/>
    <s v="GM"/>
    <s v="Preeti Anandan"/>
    <m/>
  </r>
  <r>
    <s v="DR_GM"/>
    <s v="DR_GM-DRP_Integrations"/>
    <s v="Sumit Kumar Bansal"/>
    <s v="Sumit Kumar Bansal"/>
    <s v="Manoj Kansal"/>
    <s v="Manoj Kansal"/>
    <s v="Santosh Golecha"/>
    <s v="Abhi Thadeshwar"/>
    <s v="Sasi Sekaran Chandra Leela"/>
    <s v="M Uday Kiran Reddy"/>
    <m/>
    <m/>
    <s v="Santosh Golecha"/>
    <s v="Satendra Jain"/>
    <x v="112"/>
    <s v="GM"/>
    <s v="Preeti Anandan"/>
    <m/>
  </r>
  <r>
    <s v="DR_GM"/>
    <s v="DR_GM-3rd_Party_Chat_Integration"/>
    <s v="Hunny Mittal"/>
    <m/>
    <s v="Manoj Kansal"/>
    <s v="Manoj Kansal"/>
    <s v="Santosh Golecha"/>
    <s v="Mohammad Furqan Mir"/>
    <s v="M Uday Kiran Reddy"/>
    <s v="M Uday Kiran Reddy"/>
    <m/>
    <m/>
    <s v="Santosh Golecha"/>
    <s v="Satendra Jain"/>
    <x v="116"/>
    <s v="GM"/>
    <s v="Preeti Anandan"/>
    <m/>
  </r>
  <r>
    <s v="DR_GM"/>
    <s v="DR_GM-Observability"/>
    <s v="Sumit Kumar Bansal"/>
    <s v="Sumit Kumar Bansal"/>
    <s v="Manoj Kansal"/>
    <s v="Manoj Kansal"/>
    <s v="Santosh Golecha"/>
    <s v="Ankur Priyam"/>
    <s v="M Uday Kiran Reddy"/>
    <s v="M Uday Kiran Reddy"/>
    <m/>
    <m/>
    <s v="Santosh Golecha"/>
    <s v="Satendra Jain"/>
    <x v="5"/>
    <s v="GM"/>
    <s v="Preeti Anandan"/>
    <m/>
  </r>
  <r>
    <s v="AIE_Core"/>
    <s v="AIE_Core-Vision"/>
    <m/>
    <m/>
    <s v="Satyajeet Singh"/>
    <s v="Raghu Ram Vengalil"/>
    <s v="Satish Sallakonda"/>
    <s v="Eshaan Ghosh"/>
    <m/>
    <m/>
    <s v="Ashish Kalya"/>
    <m/>
    <s v="Shiva Somasundaram"/>
    <m/>
    <x v="5"/>
    <s v="AIPL"/>
    <s v="Nishanth Nag"/>
    <m/>
  </r>
  <r>
    <s v="AIE_Core"/>
    <s v="AIE_Core-ServiceAIBDC"/>
    <m/>
    <m/>
    <s v="Satyajeet Singh"/>
    <s v="Raghu Ram Vengalil"/>
    <s v="Satish Sallakonda"/>
    <s v="Aniket Chhabra"/>
    <m/>
    <m/>
    <s v="Ashish Kalya"/>
    <m/>
    <s v="Shiva Somasundaram"/>
    <m/>
    <x v="117"/>
    <s v="AIPL"/>
    <s v="Nishanth Nag"/>
    <m/>
  </r>
  <r>
    <s v="AIE_Core"/>
    <s v="AIE_Core-ServiceAgents"/>
    <m/>
    <m/>
    <s v="Satyajeet Singh"/>
    <s v="Raghu Ram Vengalil"/>
    <s v="Satish Sallakonda"/>
    <s v="Eshaan Ghosh"/>
    <m/>
    <m/>
    <s v="Ashish Kalya"/>
    <m/>
    <s v="Shiva Somasundaram"/>
    <m/>
    <x v="117"/>
    <s v="AIPL"/>
    <s v="Nishanth Nag"/>
    <m/>
  </r>
  <r>
    <s v="AIE_Core"/>
    <s v="AIE_Core-Sales"/>
    <m/>
    <m/>
    <s v="Satyajeet Singh"/>
    <s v="Raghu Ram Vengalil"/>
    <s v="Satish Sallakonda"/>
    <s v="Uday Jumle"/>
    <m/>
    <m/>
    <s v="Rashmi Prakash"/>
    <s v="Gaurav Gupta"/>
    <s v="Satyavrat Mudgil"/>
    <m/>
    <x v="118"/>
    <s v="AIPL"/>
    <s v="Nishanth Nag"/>
    <m/>
  </r>
  <r>
    <s v="AIE_Core"/>
    <s v="AIE_Core-CRMPro"/>
    <m/>
    <m/>
    <s v="Satyajeet Singh"/>
    <s v="Raghu Ram Vengalil"/>
    <s v="Satish Sallakonda"/>
    <s v="Preetiranjan Pradhan"/>
    <m/>
    <m/>
    <s v="Rashmi Prakash"/>
    <s v="Gaurav Gupta"/>
    <s v="Satyavrat Mudgil"/>
    <m/>
    <x v="118"/>
    <s v="AIPL"/>
    <s v="Nishanth Nag"/>
    <m/>
  </r>
  <r>
    <s v="AIE_Core"/>
    <s v="AIE_Core-CRMBase"/>
    <m/>
    <m/>
    <s v="Satyajeet Singh"/>
    <s v="Raghu Ram Vengalil"/>
    <s v="Satish Sallakonda"/>
    <s v="Preetiranjan Pradhan"/>
    <m/>
    <m/>
    <s v="Rashmi Prakash"/>
    <s v="Gaurav Gupta"/>
    <s v="Satyavrat Mudgil"/>
    <m/>
    <x v="118"/>
    <s v="AIPL"/>
    <s v="Nishanth Nag"/>
    <m/>
  </r>
  <r>
    <s v="AIE_Core"/>
    <s v="AIE_Core-UML"/>
    <m/>
    <m/>
    <s v="Satyajeet Singh"/>
    <s v="Raghu Ram Vengalil"/>
    <s v="Satish Sallakonda"/>
    <s v="Saiswaroop Konduru"/>
    <m/>
    <m/>
    <s v="Ashish Kalya"/>
    <m/>
    <s v="Shiva Somasundaram"/>
    <m/>
    <x v="119"/>
    <s v="AIPL"/>
    <s v="Nishanth Nag"/>
    <m/>
  </r>
  <r>
    <s v="AIE_Core"/>
    <s v="AIE_Core-RnD"/>
    <m/>
    <m/>
    <s v="Satyajeet Singh"/>
    <s v="Raghu Ram Vengalil"/>
    <s v="Satish Sallakonda"/>
    <s v="Saiswaroop Konduru"/>
    <m/>
    <m/>
    <s v="Ashish Kalya"/>
    <m/>
    <s v="Shiva Somasundaram"/>
    <m/>
    <x v="119"/>
    <s v="AIPL"/>
    <s v="Nishanth Nag"/>
    <m/>
  </r>
  <r>
    <s v="AIE_Core"/>
    <s v="AIE_Core-ServiceOutboundAI"/>
    <m/>
    <m/>
    <s v="Satyajeet Singh"/>
    <s v="Raghu Ram Vengalil"/>
    <s v="Satish Sallakonda"/>
    <s v="Shivani Jakhmola"/>
    <s v="Aniket Chhabra"/>
    <s v="Aniket Chhabra"/>
    <s v="Ashish Kalya"/>
    <m/>
    <s v="Shiva Somasundaram"/>
    <m/>
    <x v="117"/>
    <s v="AIPL"/>
    <s v="Nishanth Nag"/>
    <m/>
  </r>
  <r>
    <s v="AIE_Core"/>
    <s v="AIE_Core-Adhoc"/>
    <m/>
    <m/>
    <s v="Satyajeet Singh"/>
    <s v="Raghu Ram Vengalil"/>
    <s v="Satish Sallakonda"/>
    <s v="Saiswaroop Konduru"/>
    <s v="Aniket Chhabra"/>
    <s v="Aniket Chhabra"/>
    <s v="Ashish Kalya"/>
    <m/>
    <s v="Shiva Somasundaram"/>
    <m/>
    <x v="119"/>
    <s v="AIPL"/>
    <s v="Nishanth Nag"/>
    <m/>
  </r>
  <r>
    <s v="AIE_Core"/>
    <s v="AIE_Core-SCP"/>
    <m/>
    <m/>
    <s v="Satyajeet Singh"/>
    <s v="Raghu Ram Vengalil"/>
    <s v="Satish Sallakonda"/>
    <s v="Eshaan Ghosh"/>
    <s v="Aniket Chhabra"/>
    <s v="Aniket Chhabra"/>
    <s v="Ashish Kalya"/>
    <m/>
    <s v="Shiva Somasundaram"/>
    <m/>
    <x v="119"/>
    <s v="AIPL"/>
    <s v="Nishanth Nag"/>
    <m/>
  </r>
  <r>
    <s v="AIE_Core"/>
    <s v="AIE_Core-T1"/>
    <m/>
    <m/>
    <s v="Satyajeet Singh"/>
    <s v="Raghu Ram Vengalil"/>
    <s v="Satish Sallakonda"/>
    <s v="Shourya Shukla"/>
    <m/>
    <m/>
    <s v="Ashish Kalya"/>
    <m/>
    <s v="Shiva Somasundaram"/>
    <m/>
    <x v="5"/>
    <s v="AIPL"/>
    <s v="Nishanth Nag"/>
    <m/>
  </r>
  <r>
    <s v="AI_Core"/>
    <s v="AI_Core-ServiceAgents"/>
    <m/>
    <s v="Shivendra Kumar"/>
    <s v="Satish Sallakonda"/>
    <s v="Raghu Ram Vengalil"/>
    <s v="Satish Sallakonda"/>
    <s v="Eshaan Ghosh"/>
    <m/>
    <m/>
    <s v="Ashish Kalya"/>
    <m/>
    <s v="Shiva Somasundaram"/>
    <m/>
    <x v="120"/>
    <s v="AI"/>
    <s v="Nishanth Nag"/>
    <m/>
  </r>
  <r>
    <s v="AI_Core"/>
    <s v="AI_Core-ServiceAIBDC"/>
    <m/>
    <s v="Shivendra Kumar"/>
    <s v="Satish Sallakonda"/>
    <s v="Raghu Ram Vengalil"/>
    <s v="Satish Sallakonda"/>
    <s v="Shivani Jakhmola"/>
    <s v="Aniket Chhabra"/>
    <s v="Aniket Chhabra"/>
    <s v="Ashish Kalya"/>
    <m/>
    <s v="Shiva Somasundaram"/>
    <m/>
    <x v="120"/>
    <s v="AI"/>
    <s v="Nishanth Nag"/>
    <m/>
  </r>
  <r>
    <s v="AI_Core"/>
    <s v="AI_Core-CRMBase"/>
    <m/>
    <s v="Shivendra Kumar"/>
    <s v="Satish Sallakonda"/>
    <s v="Raghu Ram Vengalil"/>
    <s v="Satish Sallakonda"/>
    <s v="Preetiranjan Pradhan"/>
    <m/>
    <m/>
    <s v="Rashmi Prakash"/>
    <s v="Gaurav Gupta"/>
    <s v="Satyavrat Mudgil"/>
    <m/>
    <x v="121"/>
    <s v="AI"/>
    <s v="Nishanth Nag"/>
    <m/>
  </r>
  <r>
    <s v="AI_Core"/>
    <s v="AI_Core-Sales"/>
    <m/>
    <s v="Shivendra Kumar"/>
    <s v="Satish Sallakonda"/>
    <s v="Raghu Ram Vengalil"/>
    <s v="Satish Sallakonda"/>
    <s v="Uday Jumle"/>
    <m/>
    <m/>
    <s v="Rashmi Prakash"/>
    <s v="Gaurav Gupta"/>
    <s v="Satyavrat Mudgil"/>
    <m/>
    <x v="121"/>
    <s v="AI"/>
    <s v="Nishanth Nag"/>
    <m/>
  </r>
  <r>
    <s v="AI_Core"/>
    <s v="AI_Core-CRMPro"/>
    <m/>
    <s v="Shivendra Kumar"/>
    <s v="Satish Sallakonda"/>
    <s v="Raghu Ram Vengalil"/>
    <s v="Satish Sallakonda"/>
    <s v="Preetiranjan Pradhan"/>
    <m/>
    <m/>
    <s v="Rashmi Prakash"/>
    <s v="Gaurav Gupta"/>
    <s v="Satyavrat Mudgil"/>
    <m/>
    <x v="121"/>
    <s v="AI"/>
    <s v="Nishanth Nag"/>
    <m/>
  </r>
  <r>
    <s v="AI_Core"/>
    <s v="AI_Core-UML"/>
    <m/>
    <s v="Shivendra Kumar"/>
    <s v="Satish Sallakonda"/>
    <s v="Raghu Ram Vengalil"/>
    <s v="Satish Sallakonda"/>
    <s v="Saiswaroop Konduru"/>
    <m/>
    <m/>
    <s v="Ashish Kalya"/>
    <m/>
    <s v="Shiva Somasundaram"/>
    <m/>
    <x v="122"/>
    <s v="AI"/>
    <s v="Nishanth Nag"/>
    <m/>
  </r>
  <r>
    <s v="AI_Core"/>
    <s v="AI_Core-RnD"/>
    <m/>
    <s v="Shivendra Kumar"/>
    <s v="Satish Sallakonda"/>
    <s v="Raghu Ram Vengalil"/>
    <s v="Satish Sallakonda"/>
    <s v="Saiswaroop Konduru"/>
    <m/>
    <m/>
    <s v="Ashish Kalya"/>
    <m/>
    <s v="Shiva Somasundaram"/>
    <m/>
    <x v="122"/>
    <s v="AI"/>
    <s v="Nishanth Nag"/>
    <m/>
  </r>
  <r>
    <s v="AI_Core"/>
    <s v="AI_Core-Adhoc"/>
    <m/>
    <s v="Shivendra Kumar"/>
    <s v="Satish Sallakonda"/>
    <s v="Raghu Ram Vengalil"/>
    <s v="Satish Sallakonda"/>
    <s v="Saiswaroop Konduru"/>
    <m/>
    <m/>
    <s v="Ashish Kalya"/>
    <m/>
    <s v="Shiva Somasundaram"/>
    <m/>
    <x v="122"/>
    <s v="AI"/>
    <s v="Nishanth Nag"/>
    <m/>
  </r>
  <r>
    <s v="AI_Core"/>
    <s v="AI_Core-SCP"/>
    <m/>
    <s v="Shivendra Kumar"/>
    <s v="Satish Sallakonda"/>
    <s v="Raghu Ram Vengalil"/>
    <s v="Satish Sallakonda"/>
    <s v="Eshaan Ghosh"/>
    <m/>
    <m/>
    <s v="Ashish Kalya"/>
    <m/>
    <s v="Shiva Somasundaram"/>
    <m/>
    <x v="123"/>
    <s v="AI"/>
    <s v="Nishanth Nag"/>
    <m/>
  </r>
  <r>
    <s v="AI_Core"/>
    <s v="AI_Core-ServiceOutboundAI"/>
    <m/>
    <s v="Shivendra Kumar"/>
    <s v="Satish Sallakonda"/>
    <s v="Raghu Ram Vengalil"/>
    <s v="Satish Sallakonda"/>
    <s v="Shivani Jakhmola"/>
    <s v="Aniket Chhabra"/>
    <s v="Aniket Chhabra"/>
    <s v="Ashish Kalya"/>
    <m/>
    <s v="Shiva Somasundaram"/>
    <m/>
    <x v="120"/>
    <s v="AI"/>
    <s v="Nishanth Nag"/>
    <m/>
  </r>
  <r>
    <s v="AI_Core"/>
    <s v="AI_Core-T1"/>
    <m/>
    <s v="Shivendra Kumar"/>
    <s v="Satish Sallakonda"/>
    <s v="Raghu Ram Vengalil"/>
    <s v="Satish Sallakonda"/>
    <s v="Shourya Shukla"/>
    <m/>
    <m/>
    <s v="Ashish Kalya"/>
    <m/>
    <s v="Shiva Somasundaram"/>
    <m/>
    <x v="5"/>
    <s v="AI"/>
    <s v="Nishanth Nag"/>
    <m/>
  </r>
  <r>
    <s v="AI_Core"/>
    <s v="AI_Core-Vision"/>
    <m/>
    <s v="Shivendra Kumar"/>
    <s v="Satish Sallakonda"/>
    <s v="Raghu Ram Vengalil"/>
    <s v="Satish Sallakonda"/>
    <s v="Eshaan Ghosh"/>
    <m/>
    <m/>
    <s v="Ashish Kalya"/>
    <m/>
    <s v="Shiva Somasundaram"/>
    <m/>
    <x v="5"/>
    <s v="AI"/>
    <s v="Nishanth Nag"/>
    <m/>
  </r>
  <r>
    <s v="Professional_Services"/>
    <s v="Professional_Services"/>
    <m/>
    <m/>
    <s v="Srin Tangirala"/>
    <m/>
    <s v="Srin Tangirala"/>
    <s v="No PM Coverage"/>
    <s v="No PM Coverage"/>
    <s v="No PM Coverage"/>
    <s v="No PM Coverage"/>
    <s v="No PM Coverage"/>
    <s v="No PM coverage"/>
    <m/>
    <x v="5"/>
    <m/>
    <m/>
    <m/>
  </r>
  <r>
    <s v="T1Platform"/>
    <s v="T1-Platform"/>
    <s v="Vishal Gupta"/>
    <s v="Vishal Gupta"/>
    <s v="Jawahar Prasad"/>
    <s v="Jawahar Prasad"/>
    <s v="Raghu Edalur"/>
    <s v="Satya Prasad Pamula"/>
    <s v="Swetha Sundarraj"/>
    <m/>
    <s v="Ashish Kalya"/>
    <m/>
    <s v="Shiva Somasundaram"/>
    <s v="Anil Kumar GK"/>
    <x v="124"/>
    <s v="T1PL"/>
    <s v="Rahul Rathore"/>
    <m/>
  </r>
  <r>
    <s v="T1Platform"/>
    <s v="T1-Tools"/>
    <s v="Vishal Gupta"/>
    <s v="Vishal Gupta"/>
    <s v="Jawahar Prasad"/>
    <s v="Jawahar Prasad"/>
    <s v="Raghu Edalur"/>
    <s v="Satya Prasad Pamula"/>
    <s v="Swetha Sundarraj"/>
    <m/>
    <s v="Ashish Kalya"/>
    <m/>
    <s v="Shiva Somasundaram"/>
    <s v="Anil Kumar GK"/>
    <x v="124"/>
    <s v="T1PL"/>
    <s v="Rahul Rathore"/>
    <m/>
  </r>
  <r>
    <s v="T1Platform"/>
    <s v="T1-Skills"/>
    <s v="Vishal Gupta"/>
    <s v="Vishal Gupta"/>
    <s v="Jawahar Prasad"/>
    <s v="Jawahar Prasad"/>
    <s v="Raghu Edalur"/>
    <s v="Satya Prasad Pamula"/>
    <s v="Swetha Sundarraj"/>
    <m/>
    <s v="Ashish Kalya"/>
    <m/>
    <s v="Shiva Somasundaram"/>
    <s v="Anil Kumar GK"/>
    <x v="124"/>
    <s v="T1PL"/>
    <s v="Rahul Rathore"/>
    <m/>
  </r>
  <r>
    <s v="AEPlatform"/>
    <s v="AEPlatform-Core"/>
    <s v="Anamik Adhikary"/>
    <m/>
    <s v="Aditya Kolli"/>
    <m/>
    <s v="Santosh Golecha"/>
    <s v="Shruti Agarwal"/>
    <s v="M Uday Kiran Reddy"/>
    <s v="M Uday Kiran Reddy"/>
    <m/>
    <m/>
    <s v="Santosh Golecha"/>
    <s v="Satendra Kumar Jain"/>
    <x v="125"/>
    <s v="AEP"/>
    <s v="Avin Chandra"/>
    <m/>
  </r>
  <r>
    <s v="AEPlatform"/>
    <s v="AEPlatform-Platform"/>
    <s v="Anamik Adhikary"/>
    <m/>
    <s v="Aditya Kolli"/>
    <m/>
    <s v="Santosh Golecha"/>
    <s v="Shruti Agarwal"/>
    <s v="M Uday Kiran Reddy"/>
    <s v="M Uday Kiran Reddy"/>
    <m/>
    <m/>
    <s v="Santosh Golecha"/>
    <s v="Satendra Kumar Jain"/>
    <x v="125"/>
    <s v="AEP"/>
    <s v="Avin Chandra"/>
    <m/>
  </r>
  <r>
    <s v="AEPlatform"/>
    <s v="AEPlatform-Retail"/>
    <s v="Anamik Adhikary"/>
    <m/>
    <s v="Aditya Kolli"/>
    <m/>
    <s v="Santosh Golecha"/>
    <s v="Srijata Chakraborty"/>
    <s v="M Uday Kiran Reddy"/>
    <s v="M Uday Kiran Reddy"/>
    <m/>
    <m/>
    <s v="Santosh Golecha"/>
    <s v="Satendra Kumar Jain"/>
    <x v="126"/>
    <s v="AEP"/>
    <s v="Avin Chandra"/>
    <m/>
  </r>
  <r>
    <s v="AEPlatform"/>
    <s v="AEPlatform-Galaxy"/>
    <s v="Anamik Adhikary"/>
    <m/>
    <s v="Aditya Kolli"/>
    <m/>
    <s v="Santosh Golecha"/>
    <s v="Srijata Chakraborty"/>
    <s v="M Uday Kiran Reddy"/>
    <s v="M Uday Kiran Reddy"/>
    <m/>
    <m/>
    <s v="Santosh Golecha"/>
    <s v="Satendra Kumar Jain"/>
    <x v="126"/>
    <s v="AEP"/>
    <s v="Avin Chandra"/>
    <m/>
  </r>
  <r>
    <s v="AEPlatform"/>
    <s v="AEPlatform-FNI"/>
    <s v="Anamik Adhikary"/>
    <m/>
    <s v="Aditya Kolli"/>
    <m/>
    <s v="Santosh Golecha"/>
    <s v="John Gonsalves"/>
    <s v="M Uday Kiran Reddy"/>
    <s v="M Uday Kiran Reddy"/>
    <m/>
    <m/>
    <s v="Santosh Golecha"/>
    <s v="Satendra Kumar Jain"/>
    <x v="126"/>
    <s v="AEP"/>
    <s v="Avin Chandra"/>
    <m/>
  </r>
  <r>
    <s v="AEPlatform"/>
    <s v="AEPlatform-CRM"/>
    <s v="Anamik Adhikary"/>
    <m/>
    <s v="Aditya Kolli"/>
    <m/>
    <s v="Santosh Golecha"/>
    <s v="John Gonsalves"/>
    <s v="M Uday Kiran Reddy"/>
    <s v="M Uday Kiran Reddy"/>
    <m/>
    <m/>
    <s v="Santosh Golecha"/>
    <s v="Satendra Kumar Jain"/>
    <x v="126"/>
    <s v="AEP"/>
    <s v="Avin Chandra"/>
    <m/>
  </r>
  <r>
    <s v="AEPlatform"/>
    <s v="AEPlatform-DR"/>
    <s v="Anamik Adhikary"/>
    <m/>
    <s v="Aditya Kolli"/>
    <m/>
    <s v="Santosh Golecha"/>
    <s v="Shruti Agarwal"/>
    <s v="M Uday Kiran Reddy"/>
    <s v="M Uday Kiran Reddy"/>
    <m/>
    <m/>
    <s v="Santosh Golecha"/>
    <s v="Satendra Kumar Jain"/>
    <x v="127"/>
    <s v="AEP"/>
    <s v="Avin Chandra"/>
    <m/>
  </r>
  <r>
    <s v="AEPlatform"/>
    <s v="AEPlatform-Chat"/>
    <s v="Hunny Mittal"/>
    <m/>
    <s v="Aditya Kolli"/>
    <m/>
    <s v="Santosh Golecha"/>
    <s v="Shruti Agarwal"/>
    <s v="M Uday Kiran Reddy"/>
    <s v="M Uday Kiran Reddy"/>
    <m/>
    <m/>
    <s v="Santosh Golecha"/>
    <s v="Satendra Kumar Jain"/>
    <x v="128"/>
    <s v="AEP"/>
    <s v="Avin Chandra"/>
    <m/>
  </r>
  <r>
    <s v="AEPlatform"/>
    <s v="AEPlatform-eSign_Platform"/>
    <s v="Anamik Adhikary"/>
    <m/>
    <s v="Aditya Kolli"/>
    <m/>
    <s v="Santosh Golecha"/>
    <s v="John Gonsalves"/>
    <s v="M Uday Kiran Reddy"/>
    <s v="M Uday Kiran Reddy"/>
    <m/>
    <m/>
    <s v="Santosh Golecha"/>
    <s v="Satendra Kumar Jain"/>
    <x v="126"/>
    <s v="AEP"/>
    <s v="Avin Chandra"/>
    <m/>
  </r>
  <r>
    <s v="AEPlatform"/>
    <s v="AEPlatform-Cashiering"/>
    <s v="Anamik Adhikary"/>
    <m/>
    <s v="Aditya Kolli"/>
    <m/>
    <s v="Santosh Golecha"/>
    <s v="John Gonsalves"/>
    <s v="M Uday Kiran Reddy"/>
    <s v="M Uday Kiran Reddy"/>
    <m/>
    <m/>
    <s v="Santosh Golecha"/>
    <s v="Satendra Kumar Jain"/>
    <x v="5"/>
    <s v="AEP"/>
    <s v="Avin Chandra"/>
    <m/>
  </r>
  <r>
    <s v="AEPlatform"/>
    <s v="AEPlatform-AEC_Integration"/>
    <s v="Anamik Adhikary"/>
    <m/>
    <s v="Aditya Kolli"/>
    <m/>
    <s v="Santosh Golecha"/>
    <s v="Srijata Chakraborty"/>
    <s v="M Uday Kiran Reddy"/>
    <s v="M Uday Kiran Reddy"/>
    <m/>
    <m/>
    <s v="Santosh Golecha"/>
    <s v="Satendra Kumar Jain"/>
    <x v="5"/>
    <s v="AEP"/>
    <s v="Avin Chandra"/>
    <m/>
  </r>
  <r>
    <s v="AEPlatform"/>
    <s v="AEPlatform-Dealer_Onboarding"/>
    <m/>
    <m/>
    <s v="Aditya Kolli"/>
    <m/>
    <s v="Santosh Golecha"/>
    <s v="John Gonsalves"/>
    <s v="M Uday Kiran Reddy"/>
    <s v="M Uday Kiran Reddy"/>
    <m/>
    <m/>
    <s v="Santosh Golecha"/>
    <m/>
    <x v="5"/>
    <s v="AEP"/>
    <s v="Avin Chandra"/>
    <m/>
  </r>
  <r>
    <s v="Data_Services"/>
    <s v="Data_Services-VDP"/>
    <m/>
    <m/>
    <s v="Bob Wagoner"/>
    <m/>
    <s v="Satish Sallakonda"/>
    <s v="Diksha Jain"/>
    <s v="Siddharth Bountra"/>
    <s v="Siddharth Bountra"/>
    <s v="Tom Jude Ammanthurutil"/>
    <m/>
    <s v="Turker Coskun"/>
    <m/>
    <x v="5"/>
    <s v="APEX"/>
    <s v="Nishanth Nag"/>
    <m/>
  </r>
  <r>
    <s v="Data_Services"/>
    <s v="Data_Services-R3"/>
    <m/>
    <m/>
    <s v="Bob Wagoner"/>
    <m/>
    <s v="Satish Sallakonda"/>
    <s v="Richa Sharma"/>
    <s v="Prashant Khulbe"/>
    <s v="Hardik Patel"/>
    <m/>
    <s v="Irfan Presswala"/>
    <s v="Satyavrat Mudgil"/>
    <m/>
    <x v="5"/>
    <s v="APEX"/>
    <s v="Nishanth Nag"/>
    <m/>
  </r>
  <r>
    <s v="Data_Services"/>
    <s v="Data_Services-Taxes"/>
    <m/>
    <m/>
    <s v="Bob Wagoner"/>
    <m/>
    <s v="Satish Sallakonda"/>
    <s v="Sireesha Yakkali"/>
    <s v="Hardik Patel"/>
    <s v="Hardik Patel"/>
    <m/>
    <s v="Irfan Presswala"/>
    <s v="Satyavrat Mudgil"/>
    <m/>
    <x v="5"/>
    <s v="APEX"/>
    <s v="Nishanth Nag"/>
    <m/>
  </r>
  <r>
    <s v="Data_Services"/>
    <s v="Data_Services-Fees"/>
    <m/>
    <m/>
    <s v="Bob Wagoner"/>
    <m/>
    <s v="Satish Sallakonda"/>
    <s v="Sireesha Yakkali"/>
    <s v="Hardik Patel"/>
    <s v="Hardik Patel"/>
    <m/>
    <s v="Irfan Presswala"/>
    <s v="Satyavrat Mudgil"/>
    <m/>
    <x v="5"/>
    <s v="APEX"/>
    <s v="Nishanth Nag"/>
    <m/>
  </r>
  <r>
    <s v="Data_Services"/>
    <s v="Data_Services-SCP"/>
    <m/>
    <m/>
    <s v="Bob Wagoner"/>
    <m/>
    <s v="Satish Sallakonda"/>
    <s v="Raghav Madhok"/>
    <s v="Rishabh Dassani"/>
    <m/>
    <m/>
    <s v="Alok Joshi"/>
    <s v="Satyavrat Mudgil"/>
    <m/>
    <x v="5"/>
    <s v="APEX"/>
    <s v="Nishanth Nag"/>
    <m/>
  </r>
  <r>
    <s v="AMC"/>
    <s v="AMC-Platform"/>
    <m/>
    <m/>
    <s v="Aditya Kolli"/>
    <m/>
    <s v="Santosh Golecha"/>
    <s v="Anurag Hazarika"/>
    <s v="M Uday Kiran Reddy"/>
    <s v="M Uday Kiran Reddy"/>
    <m/>
    <m/>
    <s v="Saurabh Pandey"/>
    <m/>
    <x v="129"/>
    <s v="AMC"/>
    <m/>
    <m/>
  </r>
  <r>
    <m/>
    <m/>
    <m/>
    <m/>
    <m/>
    <m/>
    <m/>
    <m/>
    <m/>
    <m/>
    <m/>
    <m/>
    <m/>
    <m/>
    <x v="13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x v="0"/>
    <s v="CRM-Lead_Assignment"/>
    <s v="Nitesh Khadanga"/>
    <m/>
    <x v="0"/>
    <m/>
    <x v="0"/>
    <s v="Shivam Arora"/>
    <s v="Subhash Mohan"/>
    <m/>
    <s v="Rashmi Prakash"/>
    <s v="Gaurav Gupta"/>
    <s v="Satyavrat Mudgil"/>
    <s v="Komala"/>
    <s v="Wolverine"/>
    <s v="CRM"/>
    <s v="Srividya Mandalapu"/>
  </r>
  <r>
    <x v="0"/>
    <s v="CRM-Leads"/>
    <s v="Nitesh Khadanga"/>
    <m/>
    <x v="0"/>
    <m/>
    <x v="0"/>
    <s v="Jitendra Rahangdale"/>
    <s v="Subhash Mohan"/>
    <m/>
    <s v="Rashmi Prakash"/>
    <s v="Gaurav Gupta"/>
    <s v="Satyavrat Mudgil"/>
    <s v="Komala"/>
    <s v="Wolverine"/>
    <s v="CRM"/>
    <s v="Srividya Mandalapu"/>
  </r>
  <r>
    <x v="0"/>
    <s v="CRM-Migration"/>
    <s v="Mani T"/>
    <m/>
    <x v="0"/>
    <m/>
    <x v="0"/>
    <s v="Subhash Mohan"/>
    <m/>
    <m/>
    <s v="Rashmi Prakash"/>
    <s v="Gaurav Gupta"/>
    <s v="Satyavrat Mudgil"/>
    <s v="Komala"/>
    <s v="Gambit"/>
    <s v="CRM"/>
    <s v="Srividya Mandalapu"/>
  </r>
  <r>
    <x v="0"/>
    <s v="CRM-Mobile"/>
    <s v="Mani T"/>
    <m/>
    <x v="0"/>
    <m/>
    <x v="0"/>
    <s v="Shivam Arora"/>
    <s v="Subhash Mohan"/>
    <m/>
    <s v="Rashmi Prakash"/>
    <s v="Gaurav Gupta"/>
    <s v="Satyavrat Mudgil"/>
    <s v="Komala"/>
    <s v="Mystique"/>
    <s v="CRM"/>
    <s v="Srividya Mandalapu"/>
  </r>
  <r>
    <x v="0"/>
    <s v="CRM-Task"/>
    <s v="Anuraag Panchal"/>
    <m/>
    <x v="0"/>
    <m/>
    <x v="0"/>
    <s v="Jitendra Rahangdale"/>
    <s v="Subhash Mohan"/>
    <m/>
    <s v="Rashmi Prakash"/>
    <s v="Gaurav Gupta"/>
    <s v="Satyavrat Mudgil"/>
    <s v="Komala"/>
    <s v="Storm"/>
    <s v="CRM"/>
    <s v="Srividya Mandalapu"/>
  </r>
  <r>
    <x v="0"/>
    <s v="CRM-Appointment"/>
    <s v="Anuraag Panchal"/>
    <m/>
    <x v="0"/>
    <m/>
    <x v="0"/>
    <s v="Jitendra Rahangdale"/>
    <s v="Subhash Mohan"/>
    <m/>
    <s v="Rashmi Prakash"/>
    <s v="Gaurav Gupta"/>
    <s v="Satyavrat Mudgil"/>
    <s v="Komala"/>
    <s v="Storm"/>
    <s v="CRM"/>
    <s v="Srividya Mandalapu"/>
  </r>
  <r>
    <x v="0"/>
    <s v="CRM-Reports"/>
    <s v="Mani T"/>
    <m/>
    <x v="0"/>
    <m/>
    <x v="0"/>
    <s v="Jitendra Rahangdale"/>
    <s v="Subhash Mohan"/>
    <m/>
    <s v="Rashmi Prakash"/>
    <s v="Gaurav Gupta"/>
    <s v="Satyavrat Mudgil"/>
    <s v="Komala"/>
    <s v="Bishop"/>
    <s v="CRM"/>
    <s v="Srividya Mandalapu"/>
  </r>
  <r>
    <x v="0"/>
    <s v="CRM-Dashboards"/>
    <s v="Mani T"/>
    <m/>
    <x v="0"/>
    <m/>
    <x v="0"/>
    <s v="Jitendra Rahangdale"/>
    <s v="Subhash Mohan"/>
    <m/>
    <s v="Rashmi Prakash"/>
    <s v="Gaurav Gupta"/>
    <s v="Satyavrat Mudgil"/>
    <s v="Komala"/>
    <s v="Bishop"/>
    <s v="CRM"/>
    <s v="Srividya Mandalapu"/>
  </r>
  <r>
    <x v="0"/>
    <s v="CRM-AI"/>
    <s v="Mani T"/>
    <m/>
    <x v="0"/>
    <m/>
    <x v="0"/>
    <s v="Shivam Arora"/>
    <s v="Subhash Mohan"/>
    <m/>
    <s v="Rashmi Prakash"/>
    <s v="Gaurav Gupta"/>
    <s v="Satyavrat Mudgil"/>
    <s v="Komala"/>
    <s v="Mystique"/>
    <s v="CRM"/>
    <s v="Srividya Mandalapu"/>
  </r>
  <r>
    <x v="0"/>
    <s v="CRM-Retail_Mobile"/>
    <s v="Mani T"/>
    <m/>
    <x v="0"/>
    <m/>
    <x v="0"/>
    <s v="Palash Sanjay Kotgirwar"/>
    <s v="Hardik Paharia"/>
    <s v="Hardik Paharia"/>
    <s v="Gaurav Gupta"/>
    <s v="Gaurav Gupta"/>
    <s v="Satyavrat Mudgil"/>
    <s v="Komala"/>
    <s v="Mystique"/>
    <s v="CRM"/>
    <s v="Srividya Mandalapu"/>
  </r>
  <r>
    <x v="0"/>
    <s v="CRM-Sales_AI"/>
    <s v="Mani T"/>
    <m/>
    <x v="0"/>
    <m/>
    <x v="0"/>
    <s v="Preetiranjan Pradhan"/>
    <m/>
    <m/>
    <s v="Rashmi Prakash"/>
    <s v="Gaurav Gupta"/>
    <s v="Satyavrat Mudgil"/>
    <s v="Komala"/>
    <s v="Mystique"/>
    <s v="CRM"/>
    <s v="Srividya Mandalapu"/>
  </r>
  <r>
    <x v="0"/>
    <s v="CRM-Pro"/>
    <s v="Mani T"/>
    <m/>
    <x v="0"/>
    <m/>
    <x v="0"/>
    <s v="Preetiranjan Pradhan"/>
    <m/>
    <m/>
    <s v="Rashmi Prakash"/>
    <s v="Gaurav Gupta"/>
    <s v="Satyavrat Mudgil"/>
    <s v="Komala"/>
    <s v="Mystique"/>
    <s v="CRM"/>
    <s v="Srividya Mandalapu"/>
  </r>
  <r>
    <x v="0"/>
    <s v="CRM-Compliance"/>
    <s v="Jyothi Vejju"/>
    <m/>
    <x v="0"/>
    <m/>
    <x v="0"/>
    <s v="Piyush Kumar"/>
    <s v="Avin Jain"/>
    <m/>
    <s v="Ashish Kalya"/>
    <m/>
    <s v="Shiva Somasundaram"/>
    <s v="Komala"/>
    <s v="Storm"/>
    <s v="CRM"/>
    <s v="Srividya Mandalapu"/>
  </r>
  <r>
    <x v="1"/>
    <s v="Campaign-Core"/>
    <s v="Viral"/>
    <m/>
    <x v="0"/>
    <m/>
    <x v="0"/>
    <s v="Uday Jumle"/>
    <m/>
    <m/>
    <s v="Rashmi Prakash"/>
    <s v="Gaurav Gupta"/>
    <s v="Satyavrat Mudgil"/>
    <s v="Komala"/>
    <s v="Bishop"/>
    <s v="CRM"/>
    <s v="Srividya Mandalapu"/>
  </r>
  <r>
    <x v="2"/>
    <s v="Communication-Calling"/>
    <s v="Vikash kumar"/>
    <m/>
    <x v="1"/>
    <m/>
    <x v="0"/>
    <s v="Jutla Manaswini"/>
    <s v="Avin Jain"/>
    <m/>
    <s v="Ashish Kalya"/>
    <m/>
    <s v="Shiva Somasundaram"/>
    <m/>
    <s v="Not found"/>
    <s v="COMM"/>
    <s v="Srividya Mandalapu"/>
  </r>
  <r>
    <x v="2"/>
    <s v="Communication-Texting"/>
    <m/>
    <m/>
    <x v="1"/>
    <m/>
    <x v="0"/>
    <s v="Piyush Kumar"/>
    <s v="Avin Jain"/>
    <m/>
    <s v="Ashish Kalya"/>
    <m/>
    <s v="Shiva Somasundaram"/>
    <m/>
    <s v="Not found"/>
    <s v="COMM"/>
    <s v="Srividya Mandalapu"/>
  </r>
  <r>
    <x v="2"/>
    <s v="Communication-Email"/>
    <m/>
    <m/>
    <x v="1"/>
    <m/>
    <x v="0"/>
    <s v="Abhinav Wagadre"/>
    <m/>
    <m/>
    <s v="Ashish Kalya"/>
    <m/>
    <s v="Shiva Somasundaram"/>
    <m/>
    <s v="Not found"/>
    <s v="COMM"/>
    <s v="Srividya Mandalapu"/>
  </r>
  <r>
    <x v="2"/>
    <s v="Communication-Live Chat"/>
    <m/>
    <m/>
    <x v="1"/>
    <m/>
    <x v="0"/>
    <s v="Abhinav Wagadre"/>
    <m/>
    <m/>
    <s v="Ashish Kalya"/>
    <m/>
    <s v="Shiva Somasundaram"/>
    <m/>
    <s v="Not found"/>
    <s v="COMM"/>
    <s v="Srividya Mandalapu"/>
  </r>
  <r>
    <x v="2"/>
    <s v="Communication-Unified_Platform"/>
    <s v="Vikash kumar"/>
    <m/>
    <x v="1"/>
    <m/>
    <x v="0"/>
    <s v="Jutla Manaswini"/>
    <s v="Avin Jain"/>
    <m/>
    <s v="Ashish Kalya"/>
    <m/>
    <s v="Shiva Somasundaram"/>
    <m/>
    <s v="Not found"/>
    <s v="COMM"/>
    <s v="Srividya Mandalapu"/>
  </r>
  <r>
    <x v="3"/>
    <s v="AP-Compliance"/>
    <s v="Venkatesh naik"/>
    <m/>
    <x v="2"/>
    <s v="Surya Narayanan"/>
    <x v="1"/>
    <s v="Lohit Reddy "/>
    <s v="Vamsee Krishna Mullapudi"/>
    <s v="Vamsee Krishna Mullapudi"/>
    <s v="Vijayakumar B"/>
    <m/>
    <s v="Shiva Somasundaram"/>
    <s v="Shashi Kumar"/>
    <s v="Compliance"/>
    <s v="APLT"/>
    <s v="Rahul Rathore"/>
  </r>
  <r>
    <x v="3"/>
    <s v="AP-Printers_ Scanners"/>
    <s v="Priyansu Singh"/>
    <m/>
    <x v="2"/>
    <s v="Surya Narayanan"/>
    <x v="1"/>
    <s v="Lohit Reddy "/>
    <s v="Vamsee Krishna Mullapudi"/>
    <s v="Vamsee Krishna Mullapudi"/>
    <s v="Vijayakumar B"/>
    <m/>
    <s v="Shiva Somasundaram"/>
    <s v="Shashi Kumar"/>
    <s v="Not found"/>
    <s v="APLT"/>
    <s v="Rahul Rathore"/>
  </r>
  <r>
    <x v="3"/>
    <s v="AP-Enterprise"/>
    <s v="Aditya Pandey"/>
    <m/>
    <x v="2"/>
    <s v="Surya Narayanan"/>
    <x v="1"/>
    <s v="Sudeep Kapadia"/>
    <m/>
    <m/>
    <s v="Vijayakumar B"/>
    <m/>
    <s v="Shiva Somasundaram"/>
    <s v="Shashi Kumar"/>
    <s v="Enterprise"/>
    <s v="APLT"/>
    <s v="Rahul Rathore"/>
  </r>
  <r>
    <x v="3"/>
    <s v="AP-Config_Studio"/>
    <s v="Priyansu Singh"/>
    <m/>
    <x v="2"/>
    <s v="Surya Narayanan"/>
    <x v="1"/>
    <s v="Anshika Chaturvedi"/>
    <s v="Vamsee Krishna Mullapudi"/>
    <s v="Vamsee Krishna Mullapudi"/>
    <s v="Vijayakumar B"/>
    <m/>
    <s v="Shiva Somasundaram"/>
    <s v="Shashi Kumar"/>
    <s v="Configuration Studio"/>
    <s v="APLT"/>
    <s v="Rahul Rathore"/>
  </r>
  <r>
    <x v="3"/>
    <s v="AP-Workflow_Engine"/>
    <s v="Priyansu Singh"/>
    <m/>
    <x v="2"/>
    <s v="Surya Narayanan"/>
    <x v="1"/>
    <s v="Jaideep Gangwar"/>
    <s v="Subhash Mohan"/>
    <m/>
    <s v="Rashmi Prakash"/>
    <s v="Gaurav Gupta"/>
    <s v="Satyavrat Mudgil"/>
    <s v="Shashi Kumar"/>
    <s v="Workflow Engine"/>
    <s v="APLT"/>
    <s v="Rahul Rathore"/>
  </r>
  <r>
    <x v="3"/>
    <s v="AP-Identity_Mgt"/>
    <s v="Venkatesh naik"/>
    <m/>
    <x v="2"/>
    <s v="Surya Narayanan"/>
    <x v="1"/>
    <s v="Jayashri Soundararajan"/>
    <s v="Vamsee Krishna Mullapudi"/>
    <s v="Vamsee Krishna Mullapudi"/>
    <s v="Vijayakumar B"/>
    <m/>
    <s v="Shiva Somasundaram"/>
    <s v="Shashi Kumar"/>
    <s v="Identity Management"/>
    <s v="APLT"/>
    <s v="Rahul Rathore"/>
  </r>
  <r>
    <x v="3"/>
    <s v="AP-Audit_Approval"/>
    <s v="Aditya Pandey"/>
    <m/>
    <x v="2"/>
    <s v="Surya Narayanan"/>
    <x v="1"/>
    <s v="Sudeep Kapadia"/>
    <m/>
    <m/>
    <s v="Vijayakumar B"/>
    <m/>
    <s v="Shiva Somasundaram"/>
    <s v="Shashi Kumar"/>
    <s v="Audit &amp; Approval"/>
    <s v="APLT"/>
    <s v="Rahul Rathore"/>
  </r>
  <r>
    <x v="3"/>
    <s v="AP-Helix"/>
    <s v="Priyansu Singh"/>
    <m/>
    <x v="2"/>
    <s v="Surya Narayanan"/>
    <x v="1"/>
    <s v="No PM Coverage"/>
    <s v="No PM Coverage"/>
    <s v="No PM Coverage"/>
    <s v="No PM Coverage"/>
    <s v="No PM Coverage"/>
    <s v="Shiva Somasundaram"/>
    <m/>
    <s v="Not found"/>
    <s v="APLT"/>
    <s v="Rahul Rathore"/>
  </r>
  <r>
    <x v="3"/>
    <s v="AP-PolicyEngine_And_DataValidationFW"/>
    <s v="Priyansu Singh"/>
    <m/>
    <x v="2"/>
    <s v="Surya Narayanan"/>
    <x v="1"/>
    <s v="No PM Coverage"/>
    <s v="No PM Coverage"/>
    <s v="No PM Coverage"/>
    <s v="No PM Coverage"/>
    <s v="No PM Coverage"/>
    <s v="Shiva Somasundaram"/>
    <m/>
    <s v="Not found"/>
    <s v="APLT"/>
    <s v="Rahul Rathore"/>
  </r>
  <r>
    <x v="3"/>
    <s v="AP-CentralSetupFW_And_MonitoringServices"/>
    <s v="Priyansu Singh"/>
    <m/>
    <x v="2"/>
    <s v="Surya Narayanan"/>
    <x v="1"/>
    <s v="No PM Coverage"/>
    <s v="No PM Coverage"/>
    <s v="No PM Coverage"/>
    <s v="No PM Coverage"/>
    <s v="No PM Coverage"/>
    <s v="Shiva Somasundaram"/>
    <m/>
    <s v="Not found"/>
    <s v="APLT"/>
    <s v="Rahul Rathore"/>
  </r>
  <r>
    <x v="4"/>
    <s v="ZEBRA-Bootstrapping"/>
    <s v="Shivam Goyal"/>
    <m/>
    <x v="3"/>
    <s v="Surya Narayanan"/>
    <x v="1"/>
    <s v="No PM Coverage"/>
    <s v="No PM Coverage"/>
    <s v="No PM Coverage"/>
    <s v="No PM Coverage"/>
    <s v="No PM Coverage"/>
    <s v="Shiva Somasundaram"/>
    <m/>
    <s v="Zebra"/>
    <s v="ZEB"/>
    <s v="Rahul Rathore"/>
  </r>
  <r>
    <x v="4"/>
    <s v="ZEBRA-GoLiveSupport"/>
    <s v="Shivam Goyal"/>
    <m/>
    <x v="3"/>
    <s v="Surya Narayanan"/>
    <x v="1"/>
    <s v="No PM Coverage"/>
    <s v="No PM Coverage"/>
    <s v="No PM Coverage"/>
    <s v="No PM Coverage"/>
    <s v="No PM Coverage"/>
    <s v="Shiva Somasundaram"/>
    <m/>
    <s v="Zebra"/>
    <s v="ZEB"/>
    <s v="Rahul Rathore"/>
  </r>
  <r>
    <x v="4"/>
    <s v="ZEBRA-InternalTools"/>
    <s v="Shivam Goyal"/>
    <m/>
    <x v="3"/>
    <s v="Surya Narayanan"/>
    <x v="1"/>
    <s v="No PM Coverage"/>
    <s v="No PM Coverage"/>
    <s v="No PM Coverage"/>
    <s v="No PM Coverage"/>
    <s v="No PM Coverage"/>
    <s v="Shiva Somasundaram"/>
    <m/>
    <s v="Not found"/>
    <s v="ZEB"/>
    <s v="Rahul Rathore"/>
  </r>
  <r>
    <x v="5"/>
    <s v="ARCIntegration-Accounting"/>
    <s v="Raghavendra Pai"/>
    <m/>
    <x v="4"/>
    <s v="Prakash Mohan"/>
    <x v="2"/>
    <s v="Bismah Kiani"/>
    <s v="Hanuth Singh"/>
    <s v="Hanuth Singh"/>
    <m/>
    <m/>
    <s v="Satyavrat Mudgil"/>
    <s v="Abhinandan Srinivas"/>
    <s v="Credit &amp; FNI Integrations"/>
    <s v="INTG"/>
    <s v="Nishanth Nag"/>
  </r>
  <r>
    <x v="5"/>
    <s v="ARCIntegration-Core"/>
    <s v="Raghavendra Pai"/>
    <m/>
    <x v="4"/>
    <s v="Prakash Mohan"/>
    <x v="2"/>
    <s v="No PM Coverage"/>
    <m/>
    <m/>
    <s v="Tom Jude Ammanthurutil"/>
    <m/>
    <s v="Turker Coskun"/>
    <s v="Abhinandan Srinivas"/>
    <s v="Credit &amp; FNI Integrations"/>
    <s v="INTG"/>
    <s v="Nishanth Nag"/>
  </r>
  <r>
    <x v="5"/>
    <s v="ARCIntegration-CreditApp&amp;eContracting"/>
    <s v="Raghavendra Pai"/>
    <m/>
    <x v="4"/>
    <s v="Prakash Mohan"/>
    <x v="2"/>
    <s v="Mudra Surana"/>
    <s v="Saurabh Birla"/>
    <s v="Saurabh Birla"/>
    <s v="Irfan Presswala"/>
    <s v="Irfan Presswala"/>
    <s v="Satyavrat Mudgil"/>
    <s v="Abhinandan Srinivas"/>
    <s v="Credit &amp; FNI Integrations"/>
    <s v="INTG"/>
    <s v="Nishanth Nag"/>
  </r>
  <r>
    <x v="5"/>
    <s v="ARCIntegration-CRM"/>
    <s v="Raghavendra Pai"/>
    <m/>
    <x v="4"/>
    <s v="Prakash Mohan"/>
    <x v="2"/>
    <s v="Siddharth Bountra"/>
    <m/>
    <m/>
    <s v="Tom Jude Ammanthurutil"/>
    <m/>
    <s v="Turker Coskun"/>
    <s v="Abhinandan Srinivas"/>
    <s v="Retail Integration 2"/>
    <s v="INTG"/>
    <s v="Nishanth Nag"/>
  </r>
  <r>
    <x v="5"/>
    <s v="ARCIntegration-DRS"/>
    <s v="Raghavendra Pai"/>
    <m/>
    <x v="4"/>
    <s v="Prakash Mohan"/>
    <x v="2"/>
    <s v="Ankush Kedia"/>
    <m/>
    <m/>
    <s v="Suraj Jain"/>
    <s v="Gaurav Gupta"/>
    <s v="Satyavrat Mudgil"/>
    <s v="Abhinandan Srinivas"/>
    <s v="Retail Integration 2"/>
    <s v="INTG"/>
    <s v="Nishanth Nag"/>
  </r>
  <r>
    <x v="5"/>
    <s v="ARCIntegration-F&amp;I"/>
    <s v="Raghavendra Pai"/>
    <m/>
    <x v="4"/>
    <s v="Prakash Mohan"/>
    <x v="2"/>
    <s v="Prakhar Gaur"/>
    <s v="Saurabh Birla"/>
    <s v="Saurabh Birla"/>
    <s v="Irfan Presswala"/>
    <s v="Irfan Presswala"/>
    <s v="Satyavrat Mudgil"/>
    <s v="Abhinandan Srinivas"/>
    <s v="Credit &amp; FNI Integrations"/>
    <s v="INTG"/>
    <s v="Nishanth Nag"/>
  </r>
  <r>
    <x v="5"/>
    <s v="ARCIntegration-Parts"/>
    <s v="D M Raj Karthick"/>
    <s v="D M Raj Karthick"/>
    <x v="4"/>
    <s v="Prakash Mohan"/>
    <x v="3"/>
    <s v="Uday Wadhera"/>
    <s v="Arjun Rajeev"/>
    <m/>
    <s v="Tom Jude Ammanthurutil"/>
    <m/>
    <s v="Turker Coskun"/>
    <s v="Abhinandan Srinivas"/>
    <s v="FixedOps Integration 3"/>
    <s v="INTG"/>
    <s v="Nishanth Nag"/>
  </r>
  <r>
    <x v="5"/>
    <s v="ARCIntegration-Platform"/>
    <s v="D M Raj Karthick"/>
    <s v="D M Raj Karthick"/>
    <x v="4"/>
    <s v="Prakash Mohan"/>
    <x v="3"/>
    <s v="Advait Anand"/>
    <s v="Dhanapal Mohanaswamy"/>
    <m/>
    <s v="Tom Jude Ammanthurutil"/>
    <m/>
    <s v="Turker Coskun"/>
    <s v="Abhinandan Srinivas"/>
    <s v="Platform Integrations"/>
    <s v="INTG"/>
    <s v="Nishanth Nag"/>
  </r>
  <r>
    <x v="5"/>
    <s v="ARCIntegration-Retail"/>
    <s v="Raghavendra Pai"/>
    <m/>
    <x v="4"/>
    <s v="Prakash Mohan"/>
    <x v="2"/>
    <s v="Diksha Jain"/>
    <s v="Siddharth Bountra"/>
    <s v="Siddharth Bountra"/>
    <s v="Tom Jude Ammanthurutil"/>
    <m/>
    <s v="Turker Coskun"/>
    <s v="Abhinandan Srinivas"/>
    <s v="Retail Integration 1"/>
    <s v="INTG"/>
    <s v="Nishanth Nag"/>
  </r>
  <r>
    <x v="5"/>
    <s v="ARCIntegration-Service"/>
    <s v="D M Raj Karthick"/>
    <s v="D M Raj Karthick"/>
    <x v="4"/>
    <s v="Prakash Mohan"/>
    <x v="3"/>
    <s v="Arjun Rajeev"/>
    <m/>
    <m/>
    <s v="Tom Jude Ammanthurutil"/>
    <m/>
    <s v="Turker Coskun"/>
    <s v="Abhinandan Srinivas"/>
    <s v="FixedOps Integration 1"/>
    <s v="INTG"/>
    <s v="Nishanth Nag"/>
  </r>
  <r>
    <x v="5"/>
    <s v="ARCIntegration-VinDecoding"/>
    <s v="D M Raj Karthick"/>
    <s v="D M Raj Karthick"/>
    <x v="4"/>
    <s v="Prakash Mohan"/>
    <x v="3"/>
    <s v="No PM Coverage"/>
    <m/>
    <m/>
    <s v="Tom Jude Ammanthurutil"/>
    <m/>
    <s v="Turker Coskun"/>
    <s v="Abhinandan Srinivas"/>
    <s v="Not found"/>
    <s v="INTG"/>
    <s v="Nishanth Nag"/>
  </r>
  <r>
    <x v="5"/>
    <s v="ARCIntegration-Payroll&amp;Cashiering"/>
    <s v="Raghavendra Pai"/>
    <m/>
    <x v="4"/>
    <s v="Prakash Mohan"/>
    <x v="2"/>
    <s v="Glenn Joseph"/>
    <s v="Sundar Rajagopalan"/>
    <m/>
    <m/>
    <m/>
    <s v="Satyavrat Mudgil"/>
    <s v="Abhinandan Srinivas"/>
    <s v="Credit &amp; FNI Integrations"/>
    <s v="INTG"/>
    <s v="Nishanth Nag"/>
  </r>
  <r>
    <x v="5"/>
    <s v="ARCIntegration-Comms"/>
    <s v="Raghavendra Pai"/>
    <m/>
    <x v="4"/>
    <s v="Prakash Mohan"/>
    <x v="2"/>
    <s v="Piyush Kumar"/>
    <s v="Avin Jain"/>
    <m/>
    <s v="Ashish Kalya"/>
    <m/>
    <s v="Shiva Somasundaram"/>
    <m/>
    <s v="Retail Integration 2"/>
    <s v="INTG"/>
    <s v="Nishanth Nag"/>
  </r>
  <r>
    <x v="6"/>
    <s v="Galaxy-Core"/>
    <s v="Sunil Garg"/>
    <m/>
    <x v="5"/>
    <m/>
    <x v="0"/>
    <s v="Prashant Khulbe"/>
    <s v="Hardik Patel"/>
    <s v="Hardik Patel"/>
    <s v="Irfan Presswala"/>
    <s v="Irfan Presswala"/>
    <s v="Satyavrat Mudgil"/>
    <m/>
    <s v="Kaveri"/>
    <s v="GAL"/>
    <s v="Srividya Mandalapu"/>
  </r>
  <r>
    <x v="6"/>
    <s v="Galaxy-CMS_Decoder"/>
    <s v="Sunil Garg"/>
    <m/>
    <x v="5"/>
    <m/>
    <x v="0"/>
    <s v="Sudhanshu Madhur"/>
    <s v="Prashant Khulbe"/>
    <s v="Hardik Patel"/>
    <s v="Irfan Presswala"/>
    <s v="Irfan Presswala"/>
    <s v="Satyavrat Mudgil"/>
    <m/>
    <s v="Kaveri"/>
    <s v="GAL"/>
    <s v="Srividya Mandalapu"/>
  </r>
  <r>
    <x v="6"/>
    <s v="Galaxy-US"/>
    <s v="Sunil Garg"/>
    <m/>
    <x v="5"/>
    <m/>
    <x v="0"/>
    <s v="Prashant Khulbe"/>
    <s v="Hardik Patel"/>
    <s v="Hardik Patel"/>
    <s v="Irfan Presswala"/>
    <s v="Irfan Presswala"/>
    <s v="Satyavrat Mudgil"/>
    <m/>
    <s v="Kaveri"/>
    <s v="GAL"/>
    <s v="Srividya Mandalapu"/>
  </r>
  <r>
    <x v="6"/>
    <s v="Galaxy-Canada"/>
    <s v="Sunil Garg"/>
    <m/>
    <x v="5"/>
    <m/>
    <x v="0"/>
    <s v="Prashant Khulbe"/>
    <s v="Hardik Patel"/>
    <s v="Hardik Patel"/>
    <s v="Irfan Presswala"/>
    <s v="Irfan Presswala"/>
    <s v="Satyavrat Mudgil"/>
    <m/>
    <s v="Kaveri"/>
    <s v="GAL"/>
    <s v="Srividya Mandalapu"/>
  </r>
  <r>
    <x v="6"/>
    <s v="Galaxy-UK"/>
    <s v="Sunil Garg"/>
    <m/>
    <x v="5"/>
    <m/>
    <x v="0"/>
    <s v="Prashant Khulbe"/>
    <s v="Hardik Patel"/>
    <s v="Hardik Patel"/>
    <s v="Irfan Presswala"/>
    <s v="Irfan Presswala"/>
    <s v="Satyavrat Mudgil"/>
    <m/>
    <s v="Kaveri"/>
    <s v="GAL"/>
    <s v="Srividya Mandalapu"/>
  </r>
  <r>
    <x v="6"/>
    <s v="Galaxy-TDP_Modernisation"/>
    <s v="Abhijeet Singh"/>
    <m/>
    <x v="5"/>
    <m/>
    <x v="0"/>
    <s v="Sudhanshu Madhur"/>
    <s v="Prashant Khulbe"/>
    <s v="Hardik Patel"/>
    <s v="Irfan Presswala"/>
    <s v="Irfan Presswala"/>
    <s v="Satyavrat Mudgil"/>
    <m/>
    <s v="Kaveri"/>
    <s v="GAL"/>
    <s v="Srividya Mandalapu"/>
  </r>
  <r>
    <x v="7"/>
    <s v="TDP-Business"/>
    <s v="Jerson Maglasang"/>
    <m/>
    <x v="5"/>
    <m/>
    <x v="0"/>
    <s v="Diksha Jain"/>
    <s v="Siddharth Bountra"/>
    <s v="Siddharth Bountra"/>
    <s v="Tom Jude Ammanthurutil"/>
    <m/>
    <s v="Turker Coskun"/>
    <m/>
    <s v="Not found"/>
    <m/>
    <s v="Srividya Mandalapu"/>
  </r>
  <r>
    <x v="8"/>
    <s v="Retail-Desking"/>
    <s v="Patel Abhijit Sunil"/>
    <m/>
    <x v="6"/>
    <m/>
    <x v="0"/>
    <s v="Naman Jain"/>
    <s v="Hardik Paharia"/>
    <s v="Hardik Paharia"/>
    <s v="Gaurav Gupta"/>
    <s v="Gaurav Gupta"/>
    <s v="Satyavrat Mudgil"/>
    <s v="Lokesh Suresh"/>
    <s v="Desking"/>
    <s v="RETL"/>
    <s v="Srividya Mandalapu"/>
  </r>
  <r>
    <x v="8"/>
    <s v="Retail-Deals"/>
    <s v="Harish Nanjundaiah"/>
    <m/>
    <x v="6"/>
    <m/>
    <x v="0"/>
    <s v="Avinash Kumar"/>
    <s v="Nilesh Rana"/>
    <s v="Hardik Paharia"/>
    <s v="Gaurav Gupta"/>
    <s v="Gaurav Gupta"/>
    <s v="Satyavrat Mudgil"/>
    <s v="Lokesh Suresh"/>
    <s v="Deals"/>
    <s v="RETL"/>
    <s v="Srividya Mandalapu"/>
  </r>
  <r>
    <x v="8"/>
    <s v="Retail-Vehicle_Inventory"/>
    <s v="Bogadapati Rupesh"/>
    <m/>
    <x v="6"/>
    <m/>
    <x v="0"/>
    <s v="Akash Upadhyay"/>
    <s v="Hardik Paharia"/>
    <s v="Hardik Paharia"/>
    <s v="Gaurav Gupta"/>
    <s v="Gaurav Gupta"/>
    <s v="Satyavrat Mudgil"/>
    <s v="Lokesh Suresh"/>
    <s v="VI"/>
    <s v="RETL"/>
    <s v="Srividya Mandalapu"/>
  </r>
  <r>
    <x v="8"/>
    <s v="Retail-Pricing"/>
    <s v="Patel Abhijit Sunil"/>
    <m/>
    <x v="6"/>
    <m/>
    <x v="0"/>
    <s v="Rakesh Reddy Nallagangula"/>
    <s v="Rishabh Dwivedi"/>
    <s v="Hardik Paharia"/>
    <s v="Gaurav Gupta"/>
    <s v="Gaurav Gupta"/>
    <s v="Satyavrat Mudgil"/>
    <s v="Lokesh Suresh"/>
    <s v="Pricing "/>
    <s v="RETL"/>
    <s v="Srividya Mandalapu"/>
  </r>
  <r>
    <x v="8"/>
    <s v="Retail-IMS"/>
    <s v="Samanwita De"/>
    <m/>
    <x v="6"/>
    <m/>
    <x v="0"/>
    <s v="Hinal Kumar Mistry"/>
    <s v="Hardik Paharia"/>
    <s v="Hardik Paharia"/>
    <s v="Gaurav Gupta"/>
    <s v="Gaurav Gupta"/>
    <s v="Satyavrat Mudgil"/>
    <s v="Lokesh Suresh"/>
    <s v="IMS"/>
    <s v="RETL"/>
    <s v="Srividya Mandalapu"/>
  </r>
  <r>
    <x v="8"/>
    <s v="Retail-Caviar"/>
    <s v="Bogadapati Rupesh"/>
    <m/>
    <x v="6"/>
    <m/>
    <x v="0"/>
    <s v="Ashish Rajput"/>
    <s v="Hardik Paharia"/>
    <s v="Hardik Paharia"/>
    <s v="Gaurav Gupta"/>
    <s v="Gaurav Gupta"/>
    <s v="Satyavrat Mudgil"/>
    <s v="Lokesh Suresh"/>
    <s v="CAVIAR"/>
    <s v="RETL"/>
    <s v="Srividya Mandalapu"/>
  </r>
  <r>
    <x v="8"/>
    <s v="Retail-Mobile"/>
    <s v="Bogadapati Rupesh"/>
    <m/>
    <x v="6"/>
    <m/>
    <x v="0"/>
    <s v="Palash Sanjay Kotgirwar"/>
    <s v="Hardik Paharia"/>
    <s v="Hardik Paharia"/>
    <s v="Gaurav Gupta"/>
    <s v="Gaurav Gupta"/>
    <s v="Satyavrat Mudgil"/>
    <s v="Lokesh Suresh"/>
    <s v="VI"/>
    <s v="RETL"/>
    <s v="Srividya Mandalapu"/>
  </r>
  <r>
    <x v="9"/>
    <s v="Accounting-Core"/>
    <s v="Ankita Bhandarkar"/>
    <s v="Mudit Singhal"/>
    <x v="7"/>
    <m/>
    <x v="4"/>
    <s v="Saanya Singh"/>
    <s v="Hanuth Singh"/>
    <s v="Hanuth Singh"/>
    <m/>
    <m/>
    <s v="Satyavrat Mudgil"/>
    <m/>
    <s v="Hydrogen"/>
    <s v="ACCT"/>
    <s v="Akanksha Jadli"/>
  </r>
  <r>
    <x v="9"/>
    <s v="Accounting-AP"/>
    <s v="Spurthi Gouthareddy"/>
    <m/>
    <x v="7"/>
    <m/>
    <x v="4"/>
    <s v="Bismah Kiani"/>
    <s v="Hanuth Singh"/>
    <s v="Hanuth Singh"/>
    <m/>
    <m/>
    <s v="Satyavrat Mudgil"/>
    <s v="Jalu Ram"/>
    <s v="Gold"/>
    <s v="ACCT"/>
    <s v="Akanksha Jadli"/>
  </r>
  <r>
    <x v="9"/>
    <s v="Accounting-AR"/>
    <s v="Charu Kulshrestha"/>
    <m/>
    <x v="7"/>
    <m/>
    <x v="4"/>
    <s v="Rohith Thommandru"/>
    <s v="Hanuth Singh"/>
    <s v="Hanuth Singh"/>
    <m/>
    <m/>
    <s v="Satyavrat Mudgil"/>
    <s v="Jalu Ram"/>
    <s v="Platinum"/>
    <s v="ACCT"/>
    <s v="Akanksha Jadli"/>
  </r>
  <r>
    <x v="9"/>
    <s v="Accounting-FS"/>
    <s v="Ankita Bhandarkar"/>
    <s v="Mudit Singhal"/>
    <x v="7"/>
    <m/>
    <x v="4"/>
    <s v="Calvin William Miranda"/>
    <s v="Saanya Singh"/>
    <s v="Hanuth Singh"/>
    <m/>
    <m/>
    <s v="Satyavrat Mudgil"/>
    <m/>
    <s v="Helium"/>
    <s v="ACCT"/>
    <s v="Akanksha Jadli"/>
  </r>
  <r>
    <x v="9"/>
    <s v="Accounting-Core2"/>
    <s v="Mudit Singhal"/>
    <s v="Mudit Singhal"/>
    <x v="7"/>
    <m/>
    <x v="4"/>
    <s v="Saanya Singh"/>
    <s v="Hanuth Singh"/>
    <s v="Hanuth Singh"/>
    <m/>
    <m/>
    <s v="Satyavrat Mudgil"/>
    <m/>
    <s v="Helium"/>
    <s v="ACCT"/>
    <s v="Akanksha Jadli"/>
  </r>
  <r>
    <x v="9"/>
    <s v="Accounting-Platform"/>
    <s v="Mudit Singhal"/>
    <s v="Mudit Singhal"/>
    <x v="7"/>
    <m/>
    <x v="4"/>
    <s v="Saanya Singh"/>
    <s v="Hanuth Singh"/>
    <s v="Hanuth Singh"/>
    <m/>
    <m/>
    <s v="Satyavrat Mudgil"/>
    <m/>
    <s v="Oxygen"/>
    <s v="ACCT"/>
    <s v="Akanksha Jadli"/>
  </r>
  <r>
    <x v="9"/>
    <s v="Accounting-AP-Payments"/>
    <s v="Spurthi Gouthareddy"/>
    <m/>
    <x v="7"/>
    <m/>
    <x v="4"/>
    <s v="Bismah Kiani"/>
    <s v="Hanuth Singh"/>
    <s v="Hanuth Singh"/>
    <m/>
    <m/>
    <s v="Satyavrat Mudgil"/>
    <s v="Jalu Ram"/>
    <s v="Gold"/>
    <s v="ACCT"/>
    <s v="Akanksha Jadli"/>
  </r>
  <r>
    <x v="9"/>
    <s v="Accounting-VMS"/>
    <s v="Spurthi Gouthareddy"/>
    <m/>
    <x v="7"/>
    <m/>
    <x v="4"/>
    <s v="Bismah Kiani"/>
    <s v="Hanuth Singh"/>
    <s v="Hanuth Singh"/>
    <m/>
    <m/>
    <s v="Satyavrat Mudgil"/>
    <s v="Abhishek Ghildiyal"/>
    <s v="Aurum"/>
    <s v="ACCT"/>
    <s v="Akanksha Jadli"/>
  </r>
  <r>
    <x v="10"/>
    <s v="Payroll-V1"/>
    <s v="Suhail Jain"/>
    <m/>
    <x v="7"/>
    <m/>
    <x v="4"/>
    <s v="Preston Griffin"/>
    <s v="Sundar Rajagopalan"/>
    <m/>
    <m/>
    <m/>
    <s v="Satyavrat Mudgil"/>
    <m/>
    <s v="Earth"/>
    <s v="PYRL"/>
    <s v="Akanksha Jadli"/>
  </r>
  <r>
    <x v="10"/>
    <s v="Payroll-V2"/>
    <s v="Suhail Jain"/>
    <m/>
    <x v="7"/>
    <m/>
    <x v="4"/>
    <s v="Jeremy Atkin"/>
    <s v="Sundar Rajagopalan"/>
    <m/>
    <m/>
    <m/>
    <s v="Satyavrat Mudgil"/>
    <m/>
    <s v="Earth"/>
    <s v="PYRL"/>
    <s v="Akanksha Jadli"/>
  </r>
  <r>
    <x v="10"/>
    <s v="Payroll-EH_V1"/>
    <s v="Suhail Jain"/>
    <m/>
    <x v="7"/>
    <m/>
    <x v="4"/>
    <s v="Glen Joseph"/>
    <s v="Sundar Rajagopalan"/>
    <m/>
    <m/>
    <m/>
    <s v="Satyavrat Mudgil"/>
    <m/>
    <s v="Mars"/>
    <s v="PYRL"/>
    <s v="Akanksha Jadli"/>
  </r>
  <r>
    <x v="10"/>
    <s v="Payroll-EH_V2"/>
    <s v="Suhail Jain"/>
    <m/>
    <x v="7"/>
    <m/>
    <x v="4"/>
    <s v="Glen Joseph"/>
    <s v="Sundar Rajagopalan"/>
    <m/>
    <m/>
    <m/>
    <s v="Satyavrat Mudgil"/>
    <m/>
    <s v="Mars"/>
    <s v="PYRL"/>
    <s v="Akanksha Jadli"/>
  </r>
  <r>
    <x v="11"/>
    <s v="eSign_Platform"/>
    <s v="Suhail Jain"/>
    <m/>
    <x v="7"/>
    <m/>
    <x v="4"/>
    <s v="Sireesha Yakkali"/>
    <s v="Hardik Patel"/>
    <s v="Hardik Patel"/>
    <s v="Irfan Presswala"/>
    <s v="Irfan Presswala"/>
    <s v="Satyavrat Mudgil"/>
    <s v="Jagadish M"/>
    <s v="eSign_Platform"/>
    <s v="ESGN"/>
    <s v="Akanksha Jadli"/>
  </r>
  <r>
    <x v="12"/>
    <s v="Cashiering"/>
    <s v="Suhail Jain"/>
    <m/>
    <x v="7"/>
    <m/>
    <x v="4"/>
    <s v="Kumar Gaurav"/>
    <s v="Babu Pasupathy"/>
    <s v="Babu Pasupathy"/>
    <m/>
    <m/>
    <s v="Satyavrat Mudgil"/>
    <s v="Jagadish M"/>
    <s v="Cashiering"/>
    <s v="CASH"/>
    <s v="Akanksha Jadli"/>
  </r>
  <r>
    <x v="13"/>
    <s v="Service-RO_Core"/>
    <s v="Prasad Nagraj"/>
    <m/>
    <x v="8"/>
    <m/>
    <x v="4"/>
    <s v="Darshan Dange"/>
    <s v="Rishabh Dassani"/>
    <m/>
    <s v="Alok Joshi"/>
    <s v="Alok Joshi"/>
    <s v="Satyavrat Mudgil"/>
    <s v="Sangeetha Sharma"/>
    <s v="RO-Core"/>
    <s v="SERV"/>
    <s v="Akanksha Jadli"/>
  </r>
  <r>
    <x v="13"/>
    <s v="Service-RO_Web"/>
    <s v="Prasad Nagraj"/>
    <m/>
    <x v="8"/>
    <m/>
    <x v="4"/>
    <s v="Darshan Dange"/>
    <s v="Rishabh Dassani"/>
    <m/>
    <s v="Alok Joshi"/>
    <s v="Alok Joshi"/>
    <s v="Satyavrat Mudgil"/>
    <s v="Sangeetha Sharma"/>
    <s v="RO-Core"/>
    <s v="SERV"/>
    <s v="Akanksha Jadli"/>
  </r>
  <r>
    <x v="13"/>
    <s v="Service-Platform"/>
    <s v="Syed Absar Ahmad"/>
    <s v="Amit Parpiyani"/>
    <x v="8"/>
    <m/>
    <x v="4"/>
    <s v="Ayush Aditya"/>
    <s v="Rishabh Dassani"/>
    <m/>
    <s v="Alok Joshi"/>
    <s v="Alok Joshi"/>
    <s v="Satyavrat Mudgil"/>
    <s v="Sangeetha Sharma"/>
    <s v="Platform"/>
    <s v="SERV"/>
    <s v="Akanksha Jadli"/>
  </r>
  <r>
    <x v="13"/>
    <s v="Service-Scheduling"/>
    <s v="Raj Patel"/>
    <s v="Raj Patel"/>
    <x v="8"/>
    <m/>
    <x v="4"/>
    <s v="Sivarprasad Danthuluri"/>
    <s v="Rishabh Dassani"/>
    <m/>
    <s v="Alok Joshi"/>
    <s v="Alok Joshi"/>
    <s v="Satyavrat Mudgil"/>
    <s v="Sangeetha Sharma"/>
    <s v="Scheduling"/>
    <s v="SERV"/>
    <s v="Akanksha Jadli"/>
  </r>
  <r>
    <x v="13"/>
    <s v="Service-Reporting"/>
    <s v="Raj Patel"/>
    <s v="Raj Patel"/>
    <x v="8"/>
    <m/>
    <x v="4"/>
    <s v="Himani Gandhi"/>
    <s v="Rishabh Dassani"/>
    <m/>
    <s v="Alok Joshi"/>
    <s v="Alok Joshi"/>
    <s v="Satyavrat Mudgil"/>
    <s v="Sangeetha Sharma"/>
    <s v="Scheduling"/>
    <s v="SERV"/>
    <s v="Akanksha Jadli"/>
  </r>
  <r>
    <x v="13"/>
    <s v="Service-Setups"/>
    <s v="Amit Parpiyani"/>
    <s v="Amit Parpiyani"/>
    <x v="8"/>
    <m/>
    <x v="4"/>
    <s v="Ankith NVP"/>
    <s v="Rishabh Dassani"/>
    <m/>
    <s v="Alok Joshi"/>
    <s v="Alok Joshi"/>
    <s v="Satyavrat Mudgil"/>
    <s v="Sangeetha Sharma"/>
    <s v="Platform"/>
    <s v="SERV"/>
    <s v="Akanksha Jadli"/>
  </r>
  <r>
    <x v="13"/>
    <s v="Service-Integrations"/>
    <s v="Amit Parpiyani"/>
    <s v="Amit Parpiyani"/>
    <x v="8"/>
    <m/>
    <x v="4"/>
    <s v="Ankith NVP"/>
    <s v="Rishabh Dassani"/>
    <m/>
    <s v="Alok Joshi"/>
    <s v="Alok Joshi"/>
    <s v="Satyavrat Mudgil"/>
    <s v="Sangeetha Sharma"/>
    <s v="Platform"/>
    <s v="SERV"/>
    <s v="Akanksha Jadli"/>
  </r>
  <r>
    <x v="13"/>
    <s v="Service-Dealer_Apps"/>
    <s v="Jyothish"/>
    <m/>
    <x v="8"/>
    <m/>
    <x v="4"/>
    <s v="Pranav Kothiwal"/>
    <s v="Rishabh Dassani"/>
    <m/>
    <s v="Alok Joshi"/>
    <s v="Alok Joshi"/>
    <s v="Satyavrat Mudgil"/>
    <s v="Sangeetha Sharma"/>
    <s v="Dealer-Apps"/>
    <s v="SERV"/>
    <s v="Akanksha Jadli"/>
  </r>
  <r>
    <x v="13"/>
    <s v="Service-Consumer_Apps"/>
    <s v="Faheem Ahmad"/>
    <m/>
    <x v="8"/>
    <m/>
    <x v="4"/>
    <s v="Rakshit Agnihotri"/>
    <s v="Rishabh Dassani"/>
    <m/>
    <s v="Alok Joshi"/>
    <s v="Alok Joshi"/>
    <s v="Satyavrat Mudgil"/>
    <s v="Sangeetha Sharma"/>
    <s v="Consumer"/>
    <s v="SERV"/>
    <s v="Akanksha Jadli"/>
  </r>
  <r>
    <x v="13"/>
    <s v="Service-Core"/>
    <s v="Syed Absar Ahmad"/>
    <s v="Amit Parpiyani"/>
    <x v="8"/>
    <m/>
    <x v="4"/>
    <s v="Ayush Aditya"/>
    <s v="Rishabh Dassani"/>
    <m/>
    <s v="Alok Joshi"/>
    <s v="Alok Joshi"/>
    <s v="Satyavrat Mudgil"/>
    <s v="Sangeetha Sharma"/>
    <s v="Platform"/>
    <s v="SERV"/>
    <s v="Akanksha Jadli"/>
  </r>
  <r>
    <x v="13"/>
    <s v="Service-Mobile"/>
    <s v="Faheem Ahmad"/>
    <m/>
    <x v="8"/>
    <m/>
    <x v="4"/>
    <s v="Rakshit Agnihotri"/>
    <s v="Rishabh Dassani"/>
    <m/>
    <s v="Alok Joshi"/>
    <s v="Alok Joshi"/>
    <s v="Satyavrat Mudgil"/>
    <s v="Sangeetha Sharma"/>
    <s v="ServiceMobile"/>
    <s v="SERV"/>
    <s v="Akanksha Jadli"/>
  </r>
  <r>
    <x v="13"/>
    <s v="Service-MobilePlatform_Android"/>
    <s v="Faheem Ahmad"/>
    <m/>
    <x v="8"/>
    <m/>
    <x v="4"/>
    <s v="Rakshit Agnihotri"/>
    <s v="Rishabh Dassani"/>
    <m/>
    <s v="Alok Joshi"/>
    <s v="Alok Joshi"/>
    <s v="Satyavrat Mudgil"/>
    <m/>
    <s v="ServiceMobile"/>
    <s v="SERV"/>
    <s v="Akanksha Jadli"/>
  </r>
  <r>
    <x v="13"/>
    <s v="Service-MobilePlatform_iOS"/>
    <s v="Faheem Ahmad"/>
    <m/>
    <x v="8"/>
    <m/>
    <x v="4"/>
    <s v="Jayshri Soundarajan"/>
    <s v="Vamsee Krishna Mullapudi"/>
    <s v="Vamsee Krishna Mullapudi"/>
    <s v="Vijayakumar B"/>
    <m/>
    <s v="Shiva Somasundaram"/>
    <m/>
    <s v="ServiceMobile"/>
    <s v="SERV"/>
    <s v="Akanksha Jadli"/>
  </r>
  <r>
    <x v="13"/>
    <s v="Service-MobilePlatform_RN"/>
    <s v="Faheem Ahmad"/>
    <m/>
    <x v="8"/>
    <m/>
    <x v="4"/>
    <s v="Jayshri Soundarajan"/>
    <s v="Vamsee Krishna Mullapudi"/>
    <s v="Vamsee Krishna Mullapudi"/>
    <s v="Vijayakumar B"/>
    <m/>
    <s v="Shiva Somasundaram"/>
    <m/>
    <s v="ServiceMobile"/>
    <s v="SERV"/>
    <s v="Akanksha Jadli"/>
  </r>
  <r>
    <x v="13"/>
    <s v="Service-ServiceOutboundAI"/>
    <m/>
    <m/>
    <x v="8"/>
    <m/>
    <x v="4"/>
    <m/>
    <m/>
    <m/>
    <m/>
    <m/>
    <m/>
    <m/>
    <s v="Not found"/>
    <s v="SERV"/>
    <s v="Akanksha Jadli"/>
  </r>
  <r>
    <x v="14"/>
    <s v="Parts-Inventory"/>
    <s v="Jay Doshi"/>
    <s v="Akshay Nagpurkar"/>
    <x v="9"/>
    <m/>
    <x v="4"/>
    <s v="Ritesh Batra"/>
    <s v="Sarita Surapaneni"/>
    <s v="Sarita Surapaneni"/>
    <s v="Alok Joshi"/>
    <s v="Alok Joshi"/>
    <s v="Satyavrat Mudgil"/>
    <s v="Venkateswara Rao Gudipati"/>
    <s v="Inventory Guardians"/>
    <s v="PART"/>
    <s v="Akanksha Jadli"/>
  </r>
  <r>
    <x v="14"/>
    <s v="Parts-Physical_Inventory"/>
    <s v="Jay Doshi"/>
    <s v="Akshay Nagpurkar"/>
    <x v="9"/>
    <m/>
    <x v="4"/>
    <s v="Nandu Battula"/>
    <s v="Sarita Surapaneni"/>
    <s v="Sarita Surapaneni"/>
    <s v="Alok Joshi"/>
    <s v="Alok Joshi"/>
    <s v="Satyavrat Mudgil"/>
    <s v="Venkateswara Rao Gudipati"/>
    <s v="Inventory Guardians"/>
    <s v="PART"/>
    <s v="Akanksha Jadli"/>
  </r>
  <r>
    <x v="14"/>
    <s v="Parts-Purchase_Order"/>
    <s v="Jay Doshi"/>
    <s v="Akshay Nagpurkar"/>
    <x v="9"/>
    <m/>
    <x v="4"/>
    <s v="Snigdha Sahoo"/>
    <s v="Hemant Agarwal"/>
    <s v="Sarita Surapaneni"/>
    <s v="Alok Joshi"/>
    <s v="Alok Joshi"/>
    <s v="Satyavrat Mudgil"/>
    <s v="Venkateswara Rao Gudipati"/>
    <s v="Ordering Operators"/>
    <s v="PART"/>
    <s v="Akanksha Jadli"/>
  </r>
  <r>
    <x v="14"/>
    <s v="Parts-Receiving"/>
    <s v="Jay Doshi"/>
    <s v="Akshay Nagpurkar"/>
    <x v="9"/>
    <m/>
    <x v="4"/>
    <s v="Rounak Das"/>
    <s v="Hemant Agarwal"/>
    <s v="Sarita Surapaneni"/>
    <s v="Alok Joshi"/>
    <s v="Alok Joshi"/>
    <s v="Satyavrat Mudgil"/>
    <s v="Venkateswara Rao Gudipati"/>
    <s v="Ordering Operators"/>
    <s v="PART"/>
    <s v="Akanksha Jadli"/>
  </r>
  <r>
    <x v="14"/>
    <s v="Parts-Sales_Order"/>
    <s v="Vidit Gupta"/>
    <s v="Akshay Nagpurkar"/>
    <x v="9"/>
    <m/>
    <x v="4"/>
    <s v="Prajjwal Khandelwal"/>
    <s v="Sarita Surapaneni"/>
    <s v="Sarita Surapaneni"/>
    <s v="Alok Joshi"/>
    <s v="Alok Joshi"/>
    <s v="Satyavrat Mudgil"/>
    <s v="Venkateswara Rao Gudipati"/>
    <s v="Sales Order Frontiers"/>
    <s v="PART"/>
    <s v="Akanksha Jadli"/>
  </r>
  <r>
    <x v="14"/>
    <s v="Parts-Special_Order_Request"/>
    <s v="Vidit Gupta"/>
    <s v="Akshay Nagpurkar"/>
    <x v="9"/>
    <m/>
    <x v="4"/>
    <s v="Sumedha Sagar"/>
    <s v="Hemant Agarwal"/>
    <s v="Sarita Surapaneni"/>
    <s v="Alok Joshi"/>
    <s v="Alok Joshi"/>
    <s v="Satyavrat Mudgil"/>
    <s v="Venkateswara Rao Gudipati"/>
    <s v="Sales Order Frontiers"/>
    <s v="PART"/>
    <s v="Akanksha Jadli"/>
  </r>
  <r>
    <x v="14"/>
    <s v="Parts-Label_Configurator"/>
    <s v="Jay Doshi"/>
    <s v="Akshay Nagpurkar"/>
    <x v="9"/>
    <m/>
    <x v="4"/>
    <s v="Nandu Battula"/>
    <s v="Sarita Surapaneni"/>
    <s v="Sarita Surapaneni"/>
    <s v="Alok Joshi"/>
    <s v="Alok Joshi"/>
    <s v="Satyavrat Mudgil"/>
    <s v="Venkateswara Rao Gudipati"/>
    <s v="Ordering Operators"/>
    <s v="PART"/>
    <s v="Akanksha Jadli"/>
  </r>
  <r>
    <x v="14"/>
    <s v="Parts-Repair_Order_Sales"/>
    <s v="Prajesh Sahoo"/>
    <s v="Akshay Nagpurkar"/>
    <x v="9"/>
    <m/>
    <x v="4"/>
    <s v="Snigdha Sahoo"/>
    <s v="Hemant Agarwal"/>
    <s v="Sarita Surapaneni"/>
    <s v="Alok Joshi"/>
    <s v="Alok Joshi"/>
    <s v="Satyavrat Mudgil"/>
    <s v="Venkateswara Rao Gudipati"/>
    <s v="Repair Order Fulfillers"/>
    <s v="PART"/>
    <s v="Akanksha Jadli"/>
  </r>
  <r>
    <x v="14"/>
    <s v="Parts-Picklist"/>
    <s v="Prajesh Sahoo"/>
    <s v="Akshay Nagpurkar"/>
    <x v="9"/>
    <m/>
    <x v="4"/>
    <s v="Prajjwal Khandelwal"/>
    <s v="Sarita Surapaneni"/>
    <s v="Sarita Surapaneni"/>
    <s v="Alok Joshi"/>
    <s v="Alok Joshi"/>
    <s v="Satyavrat Mudgil"/>
    <s v="Venkateswara Rao Gudipati"/>
    <s v="Repair Order Fulfillers"/>
    <s v="PART"/>
    <s v="Akanksha Jadli"/>
  </r>
  <r>
    <x v="14"/>
    <s v="Parts-Dirty_Core_Inventory"/>
    <s v="Jay Doshi"/>
    <s v="Akshay Nagpurkar"/>
    <x v="9"/>
    <m/>
    <x v="4"/>
    <s v="Rounak Das"/>
    <s v="Hemant Agarwal"/>
    <s v="Sarita Surapaneni"/>
    <s v="Alok Joshi"/>
    <s v="Alok Joshi"/>
    <s v="Satyavrat Mudgil"/>
    <s v="Venkateswara Rao Gudipati"/>
    <s v="Ordering Operators"/>
    <s v="PART"/>
    <s v="Akanksha Jadli"/>
  </r>
  <r>
    <x v="14"/>
    <s v="Parts-Material_Return"/>
    <s v="Jay Doshi"/>
    <s v="Akshay Nagpurkar"/>
    <x v="9"/>
    <m/>
    <x v="4"/>
    <s v="Rounak Das"/>
    <s v="Hemant Agarwal"/>
    <s v="Sarita Surapaneni"/>
    <s v="Alok Joshi"/>
    <s v="Alok Joshi"/>
    <s v="Satyavrat Mudgil"/>
    <s v="Venkateswara Rao Gudipati"/>
    <s v="Ordering Operators"/>
    <s v="PART"/>
    <s v="Akanksha Jadli"/>
  </r>
  <r>
    <x v="14"/>
    <s v="Parts-Price_Tape"/>
    <s v="Jay Doshi"/>
    <s v="Akshay Nagpurkar"/>
    <x v="9"/>
    <m/>
    <x v="4"/>
    <s v="Pranjal Pushp"/>
    <s v="Hemant Agarwal"/>
    <s v="Sarita Surapaneni"/>
    <s v="Alok Joshi"/>
    <s v="Alok Joshi"/>
    <s v="Satyavrat Mudgil"/>
    <s v="Venkateswara Rao Gudipati"/>
    <s v="Integrations Connectors"/>
    <s v="PART"/>
    <s v="Akanksha Jadli"/>
  </r>
  <r>
    <x v="14"/>
    <s v="Parts-Supersession"/>
    <s v="Jay Doshi"/>
    <s v="Akshay Nagpurkar"/>
    <x v="9"/>
    <m/>
    <x v="4"/>
    <s v="Karthik Kameshwaran"/>
    <s v="Sarita Surapaneni"/>
    <s v="Sarita Surapaneni"/>
    <s v="Alok Joshi"/>
    <s v="Alok Joshi"/>
    <s v="Satyavrat Mudgil"/>
    <s v="Venkateswara Rao Gudipati"/>
    <s v="Inventory Guardians"/>
    <s v="PART"/>
    <s v="Akanksha Jadli"/>
  </r>
  <r>
    <x v="14"/>
    <s v="Parts-Setups"/>
    <s v="Jay Doshi"/>
    <s v="Akshay Nagpurkar"/>
    <x v="9"/>
    <m/>
    <x v="4"/>
    <s v="Nandu Battula"/>
    <s v="Sarita Surapaneni"/>
    <s v="Sarita Surapaneni"/>
    <s v="Alok Joshi"/>
    <s v="Alok Joshi"/>
    <s v="Satyavrat Mudgil"/>
    <s v="Venkateswara Rao Gudipati"/>
    <s v="Integrations Connectors"/>
    <s v="PART"/>
    <s v="Akanksha Jadli"/>
  </r>
  <r>
    <x v="14"/>
    <s v="Parts-Open_Replay"/>
    <s v="Vidit Gupta"/>
    <s v="Akshay Nagpurkar"/>
    <x v="9"/>
    <m/>
    <x v="4"/>
    <s v="Hemant Agarwal"/>
    <s v="Sarita Surapaneni"/>
    <s v="Sarita Surapaneni"/>
    <s v="Alok Joshi"/>
    <s v="Alok Joshi"/>
    <s v="Satyavrat Mudgil"/>
    <s v="Venkateswara Rao Gudipati"/>
    <s v="Platform Optimizers"/>
    <s v="PART"/>
    <s v="Akanksha Jadli"/>
  </r>
  <r>
    <x v="14"/>
    <s v="Parts-Platform"/>
    <s v="Vidit Gupta"/>
    <s v="Akshay Nagpurkar"/>
    <x v="9"/>
    <m/>
    <x v="4"/>
    <s v="Hemant Agarwal"/>
    <s v="Sarita Surapaneni"/>
    <s v="Sarita Surapaneni"/>
    <s v="Alok Joshi"/>
    <s v="Alok Joshi"/>
    <s v="Satyavrat Mudgil"/>
    <s v="Venkateswara Rao Gudipati"/>
    <s v="Platform Optimizers"/>
    <s v="PART"/>
    <s v="Akanksha Jadli"/>
  </r>
  <r>
    <x v="14"/>
    <s v="Parts-Reporting"/>
    <s v="Prajesh Sahoo"/>
    <s v="Akshay Nagpurkar"/>
    <x v="9"/>
    <m/>
    <x v="4"/>
    <s v="Karthik Kameshwaran"/>
    <s v="Sarita Surapaneni"/>
    <s v="Sarita Surapaneni"/>
    <s v="Alok Joshi"/>
    <s v="Alok Joshi"/>
    <s v="Satyavrat Mudgil"/>
    <s v="Venkateswara Rao Gudipati"/>
    <s v="Data Dynamos"/>
    <s v="PART"/>
    <s v="Akanksha Jadli"/>
  </r>
  <r>
    <x v="14"/>
    <s v="Parts-Onboarding"/>
    <s v="Prajesh Sahoo"/>
    <s v="Akshay Nagpurkar"/>
    <x v="9"/>
    <m/>
    <x v="4"/>
    <s v="Karthik Kameshwaran"/>
    <s v="Sarita Surapaneni"/>
    <s v="Sarita Surapaneni"/>
    <s v="Alok Joshi"/>
    <s v="Alok Joshi"/>
    <s v="Satyavrat Mudgil"/>
    <s v="Venkateswara Rao Gudipati"/>
    <s v="Data Dynamos"/>
    <s v="PART"/>
    <s v="Akanksha Jadli"/>
  </r>
  <r>
    <x v="15"/>
    <s v="PayTek-Front_Office"/>
    <s v="Shree Ram Bansal"/>
    <m/>
    <x v="10"/>
    <m/>
    <x v="4"/>
    <s v="Jeeth Jose"/>
    <s v="Babu Pasupathy"/>
    <s v="Babu Pasupathy"/>
    <m/>
    <m/>
    <s v="Satyavrat Mudgil"/>
    <m/>
    <s v="Gryffindor"/>
    <s v="PYTK"/>
    <s v="Akanksha Jadli"/>
  </r>
  <r>
    <x v="15"/>
    <s v="PayTek-Back_Office"/>
    <s v="Jaymil Koshiya"/>
    <m/>
    <x v="10"/>
    <m/>
    <x v="4"/>
    <s v="Jeeth Jose"/>
    <s v="Babu Pasupathy"/>
    <s v="Babu Pasupathy"/>
    <m/>
    <m/>
    <s v="Satyavrat Mudgil"/>
    <m/>
    <s v="Ravenclaw"/>
    <s v="PYTK"/>
    <s v="Akanksha Jadli"/>
  </r>
  <r>
    <x v="15"/>
    <s v="PayTek-Spend"/>
    <s v="Ambuj Mehra"/>
    <m/>
    <x v="10"/>
    <m/>
    <x v="4"/>
    <s v="Kumar Gaurav"/>
    <s v="Babu Pasupathy"/>
    <s v="Babu Pasupathy"/>
    <m/>
    <m/>
    <s v="Satyavrat Mudgil"/>
    <m/>
    <s v="Ravenclaw"/>
    <s v="PYTK"/>
    <s v="Akanksha Jadli"/>
  </r>
  <r>
    <x v="16"/>
    <s v="HP-Registries_and_Config_Stores"/>
    <s v="Surendra Gandham"/>
    <m/>
    <x v="11"/>
    <s v="Parul Jain"/>
    <x v="5"/>
    <s v="No PM Coverage"/>
    <s v="No PM Coverage"/>
    <s v="No PM Coverage"/>
    <s v="No PM Coverage"/>
    <s v="No PM Coverage"/>
    <s v="No PM coverage"/>
    <m/>
    <s v="HP-Registries_and_Config_Stores"/>
    <s v="HPLT"/>
    <s v="Rahul Rathore"/>
  </r>
  <r>
    <x v="16"/>
    <s v="HP-Routing_and_Reliability"/>
    <s v="Surendra Gandham"/>
    <m/>
    <x v="11"/>
    <s v="Parul Jain"/>
    <x v="5"/>
    <s v="No PM Coverage"/>
    <s v="No PM Coverage"/>
    <s v="No PM Coverage"/>
    <s v="No PM Coverage"/>
    <s v="No PM Coverage"/>
    <s v="No PM coverage"/>
    <m/>
    <s v="HP-Routing_and_Reliability"/>
    <s v="HPLT"/>
    <s v="Rahul Rathore"/>
  </r>
  <r>
    <x v="16"/>
    <s v="HP-Utilities"/>
    <s v="Surendra Gandham"/>
    <m/>
    <x v="11"/>
    <s v="Parul Jain"/>
    <x v="5"/>
    <s v="No PM Coverage"/>
    <s v="No PM Coverage"/>
    <s v="No PM Coverage"/>
    <s v="No PM Coverage"/>
    <s v="No PM Coverage"/>
    <s v="No PM coverage"/>
    <m/>
    <s v="HP-Utilities"/>
    <s v="HPLT"/>
    <s v="Rahul Rathore"/>
  </r>
  <r>
    <x v="16"/>
    <s v="HP-Technologies_and_RnD"/>
    <s v="Surendra Gandham"/>
    <m/>
    <x v="11"/>
    <s v="Parul Jain"/>
    <x v="5"/>
    <s v="No PM Coverage"/>
    <s v="No PM Coverage"/>
    <s v="No PM Coverage"/>
    <s v="No PM Coverage"/>
    <s v="No PM Coverage"/>
    <s v="No PM coverage"/>
    <m/>
    <s v="HP-Technologies_and_RnD"/>
    <s v="HPLT"/>
    <s v="Rahul Rathore"/>
  </r>
  <r>
    <x v="16"/>
    <s v="HP-Central_Setups"/>
    <s v="Sandhya Singh"/>
    <m/>
    <x v="11"/>
    <s v="Parul Jain"/>
    <x v="5"/>
    <s v="No PM Coverage"/>
    <s v="No PM Coverage"/>
    <s v="No PM Coverage"/>
    <s v="No PM Coverage"/>
    <s v="No PM Coverage"/>
    <s v="No PM coverage"/>
    <m/>
    <s v="HP-Central_Setups"/>
    <s v="HPLT"/>
    <s v="Rahul Rathore"/>
  </r>
  <r>
    <x v="16"/>
    <s v="HP-Data_and_Content_Mgmt"/>
    <s v="Sandhya Singh"/>
    <m/>
    <x v="11"/>
    <s v="Parul Jain"/>
    <x v="5"/>
    <s v="No PM Coverage"/>
    <s v="No PM Coverage"/>
    <s v="No PM Coverage"/>
    <s v="No PM Coverage"/>
    <s v="No PM Coverage"/>
    <s v="No PM coverage"/>
    <m/>
    <s v="HP-Data_and_Content_Mgmt"/>
    <s v="HPLT"/>
    <s v="Rahul Rathore"/>
  </r>
  <r>
    <x v="16"/>
    <s v="HP-Presentation_Centric_Platforms"/>
    <s v="Sandhya Singh"/>
    <m/>
    <x v="11"/>
    <s v="Parul Jain"/>
    <x v="5"/>
    <s v="No PM Coverage"/>
    <s v="No PM Coverage"/>
    <s v="No PM Coverage"/>
    <s v="No PM Coverage"/>
    <s v="No PM Coverage"/>
    <s v="No PM coverage"/>
    <m/>
    <s v="HP-Presentation_Centric_Platforms"/>
    <s v="HPLT"/>
    <s v="Rahul Rathore"/>
  </r>
  <r>
    <x v="16"/>
    <s v="HP-Interaction_Platforms"/>
    <s v="Sandhya Singh"/>
    <m/>
    <x v="11"/>
    <s v="Parul Jain"/>
    <x v="5"/>
    <s v="No PM Coverage"/>
    <s v="No PM Coverage"/>
    <s v="No PM Coverage"/>
    <s v="No PM Coverage"/>
    <s v="No PM Coverage"/>
    <s v="No PM coverage"/>
    <m/>
    <s v="HP-Interaction_Platforms"/>
    <s v="HPLT"/>
    <s v="Rahul Rathore"/>
  </r>
  <r>
    <x v="16"/>
    <s v="HP-Persistence"/>
    <s v="Rushikesh"/>
    <m/>
    <x v="11"/>
    <s v="Parul Jain"/>
    <x v="5"/>
    <s v="No PM Coverage"/>
    <s v="No PM Coverage"/>
    <s v="No PM Coverage"/>
    <s v="No PM Coverage"/>
    <s v="No PM Coverage"/>
    <s v="No PM coverage"/>
    <m/>
    <s v="HP-Persistence"/>
    <s v="HPLT"/>
    <s v="Rahul Rathore"/>
  </r>
  <r>
    <x v="16"/>
    <s v="HP-Caching_and_Messaging"/>
    <s v="Rushikesh"/>
    <m/>
    <x v="11"/>
    <s v="Parul Jain"/>
    <x v="5"/>
    <s v="No PM Coverage"/>
    <s v="No PM Coverage"/>
    <s v="No PM Coverage"/>
    <s v="No PM Coverage"/>
    <s v="No PM Coverage"/>
    <s v="No PM coverage"/>
    <m/>
    <s v="HP-Caching_and_Messaging"/>
    <s v="HPLT"/>
    <s v="Rahul Rathore"/>
  </r>
  <r>
    <x v="16"/>
    <s v="HP-UI_Platforms"/>
    <s v="Sandesh"/>
    <m/>
    <x v="11"/>
    <s v="Parul Jain"/>
    <x v="5"/>
    <s v="No PM Coverage"/>
    <s v="No PM Coverage"/>
    <s v="No PM Coverage"/>
    <s v="No PM Coverage"/>
    <s v="No PM Coverage"/>
    <s v="No PM coverage"/>
    <m/>
    <s v="HP-UI_Platforms"/>
    <s v="HPLT"/>
    <s v="Rahul Rathore"/>
  </r>
  <r>
    <x v="16"/>
    <s v="HP-AI_Native"/>
    <s v="Surendra Gandham"/>
    <m/>
    <x v="11"/>
    <s v="Parul Jain"/>
    <x v="5"/>
    <s v="No PM Coverage"/>
    <s v="No PM Coverage"/>
    <s v="No PM Coverage"/>
    <s v="No PM Coverage"/>
    <s v="No PM Coverage"/>
    <s v="No PM coverage"/>
    <m/>
    <s v="HP-AI_Native"/>
    <s v="HPLT"/>
    <s v="Rahul Rathore"/>
  </r>
  <r>
    <x v="17"/>
    <s v="PerformanceEngg"/>
    <s v="Mrunal Chimmalagi"/>
    <m/>
    <x v="12"/>
    <m/>
    <x v="6"/>
    <s v="No PM Coverage"/>
    <s v="No PM Coverage"/>
    <s v="No PM Coverage"/>
    <s v="No PM Coverage"/>
    <s v="No PM Coverage"/>
    <s v="No PM coverage"/>
    <m/>
    <s v="Not found"/>
    <m/>
    <s v="Bhuvana Vanama"/>
  </r>
  <r>
    <x v="18"/>
    <s v="APC-IEX"/>
    <s v="Pushpam"/>
    <s v="Pushpam"/>
    <x v="2"/>
    <s v="Surya Narayanan"/>
    <x v="1"/>
    <s v="Shashank Jaisawal"/>
    <m/>
    <m/>
    <s v="Tom Jude Ammanthurutil"/>
    <m/>
    <s v="Turker Coskun"/>
    <s v="Pavithra Ravi"/>
    <s v="IEX"/>
    <s v="APC"/>
    <s v="Rahul Rathore"/>
  </r>
  <r>
    <x v="18"/>
    <s v="APC-Cortex"/>
    <s v="Pushpam"/>
    <s v="Pushpam"/>
    <x v="2"/>
    <s v="Surya Narayanan"/>
    <x v="1"/>
    <m/>
    <m/>
    <m/>
    <m/>
    <m/>
    <m/>
    <m/>
    <s v="Cortex"/>
    <s v="APC"/>
    <s v="Rahul Rathore"/>
  </r>
  <r>
    <x v="18"/>
    <s v="APC-PEX"/>
    <s v="Pushpam"/>
    <s v="Pushpam"/>
    <x v="2"/>
    <s v="Surya Narayanan"/>
    <x v="1"/>
    <s v="Shashank Jaisawal"/>
    <m/>
    <m/>
    <s v="Tom Jude Ammanthurutil"/>
    <m/>
    <s v="Turker Coskun"/>
    <s v="Pavithra Ravi"/>
    <s v="PEX"/>
    <s v="APC"/>
    <s v="Rahul Rathore"/>
  </r>
  <r>
    <x v="19"/>
    <s v="DataPlatform-Ingestion"/>
    <s v="Ajay Rao"/>
    <m/>
    <x v="13"/>
    <s v="Raghu Ram Vengalil"/>
    <x v="3"/>
    <s v="Surya Vikram"/>
    <s v="Chevviyan K"/>
    <s v="Chevviyan K"/>
    <m/>
    <m/>
    <s v="Shiva Somasundaram"/>
    <m/>
    <s v="Data Platform"/>
    <s v="DPLT"/>
    <s v="Nishanth Nag"/>
  </r>
  <r>
    <x v="19"/>
    <s v="DataPlatform-Platform"/>
    <s v="Ajay Rao"/>
    <m/>
    <x v="13"/>
    <s v="Raghu Ram Vengalil"/>
    <x v="3"/>
    <s v="Surya Vikram"/>
    <s v="Chevviyan K"/>
    <s v="Chevviyan K"/>
    <m/>
    <m/>
    <s v="Shiva Somasundaram"/>
    <m/>
    <s v="Data Platform"/>
    <s v="DPLT"/>
    <s v="Nishanth Nag"/>
  </r>
  <r>
    <x v="19"/>
    <s v="DataPlatform-Serving"/>
    <s v="Ajay Rao"/>
    <m/>
    <x v="13"/>
    <s v="Raghu Ram Vengalil"/>
    <x v="3"/>
    <s v="Surya Vikram"/>
    <s v="Chevviyan K"/>
    <s v="Chevviyan K"/>
    <m/>
    <m/>
    <s v="Shiva Somasundaram"/>
    <m/>
    <s v="Data Platform"/>
    <s v="DPLT"/>
    <s v="Nishanth Nag"/>
  </r>
  <r>
    <x v="19"/>
    <s v="DataPlatform-DCP"/>
    <s v="Ajay Rao"/>
    <m/>
    <x v="13"/>
    <s v="Raghu Ram Vengalil"/>
    <x v="3"/>
    <s v="Ehsan Hoque"/>
    <m/>
    <m/>
    <s v="Karuppiah Anburaja"/>
    <s v="Karuppiah Anburaja"/>
    <s v="Marc Stillman"/>
    <m/>
    <s v="Data Intelligence"/>
    <s v="DPLT"/>
    <s v="Nishanth Nag"/>
  </r>
  <r>
    <x v="19"/>
    <s v="DataPlatform-ADM"/>
    <s v="Ajay Rao"/>
    <m/>
    <x v="13"/>
    <s v="Raghu Ram Vengalil"/>
    <x v="3"/>
    <s v="Surya Vikram"/>
    <s v="Chevviyan K"/>
    <s v="Chevviyan K"/>
    <m/>
    <m/>
    <s v="Shiva Somasundaram"/>
    <m/>
    <s v="Data Intelligence"/>
    <s v="DPLT"/>
    <s v="Nishanth Nag"/>
  </r>
  <r>
    <x v="19"/>
    <s v="DataPlatform-CDM"/>
    <s v="Ajay Rao"/>
    <m/>
    <x v="13"/>
    <s v="Raghu Ram Vengalil"/>
    <x v="3"/>
    <s v="Surya Vikram"/>
    <s v="Chevviyan K"/>
    <s v="Chevviyan K"/>
    <m/>
    <m/>
    <s v="Shiva Somasundaram"/>
    <m/>
    <s v="Data Intelligence"/>
    <s v="DPLT"/>
    <s v="Nishanth Nag"/>
  </r>
  <r>
    <x v="19"/>
    <s v="DataPlatform-RB"/>
    <s v="Ajay Rao"/>
    <m/>
    <x v="13"/>
    <s v="Raghu Ram Vengalil"/>
    <x v="3"/>
    <s v="Surya Vikram"/>
    <s v="Chevviyan K"/>
    <s v="Chevviyan K"/>
    <m/>
    <m/>
    <s v="Shiva Somasundaram"/>
    <m/>
    <s v="Data Intelligence"/>
    <s v="DPLT"/>
    <s v="Nishanth Nag"/>
  </r>
  <r>
    <x v="19"/>
    <s v="DataPlatform-FC"/>
    <s v="Ajay Rao"/>
    <m/>
    <x v="13"/>
    <s v="Raghu Ram Vengalil"/>
    <x v="3"/>
    <s v="Surya Vikram"/>
    <s v="Chevviyan K"/>
    <s v="Chevviyan K"/>
    <m/>
    <m/>
    <s v="Shiva Somasundaram"/>
    <m/>
    <s v="Data Intelligence"/>
    <s v="DPLT"/>
    <s v="Nishanth Nag"/>
  </r>
  <r>
    <x v="19"/>
    <s v="DataPlatform-Analytics"/>
    <s v="Ajay Rao"/>
    <m/>
    <x v="13"/>
    <s v="Raghu Ram Vengalil"/>
    <x v="3"/>
    <s v="Surya Vikram"/>
    <s v="Chevviyan K"/>
    <s v="Chevviyan K"/>
    <m/>
    <m/>
    <s v="Shiva Somasundaram"/>
    <m/>
    <s v="Data Analytics"/>
    <s v="DPLT"/>
    <s v="Nishanth Nag"/>
  </r>
  <r>
    <x v="20"/>
    <s v="DR-Secure_Checkout"/>
    <s v="Muralidhar Devanga Karna"/>
    <m/>
    <x v="1"/>
    <m/>
    <x v="0"/>
    <s v="Abhieraaj Chaudhary"/>
    <m/>
    <m/>
    <s v="Suraj Jain"/>
    <s v="Gaurav Gupta"/>
    <s v="Satyavrat Mudgil"/>
    <m/>
    <s v="DR_Checkout"/>
    <s v="DGRT"/>
    <s v="Srividya Mandalapu"/>
  </r>
  <r>
    <x v="20"/>
    <s v="DR-Legacy"/>
    <s v="Muralidhar Devanga Karna"/>
    <m/>
    <x v="1"/>
    <m/>
    <x v="0"/>
    <s v="Nirmal Sajo Thomas"/>
    <m/>
    <m/>
    <s v="Suraj Jain"/>
    <s v="Gaurav Gupta"/>
    <s v="Satyavrat Mudgil"/>
    <m/>
    <s v="DR_Checkout"/>
    <s v="DGRT"/>
    <s v="Srividya Mandalapu"/>
  </r>
  <r>
    <x v="20"/>
    <s v="DR-AEC_Studio"/>
    <s v="Akshay Champavat"/>
    <m/>
    <x v="1"/>
    <m/>
    <x v="0"/>
    <s v="Ankush Kedia"/>
    <m/>
    <m/>
    <s v="Suraj Jain"/>
    <s v="Gaurav Gupta"/>
    <s v="Satyavrat Mudgil"/>
    <m/>
    <s v="DR_Studio"/>
    <s v="DGRT"/>
    <s v="Srividya Mandalapu"/>
  </r>
  <r>
    <x v="20"/>
    <s v="DR-AEC_Website_Setup"/>
    <s v="Akshay Champavat"/>
    <m/>
    <x v="1"/>
    <m/>
    <x v="0"/>
    <s v="Rohit Bhangale"/>
    <m/>
    <m/>
    <s v="Suraj Jain"/>
    <s v="Gaurav Gupta"/>
    <s v="Satyavrat Mudgil"/>
    <m/>
    <s v="DR_Studio"/>
    <s v="DGRT"/>
    <s v="Srividya Mandalapu"/>
  </r>
  <r>
    <x v="20"/>
    <s v="DR-SRCHAT"/>
    <s v="Akshay Champavat"/>
    <m/>
    <x v="1"/>
    <m/>
    <x v="0"/>
    <s v="Abhinav Wagadre"/>
    <s v="Avin Jain"/>
    <m/>
    <s v="Ashish Kalya"/>
    <m/>
    <s v="Shiva Somasundaram"/>
    <m/>
    <s v="DR_SRCHAT"/>
    <s v="DGRT"/>
    <s v="Srividya Mandalapu"/>
  </r>
  <r>
    <x v="21"/>
    <s v="Analytics-ARC"/>
    <m/>
    <m/>
    <x v="14"/>
    <m/>
    <x v="3"/>
    <s v="Mani Gupta"/>
    <s v="Chevviyan K"/>
    <s v="Chevviyan K"/>
    <m/>
    <m/>
    <s v="Shiva Somasundaram"/>
    <m/>
    <s v="Analytics-Eng"/>
    <s v="ANLY"/>
    <s v="Nishanth Nag"/>
  </r>
  <r>
    <x v="21"/>
    <s v="Analytics-Platform"/>
    <m/>
    <m/>
    <x v="14"/>
    <m/>
    <x v="3"/>
    <s v="Mani Gupta"/>
    <s v="Chevviyan K"/>
    <s v="Chevviyan K"/>
    <m/>
    <m/>
    <s v="Shiva Somasundaram"/>
    <m/>
    <s v="Analytics-Eng"/>
    <s v="ANLY"/>
    <s v="Nishanth Nag"/>
  </r>
  <r>
    <x v="21"/>
    <s v="Analytics-Clickstream"/>
    <m/>
    <m/>
    <x v="14"/>
    <m/>
    <x v="3"/>
    <s v="Surya Vikram"/>
    <s v="Chevviyan K"/>
    <s v="Chevviyan K"/>
    <m/>
    <m/>
    <s v="Shiva Somasundaram"/>
    <m/>
    <s v="Analytics-Eng"/>
    <s v="ANLY"/>
    <s v="Nishanth Nag"/>
  </r>
  <r>
    <x v="21"/>
    <s v="Analytics-Report_Builder"/>
    <m/>
    <m/>
    <x v="14"/>
    <m/>
    <x v="3"/>
    <s v="Mani Gupta"/>
    <s v="Chevviyan K"/>
    <s v="Chevviyan K"/>
    <m/>
    <m/>
    <s v="Shiva Somasundaram"/>
    <m/>
    <s v="Analytics-Eng"/>
    <s v="ANLY"/>
    <s v="Nishanth Nag"/>
  </r>
  <r>
    <x v="21"/>
    <s v="Analytics-2.0"/>
    <m/>
    <m/>
    <x v="14"/>
    <m/>
    <x v="3"/>
    <s v="Mani Gupta"/>
    <s v="Chevviyan K"/>
    <s v="Chevviyan K"/>
    <m/>
    <m/>
    <s v="Shiva Somasundaram"/>
    <m/>
    <s v="Analytics-Eng"/>
    <s v="ANLY"/>
    <s v="Nishanth Nag"/>
  </r>
  <r>
    <x v="22"/>
    <s v="DataEngg-Migration"/>
    <s v="Senthilkumar V"/>
    <m/>
    <x v="15"/>
    <m/>
    <x v="7"/>
    <s v="Dinesh Kumar Pannirselvam"/>
    <s v="No PM Coverage"/>
    <s v="No PM Coverage"/>
    <s v="No PM Coverage"/>
    <s v="No PM Coverage"/>
    <s v="No PM coverage"/>
    <m/>
    <s v="Not found"/>
    <m/>
    <m/>
  </r>
  <r>
    <x v="22"/>
    <s v="DataEngg-Migrated_Documents"/>
    <s v="Senthilkumar V"/>
    <m/>
    <x v="15"/>
    <m/>
    <x v="7"/>
    <s v="Durgesh Tiwari"/>
    <s v="No PM Coverage"/>
    <s v="No PM Coverage"/>
    <s v="No PM Coverage"/>
    <s v="No PM Coverage"/>
    <s v="No PM coverage"/>
    <m/>
    <s v="Not found"/>
    <m/>
    <m/>
  </r>
  <r>
    <x v="22"/>
    <s v="DataEngg-Conversion"/>
    <s v="Senthilkumar V"/>
    <m/>
    <x v="15"/>
    <m/>
    <x v="7"/>
    <s v="Senthilkumar V"/>
    <s v="No PM Coverage"/>
    <s v="No PM Coverage"/>
    <s v="No PM Coverage"/>
    <s v="No PM Coverage"/>
    <s v="No PM coverage"/>
    <m/>
    <s v="Not found"/>
    <m/>
    <m/>
  </r>
  <r>
    <x v="23"/>
    <s v="Infra-CloudOps"/>
    <s v="Manjunath KP"/>
    <m/>
    <x v="12"/>
    <m/>
    <x v="6"/>
    <s v="No PM coverage"/>
    <s v="No PM Coverage"/>
    <s v="No PM Coverage"/>
    <s v="No PM Coverage"/>
    <s v="No PM Coverage"/>
    <s v="No PM coverage"/>
    <s v="-"/>
    <s v="Not found"/>
    <s v="RELB"/>
    <s v="Bhuvana Vanama"/>
  </r>
  <r>
    <x v="23"/>
    <s v="Infra-DBA"/>
    <s v="Sudhir Gadipathi"/>
    <m/>
    <x v="12"/>
    <m/>
    <x v="6"/>
    <s v="No PM coverage"/>
    <s v="No PM Coverage"/>
    <s v="No PM Coverage"/>
    <s v="No PM Coverage"/>
    <s v="No PM Coverage"/>
    <s v="No PM coverage"/>
    <s v="-"/>
    <s v="Not found"/>
    <s v="RELB"/>
    <s v="Bhuvana Vanama"/>
  </r>
  <r>
    <x v="23"/>
    <s v="Infra-SRE"/>
    <s v="Ashish Kumar"/>
    <m/>
    <x v="12"/>
    <m/>
    <x v="6"/>
    <s v="No PM coverage"/>
    <s v="No PM Coverage"/>
    <s v="No PM Coverage"/>
    <s v="No PM Coverage"/>
    <s v="No PM Coverage"/>
    <s v="No PM coverage"/>
    <s v="-"/>
    <s v="Not found"/>
    <s v="RELB"/>
    <s v="Bhuvana Vanama"/>
  </r>
  <r>
    <x v="24"/>
    <s v="IOT-CD"/>
    <s v="Raja Lingam Jeeva Rethinam"/>
    <m/>
    <x v="16"/>
    <m/>
    <x v="8"/>
    <s v="Harish Manoharan"/>
    <s v="Vamsee Krishna Mullapudi"/>
    <s v="Vamsee Krishna Mullapudi"/>
    <s v="Vijayakumar B"/>
    <m/>
    <s v="Shiva Somasundaram"/>
    <s v="Venkatesh Mahalingam"/>
    <s v="IOT"/>
    <s v="IOT"/>
    <m/>
  </r>
  <r>
    <x v="24"/>
    <s v="IOT-OBD"/>
    <s v="Raja Lingam Jeeva Rethinam"/>
    <m/>
    <x v="16"/>
    <m/>
    <x v="8"/>
    <s v="Harish Manoharan"/>
    <s v="Vamsee Krishna Mullapudi"/>
    <s v="Vamsee Krishna Mullapudi"/>
    <s v="Vijayakumar B"/>
    <m/>
    <s v="Shiva Somasundaram"/>
    <s v="Venkatesh Mahalingam"/>
    <s v="IOT"/>
    <s v="IOT"/>
    <m/>
  </r>
  <r>
    <x v="24"/>
    <s v="IOT-RFID"/>
    <s v="Raja Lingam Jeeva Rethinam"/>
    <m/>
    <x v="16"/>
    <m/>
    <x v="8"/>
    <s v="Harish Manoharan"/>
    <s v="Vamsee Krishna Mullapudi"/>
    <s v="Vamsee Krishna Mullapudi"/>
    <s v="Vijayakumar B"/>
    <m/>
    <s v="Shiva Somasundaram"/>
    <s v="Venkatesh Mahalingam"/>
    <s v="IOT"/>
    <s v="IOT"/>
    <m/>
  </r>
  <r>
    <x v="24"/>
    <s v="IOT-Sharebox"/>
    <s v="Raja Lingam Jeeva Rethinam"/>
    <m/>
    <x v="16"/>
    <m/>
    <x v="8"/>
    <s v="Suhas R"/>
    <s v="Vamsee Krishna Mullapudi"/>
    <s v="Vamsee Krishna Mullapudi"/>
    <s v="Vijayakumar B"/>
    <m/>
    <s v="Shiva Somasundaram"/>
    <s v="Vidya B Halanayaka"/>
    <s v="IOT"/>
    <s v="IOT"/>
    <m/>
  </r>
  <r>
    <x v="25"/>
    <s v="DR_Ford-BNP"/>
    <s v="Dharmaraj Kartikeyan"/>
    <m/>
    <x v="17"/>
    <m/>
    <x v="8"/>
    <s v="No PM Coverage"/>
    <s v="No PM Coverage"/>
    <s v="No PM Coverage"/>
    <s v="No PM Coverage"/>
    <s v="No PM Coverage"/>
    <s v="Santosh Golecha"/>
    <s v="Satendra Jain"/>
    <s v="Not found"/>
    <m/>
    <m/>
  </r>
  <r>
    <x v="25"/>
    <s v="DR_Ford-OEM_Q2O"/>
    <s v="Dharmaraj Kartikeyan"/>
    <m/>
    <x v="17"/>
    <m/>
    <x v="8"/>
    <s v="No PM Coverage"/>
    <s v="No PM Coverage"/>
    <s v="No PM Coverage"/>
    <s v="No PM Coverage"/>
    <s v="No PM Coverage"/>
    <s v="Santosh Golecha"/>
    <s v="Satendra Jain"/>
    <s v="Not found"/>
    <m/>
    <m/>
  </r>
  <r>
    <x v="25"/>
    <s v="DR_Ford-Dealer_Q2O"/>
    <s v="Dharmaraj Kartikeyan"/>
    <m/>
    <x v="17"/>
    <m/>
    <x v="8"/>
    <s v="No PM Coverage"/>
    <s v="No PM Coverage"/>
    <s v="No PM Coverage"/>
    <s v="No PM Coverage"/>
    <s v="No PM Coverage"/>
    <s v="Santosh Golecha"/>
    <s v="Satendra Jain"/>
    <s v="Not found"/>
    <m/>
    <m/>
  </r>
  <r>
    <x v="26"/>
    <s v="AECIntegration-GMDRP"/>
    <s v="Anamik Adhikary"/>
    <m/>
    <x v="17"/>
    <m/>
    <x v="8"/>
    <s v="Abhi Thadeshwar"/>
    <s v="M Uday Kiran Reddy"/>
    <s v="M Uday Kiran Reddy"/>
    <m/>
    <m/>
    <s v="Santosh Golecha"/>
    <s v="Satendra Jain"/>
    <s v="Not found"/>
    <m/>
    <m/>
  </r>
  <r>
    <x v="26"/>
    <s v="AECIntegration-Honda"/>
    <s v="Dharmaraj Kartikeyan"/>
    <m/>
    <x v="17"/>
    <m/>
    <x v="8"/>
    <s v="Anandharaman Pattabiraman"/>
    <s v="Navnika Wason"/>
    <m/>
    <s v="Karuppiah Anburaja"/>
    <s v="Karuppiah Anburaja"/>
    <s v="Santosh Golecha"/>
    <s v="Satendra Jain"/>
    <s v="Not found"/>
    <m/>
    <m/>
  </r>
  <r>
    <x v="26"/>
    <s v="AECIntegration-Ford"/>
    <s v="Dharmaraj Kartikeyan"/>
    <m/>
    <x v="17"/>
    <m/>
    <x v="8"/>
    <s v="No PM Coverage"/>
    <s v="No PM Coverage"/>
    <s v="No PM Coverage"/>
    <s v="No PM Coverage"/>
    <s v="No PM Coverage"/>
    <s v="Santosh Golecha"/>
    <s v="Satendra Jain"/>
    <s v="Not found"/>
    <m/>
    <m/>
  </r>
  <r>
    <x v="27"/>
    <s v="L&amp;D-Knowledge_Base"/>
    <m/>
    <m/>
    <x v="18"/>
    <m/>
    <x v="9"/>
    <s v="No PM Coverage"/>
    <s v="No PM Coverage"/>
    <s v="No PM Coverage"/>
    <s v="No PM Coverage"/>
    <s v="No PM Coverage"/>
    <s v="Justin Hou"/>
    <m/>
    <s v="Not found"/>
    <m/>
    <m/>
  </r>
  <r>
    <x v="28"/>
    <s v="DR_Honda-PCX"/>
    <s v="Dharmaraj Kartikeyan"/>
    <m/>
    <x v="16"/>
    <m/>
    <x v="8"/>
    <s v="Vittal DS"/>
    <m/>
    <m/>
    <s v="Karuppiah Anburaja"/>
    <s v="Karuppiah Anburaja"/>
    <s v="Santosh Golecha"/>
    <s v="Satendra Jain"/>
    <s v="Honda PCX"/>
    <s v="AHM"/>
    <s v="Deepak Singh"/>
  </r>
  <r>
    <x v="28"/>
    <s v="DR_Honda-AEC_Integration"/>
    <s v="Dharmaraj Kartikeyan"/>
    <m/>
    <x v="16"/>
    <m/>
    <x v="8"/>
    <s v="Vittal DS"/>
    <m/>
    <m/>
    <s v="Karuppiah Anburaja"/>
    <s v="Karuppiah Anburaja"/>
    <s v="Santosh Golecha"/>
    <s v="Satendra Jain"/>
    <s v="Honda Integration"/>
    <s v="AHM"/>
    <s v="Deepak Singh"/>
  </r>
  <r>
    <x v="28"/>
    <s v="DR_Honda-DX_OMS"/>
    <s v="Dharmaraj Kartikeyan"/>
    <m/>
    <x v="16"/>
    <m/>
    <x v="8"/>
    <s v="Anandharaman Pattabiraman"/>
    <s v="Navnika Wason"/>
    <m/>
    <s v="Sandeep Bansi Jumani"/>
    <s v="Sandeep Bansi Jumani"/>
    <s v="Santosh Golecha"/>
    <s v="Satendra Jain"/>
    <s v="Honda DX"/>
    <s v="AHM"/>
    <s v="Deepak Singh"/>
  </r>
  <r>
    <x v="28"/>
    <s v="DR_Honda-Deals"/>
    <s v="Dharmaraj Kartikeyan"/>
    <m/>
    <x v="16"/>
    <m/>
    <x v="8"/>
    <s v="Anandharaman Pattabiraman"/>
    <s v="Navnika Wason"/>
    <m/>
    <s v="Sandeep Bansi Jumani"/>
    <s v="Sandeep Bansi Jumani"/>
    <s v="Santosh Golecha"/>
    <s v="Satendra Jain"/>
    <s v="Honda DX"/>
    <s v="AHM"/>
    <s v="Deepak Singh"/>
  </r>
  <r>
    <x v="28"/>
    <s v="DR_Honda-Desking"/>
    <s v="Dharmaraj Kartikeyan"/>
    <m/>
    <x v="16"/>
    <m/>
    <x v="8"/>
    <s v="Anandharaman Pattabiraman"/>
    <s v="Navnika Wason"/>
    <m/>
    <s v="Sandeep Bansi Jumani"/>
    <s v="Sandeep Bansi Jumani"/>
    <s v="Santosh Golecha"/>
    <s v="Satendra Jain"/>
    <s v="Honda DX"/>
    <s v="AHM"/>
    <s v="Deepak Singh"/>
  </r>
  <r>
    <x v="28"/>
    <s v="DR_Honda-VI"/>
    <s v="Dharmaraj Kartikeyan"/>
    <m/>
    <x v="16"/>
    <m/>
    <x v="8"/>
    <s v="Anandharaman Pattabiraman"/>
    <s v="Navnika Wason"/>
    <m/>
    <s v="Sandeep Bansi Jumani"/>
    <s v="Sandeep Bansi Jumani"/>
    <s v="Santosh Golecha"/>
    <s v="Satendra Jain"/>
    <s v="Honda DX"/>
    <s v="AHM"/>
    <s v="Deepak Singh"/>
  </r>
  <r>
    <x v="28"/>
    <s v="DR_Honda-F&amp;I"/>
    <s v="Dharmaraj Kartikeyan"/>
    <m/>
    <x v="16"/>
    <m/>
    <x v="8"/>
    <s v="Anandharaman Pattabiraman"/>
    <s v="Navnika Wason"/>
    <m/>
    <s v="Sandeep Bansi Jumani"/>
    <s v="Sandeep Bansi Jumani"/>
    <s v="Santosh Golecha"/>
    <s v="Satendra Jain"/>
    <s v="Honda DX"/>
    <s v="AHM"/>
    <s v="Deepak Singh"/>
  </r>
  <r>
    <x v="28"/>
    <s v="DR_Honda-Checkout"/>
    <s v="Dharmaraj Kartikeyan"/>
    <m/>
    <x v="16"/>
    <m/>
    <x v="8"/>
    <s v="Anandharaman Pattabiraman"/>
    <s v="Navnika Wason"/>
    <m/>
    <s v="Sandeep Bansi Jumani"/>
    <s v="Sandeep Bansi Jumani"/>
    <s v="Santosh Golecha"/>
    <s v="Satendra Jain"/>
    <s v="Honda SCX"/>
    <s v="AHM"/>
    <s v="Deepak Singh"/>
  </r>
  <r>
    <x v="28"/>
    <s v="DR_Honda-Forms"/>
    <s v="Dharmaraj Kartikeyan"/>
    <m/>
    <x v="16"/>
    <m/>
    <x v="8"/>
    <s v="Anandharaman Pattabiraman"/>
    <s v="Navnika Wason"/>
    <m/>
    <s v="Sandeep Bansi Jumani"/>
    <s v="Sandeep Bansi Jumani"/>
    <s v="Santosh Golecha"/>
    <s v="Satendra Jain"/>
    <s v="Honda DX"/>
    <s v="AHM"/>
    <s v="Deepak Singh"/>
  </r>
  <r>
    <x v="28"/>
    <s v="DR_Honda-Credit_Application"/>
    <s v="Dharmaraj Kartikeyan"/>
    <m/>
    <x v="16"/>
    <m/>
    <x v="8"/>
    <s v="Anandharaman Pattabiraman"/>
    <s v="Navnika Wason"/>
    <m/>
    <s v="Sandeep Bansi Jumani"/>
    <s v="Sandeep Bansi Jumani"/>
    <s v="Santosh Golecha"/>
    <s v="Satendra Jain"/>
    <s v="Honda DX"/>
    <s v="AHM"/>
    <s v="Deepak Singh"/>
  </r>
  <r>
    <x v="28"/>
    <s v="DR_Honda-Analytics"/>
    <s v="Dharmaraj Kartikeyan"/>
    <m/>
    <x v="16"/>
    <m/>
    <x v="8"/>
    <s v="Anandharaman Pattabiraman"/>
    <s v="Navnika Wason"/>
    <m/>
    <s v="Sandeep Bansi Jumani"/>
    <s v="Sandeep Bansi Jumani"/>
    <s v="Santosh Golecha"/>
    <s v="Satendra Jain"/>
    <s v="Honda DX"/>
    <s v="AHM"/>
    <s v="Deepak Singh"/>
  </r>
  <r>
    <x v="28"/>
    <s v="DR_Honda-Galaxy"/>
    <s v="Dharmaraj Kartikeyan"/>
    <m/>
    <x v="16"/>
    <m/>
    <x v="8"/>
    <s v="Anandharaman Pattabiraman"/>
    <s v="Navnika Wason"/>
    <m/>
    <s v="Sandeep Bansi Jumani"/>
    <s v="Sandeep Bansi Jumani"/>
    <s v="Santosh Golecha"/>
    <s v="Satendra Jain"/>
    <s v="Honda DX"/>
    <s v="AHM"/>
    <s v="Deepak Singh"/>
  </r>
  <r>
    <x v="28"/>
    <s v="DR_Honda-CMS"/>
    <s v="Dharmaraj Kartikeyan"/>
    <m/>
    <x v="16"/>
    <m/>
    <x v="8"/>
    <s v="Anandharaman Pattabiraman"/>
    <s v="Navnika Wason"/>
    <m/>
    <s v="Sandeep Bansi Jumani"/>
    <s v="Sandeep Bansi Jumani"/>
    <s v="Santosh Golecha"/>
    <s v="Satendra Jain"/>
    <s v="Honda DX"/>
    <s v="AHM"/>
    <s v="Deepak Singh"/>
  </r>
  <r>
    <x v="28"/>
    <s v="DR_Honda-eSign_Platform"/>
    <s v="Dharmaraj Kartikeyan"/>
    <m/>
    <x v="16"/>
    <m/>
    <x v="8"/>
    <s v="Anandharaman Pattabiraman"/>
    <s v="Navnika Wason"/>
    <m/>
    <s v="Sandeep Bansi Jumani"/>
    <s v="Sandeep Bansi Jumani"/>
    <s v="Santosh Golecha"/>
    <s v="Satendra Jain"/>
    <s v="Honda DX"/>
    <s v="AHM"/>
    <s v="Deepak Singh"/>
  </r>
  <r>
    <x v="28"/>
    <s v="DR_Honda-eSign_Docs"/>
    <s v="Dharmaraj Kartikeyan"/>
    <m/>
    <x v="16"/>
    <m/>
    <x v="8"/>
    <s v="Anandharaman Pattabiraman"/>
    <s v="Navnika Wason"/>
    <m/>
    <s v="Sandeep Bansi Jumani"/>
    <s v="Sandeep Bansi Jumani"/>
    <s v="Santosh Golecha"/>
    <s v="Satendra Jain"/>
    <s v="Honda DX"/>
    <s v="AHM"/>
    <s v="Deepak Singh"/>
  </r>
  <r>
    <x v="28"/>
    <s v="DR_Honda-OEM_Portal"/>
    <s v="Dharmaraj Kartikeyan"/>
    <m/>
    <x v="16"/>
    <m/>
    <x v="8"/>
    <s v="Anandharaman Pattabiraman"/>
    <s v="Navnika Wason"/>
    <m/>
    <s v="Sandeep Bansi Jumani"/>
    <s v="Sandeep Bansi Jumani"/>
    <s v="Santosh Golecha"/>
    <s v="Satendra Jain"/>
    <s v="Honda PCX"/>
    <s v="AHM"/>
    <s v="Deepak Singh"/>
  </r>
  <r>
    <x v="29"/>
    <s v="Fleet_Honda-Integration"/>
    <s v="Dharmaraj Kartikeyan"/>
    <m/>
    <x v="16"/>
    <m/>
    <x v="8"/>
    <s v="Viswanathan Pachaiyappan"/>
    <m/>
    <m/>
    <s v="Sandeep Bansi Jumani"/>
    <s v="Sandeep Bansi Jumani"/>
    <s v="Santosh Golecha"/>
    <m/>
    <s v="Honda Fleet"/>
    <s v="AHM"/>
    <s v="Deepak Singh"/>
  </r>
  <r>
    <x v="29"/>
    <s v="Fleet_Honda-Approval_Workflows"/>
    <s v="Dharmaraj Kartikeyan"/>
    <m/>
    <x v="16"/>
    <m/>
    <x v="8"/>
    <s v="Viswanathan Pachaiyappan"/>
    <m/>
    <m/>
    <s v="Sandeep Bansi Jumani"/>
    <s v="Sandeep Bansi Jumani"/>
    <s v="Santosh Golecha"/>
    <m/>
    <s v="Honda Fleet"/>
    <s v="AHM"/>
    <s v="Deepak Singh"/>
  </r>
  <r>
    <x v="29"/>
    <s v="Fleet_Honda-Forecast"/>
    <s v="Dharmaraj Kartikeyan"/>
    <m/>
    <x v="16"/>
    <m/>
    <x v="8"/>
    <s v="Viswanathan Pachaiyappan"/>
    <m/>
    <m/>
    <s v="Sandeep Bansi Jumani"/>
    <s v="Sandeep Bansi Jumani"/>
    <s v="Santosh Golecha"/>
    <m/>
    <s v="Honda Fleet"/>
    <s v="AHM"/>
    <s v="Deepak Singh"/>
  </r>
  <r>
    <x v="29"/>
    <s v="Fleet_Honda-Notification"/>
    <s v="Dharmaraj Kartikeyan"/>
    <m/>
    <x v="16"/>
    <m/>
    <x v="8"/>
    <s v="Viswanathan Pachaiyappan"/>
    <m/>
    <m/>
    <s v="Sandeep Bansi Jumani"/>
    <s v="Sandeep Bansi Jumani"/>
    <s v="Santosh Golecha"/>
    <m/>
    <s v="Honda Fleet"/>
    <s v="AHM"/>
    <s v="Deepak Singh"/>
  </r>
  <r>
    <x v="29"/>
    <s v="Fleet_Honda-Order"/>
    <s v="Dharmaraj Kartikeyan"/>
    <m/>
    <x v="16"/>
    <m/>
    <x v="8"/>
    <s v="Viswanathan Pachaiyappan"/>
    <m/>
    <m/>
    <s v="Sandeep Bansi Jumani"/>
    <s v="Sandeep Bansi Jumani"/>
    <s v="Santosh Golecha"/>
    <m/>
    <s v="Honda Fleet"/>
    <s v="AHM"/>
    <s v="Deepak Singh"/>
  </r>
  <r>
    <x v="29"/>
    <s v="Fleet_Honda-Others"/>
    <s v="Dharmaraj Kartikeyan"/>
    <m/>
    <x v="16"/>
    <m/>
    <x v="8"/>
    <s v="Viswanathan Pachaiyappan"/>
    <m/>
    <m/>
    <s v="Sandeep Bansi Jumani"/>
    <s v="Sandeep Bansi Jumani"/>
    <s v="Santosh Golecha"/>
    <m/>
    <s v="Honda Fleet"/>
    <s v="AHM"/>
    <s v="Deepak Singh"/>
  </r>
  <r>
    <x v="29"/>
    <s v="Fleet_Honda-Quote"/>
    <s v="Dharmaraj Kartikeyan"/>
    <m/>
    <x v="16"/>
    <m/>
    <x v="8"/>
    <s v="Viswanathan Pachaiyappan"/>
    <m/>
    <m/>
    <s v="Sandeep Bansi Jumani"/>
    <s v="Sandeep Bansi Jumani"/>
    <s v="Santosh Golecha"/>
    <m/>
    <s v="Honda Fleet"/>
    <s v="AHM"/>
    <s v="Deepak Singh"/>
  </r>
  <r>
    <x v="29"/>
    <s v="Fleet_Honda-Reporting_Analytics"/>
    <s v="Dharmaraj Kartikeyan"/>
    <m/>
    <x v="16"/>
    <m/>
    <x v="8"/>
    <s v="Viswanathan Pachaiyappan"/>
    <m/>
    <m/>
    <s v="Sandeep Bansi Jumani"/>
    <s v="Sandeep Bansi Jumani"/>
    <s v="Santosh Golecha"/>
    <m/>
    <s v="Honda Fleet"/>
    <s v="AHM"/>
    <s v="Deepak Singh"/>
  </r>
  <r>
    <x v="29"/>
    <s v="Fleet_Honda-Setups"/>
    <s v="Dharmaraj Kartikeyan"/>
    <m/>
    <x v="16"/>
    <m/>
    <x v="8"/>
    <s v="Viswanathan Pachaiyappan"/>
    <m/>
    <m/>
    <s v="Sandeep Bansi Jumani"/>
    <s v="Sandeep Bansi Jumani"/>
    <s v="Santosh Golecha"/>
    <m/>
    <s v="Honda Fleet"/>
    <s v="AHM"/>
    <s v="Deepak Singh"/>
  </r>
  <r>
    <x v="29"/>
    <s v="Fleet_Honda-User Access_Permissions"/>
    <s v="Dharmaraj Kartikeyan"/>
    <m/>
    <x v="16"/>
    <m/>
    <x v="8"/>
    <s v="Viswanathan Pachaiyappan"/>
    <m/>
    <m/>
    <s v="Sandeep Bansi Jumani"/>
    <s v="Sandeep Bansi Jumani"/>
    <s v="Santosh Golecha"/>
    <m/>
    <s v="Honda Fleet"/>
    <s v="AHM"/>
    <s v="Deepak Singh"/>
  </r>
  <r>
    <x v="30"/>
    <s v="OP-Setup_Mgt"/>
    <s v="Darshan R"/>
    <s v="Ashish Kumar"/>
    <x v="3"/>
    <s v="Surya Narayanan"/>
    <x v="1"/>
    <s v="Prem Bihari"/>
    <m/>
    <m/>
    <s v="Vijayakumar B"/>
    <m/>
    <s v="Shiva Somasundaram"/>
    <m/>
    <s v="Setup_Mgt"/>
    <s v="OPLT"/>
    <s v="Rahul Rathore"/>
  </r>
  <r>
    <x v="30"/>
    <s v="OP-Setup_Adoption"/>
    <s v="Darshan R"/>
    <s v="Ashish Kumar"/>
    <x v="3"/>
    <s v="Surya Narayanan"/>
    <x v="1"/>
    <s v="Prem Bihari"/>
    <m/>
    <m/>
    <s v="Vijayakumar B"/>
    <m/>
    <s v="Shiva Somasundaram"/>
    <m/>
    <s v="Setup_Adoption"/>
    <s v="OPLT"/>
    <s v="Rahul Rathore"/>
  </r>
  <r>
    <x v="30"/>
    <s v="OP-Launch_Center"/>
    <s v="Nitish Kumar"/>
    <m/>
    <x v="3"/>
    <s v="Surya Narayanan"/>
    <x v="1"/>
    <s v="Prem Bihari"/>
    <m/>
    <m/>
    <s v="Vijayakumar B"/>
    <m/>
    <s v="Shiva Somasundaram"/>
    <m/>
    <s v="Launch_Center"/>
    <s v="OPLT"/>
    <s v="Rahul Rathore"/>
  </r>
  <r>
    <x v="30"/>
    <s v="OP-MAutomation"/>
    <s v="Nitish Kumar"/>
    <m/>
    <x v="3"/>
    <s v="Surya Narayanan"/>
    <x v="1"/>
    <s v="No PM Coverage"/>
    <s v="No PM Coverage"/>
    <s v="No PM Coverage"/>
    <s v="No PM Coverage"/>
    <s v="No PM Coverage"/>
    <s v="No PM coverage"/>
    <m/>
    <s v="MAutomation"/>
    <s v="OPLT"/>
    <s v="Rahul Rathore"/>
  </r>
  <r>
    <x v="30"/>
    <s v="OP-CAutomation"/>
    <s v="Nitish Kumar"/>
    <m/>
    <x v="3"/>
    <s v="Surya Narayanan"/>
    <x v="1"/>
    <s v="No PM Coverage"/>
    <s v="No PM Coverage"/>
    <s v="No PM Coverage"/>
    <s v="No PM Coverage"/>
    <s v="No PM Coverage"/>
    <s v="No PM coverage"/>
    <m/>
    <s v="CAutomation"/>
    <s v="OPLT"/>
    <s v="Rahul Rathore"/>
  </r>
  <r>
    <x v="30"/>
    <s v="OP-GAutomation"/>
    <s v="Nitish Kumar"/>
    <m/>
    <x v="3"/>
    <s v="Surya Narayanan"/>
    <x v="1"/>
    <s v="No PM Coverage"/>
    <s v="No PM Coverage"/>
    <s v="No PM Coverage"/>
    <s v="No PM Coverage"/>
    <s v="No PM Coverage"/>
    <s v="No PM coverage"/>
    <m/>
    <s v="GAutomation"/>
    <s v="OPLT"/>
    <s v="Rahul Rathore"/>
  </r>
  <r>
    <x v="30"/>
    <s v="OP-PLG"/>
    <s v="Ashish Kumar"/>
    <s v="Ashish Kumar"/>
    <x v="3"/>
    <s v="Surya Narayanan"/>
    <x v="1"/>
    <s v="Aditya Sankrantipati, Charu Papneja"/>
    <m/>
    <m/>
    <s v="Vijayakumar B"/>
    <m/>
    <s v="Shiva Somasundaram"/>
    <m/>
    <s v="PLG"/>
    <s v="OPLT"/>
    <s v="Rahul Rathore"/>
  </r>
  <r>
    <x v="30"/>
    <s v="OP-Schema_Curator"/>
    <s v="Ashish Kumar"/>
    <s v="Ashish Kumar"/>
    <x v="3"/>
    <s v="Surya Narayanan"/>
    <x v="1"/>
    <s v="No PM Coverage"/>
    <s v="No PM Coverage"/>
    <s v="No PM Coverage"/>
    <s v="No PM Coverage"/>
    <s v="No PM Coverage"/>
    <s v="Shiva Somasundaram"/>
    <m/>
    <s v="Schema_Curator"/>
    <s v="OPLT"/>
    <s v="Rahul Rathore"/>
  </r>
  <r>
    <x v="30"/>
    <s v="OP-TAO"/>
    <s v="Nitish Kumar"/>
    <m/>
    <x v="3"/>
    <s v="Surya Narayanan"/>
    <x v="1"/>
    <s v="Prem Bihari"/>
    <m/>
    <m/>
    <s v="Vijayakumar B"/>
    <m/>
    <s v="Shiva Somasundaram"/>
    <s v="Prajna S Puthran"/>
    <s v="TAO"/>
    <s v="OPLT"/>
    <s v="Rahul Rathore"/>
  </r>
  <r>
    <x v="31"/>
    <s v="FnI-FormsPro"/>
    <s v="Trapti Mittal"/>
    <m/>
    <x v="5"/>
    <m/>
    <x v="0"/>
    <s v="Varun A"/>
    <s v="Hardik Patel"/>
    <s v="Hardik Patel"/>
    <s v="Irfan Presswala"/>
    <s v="Irfan Presswala"/>
    <s v="Satyavrat Mudgil"/>
    <s v="Rahul Mendiretta"/>
    <s v="Ganga"/>
    <s v="FNI"/>
    <s v="Srividya Mandalapu"/>
  </r>
  <r>
    <x v="31"/>
    <s v="FnI-eContracting"/>
    <s v="Ayush Dash"/>
    <s v="Ayush Dash"/>
    <x v="5"/>
    <m/>
    <x v="0"/>
    <s v="Muskan Singh"/>
    <s v="Saurabh Birla"/>
    <s v="Saurabh Birla"/>
    <s v="Irfan Presswala"/>
    <s v="Irfan Presswala"/>
    <s v="Satyavrat Mudgil"/>
    <s v="Rahul Mendiretta"/>
    <s v="Yamuna"/>
    <s v="FNI"/>
    <s v="Srividya Mandalapu"/>
  </r>
  <r>
    <x v="31"/>
    <s v="FnI-eSign_Docs"/>
    <s v="Abhijeet Singh"/>
    <m/>
    <x v="5"/>
    <m/>
    <x v="0"/>
    <s v="Yogesh Kumar"/>
    <s v="Hardik Patel"/>
    <s v="Hardik Patel"/>
    <s v="Irfan Presswala"/>
    <s v="Irfan Presswala"/>
    <s v="Satyavrat Mudgil"/>
    <s v="Rahul Mendiretta"/>
    <s v="Saryu"/>
    <s v="FNI"/>
    <s v="Srividya Mandalapu"/>
  </r>
  <r>
    <x v="31"/>
    <s v="FnI-Menu_DX"/>
    <s v="Nirupam Chakrabarti"/>
    <m/>
    <x v="5"/>
    <m/>
    <x v="0"/>
    <s v="Prakhar Gaur"/>
    <s v="Saurabh Birla"/>
    <s v="Saurabh Birla"/>
    <s v="Irfan Presswala"/>
    <s v="Irfan Presswala"/>
    <s v="Satyavrat Mudgil"/>
    <s v="Rahul Mendiretta"/>
    <s v="Godavari"/>
    <s v="FNI"/>
    <s v="Srividya Mandalapu"/>
  </r>
  <r>
    <x v="31"/>
    <s v="FnI-Menu_CX"/>
    <s v="Nirupam Chakrabarti"/>
    <m/>
    <x v="5"/>
    <m/>
    <x v="0"/>
    <s v="Ankur Dubey"/>
    <s v="Saurabh Birla"/>
    <s v="Saurabh Birla"/>
    <s v="Irfan Presswala"/>
    <s v="Irfan Presswala"/>
    <s v="Satyavrat Mudgil"/>
    <s v="Rahul Mendiretta"/>
    <s v="Godavari"/>
    <s v="FNI"/>
    <s v="Srividya Mandalapu"/>
  </r>
  <r>
    <x v="31"/>
    <s v="FnI-DFE"/>
    <s v="Ayush Dash"/>
    <m/>
    <x v="5"/>
    <m/>
    <x v="0"/>
    <s v="Mudra Surana"/>
    <s v="Saurabh Birla"/>
    <s v="Saurabh Birla"/>
    <s v="Irfan Presswala"/>
    <s v="Irfan Presswala"/>
    <s v="Satyavrat Mudgil"/>
    <s v="Rahul Mendiretta"/>
    <s v="Yamuna"/>
    <s v="FNI"/>
    <s v="Srividya Mandalapu"/>
  </r>
  <r>
    <x v="31"/>
    <s v="FnI-FI_Aggregator"/>
    <s v="Nirupam Chakrabarti"/>
    <m/>
    <x v="5"/>
    <m/>
    <x v="0"/>
    <s v="Ankur Dubey"/>
    <s v="Saurabh Birla"/>
    <s v="Saurabh Birla"/>
    <s v="Irfan Presswala"/>
    <s v="Irfan Presswala"/>
    <s v="Satyavrat Mudgil"/>
    <s v="Rahul Mendiretta"/>
    <s v="Godavari"/>
    <s v="FNI"/>
    <s v="Srividya Mandalapu"/>
  </r>
  <r>
    <x v="31"/>
    <s v="FnI-Compliance"/>
    <s v="Nirupam Chakrabarti"/>
    <m/>
    <x v="5"/>
    <m/>
    <x v="0"/>
    <s v="Muskan Singh"/>
    <s v="Saurabh Birla"/>
    <s v="Saurabh Birla"/>
    <s v="Irfan Presswala"/>
    <s v="Irfan Presswala"/>
    <s v="Satyavrat Mudgil"/>
    <s v="Rahul Mendiretta"/>
    <s v="Krishna"/>
    <s v="FNI"/>
    <s v="Srividya Mandalapu"/>
  </r>
  <r>
    <x v="32"/>
    <s v="Architecture"/>
    <s v="Raghu Edalur"/>
    <m/>
    <x v="19"/>
    <m/>
    <x v="5"/>
    <s v="No PM Coverage"/>
    <s v="No PM Coverage"/>
    <s v="No PM Coverage"/>
    <s v="No PM Coverage"/>
    <s v="No PM Coverage"/>
    <s v="No PM coverage"/>
    <m/>
    <s v="Not found"/>
    <m/>
    <m/>
  </r>
  <r>
    <x v="33"/>
    <s v="AIBDC-Agent_Application"/>
    <s v="Akshat Gupta"/>
    <m/>
    <x v="1"/>
    <m/>
    <x v="0"/>
    <s v="K Manu Mitraan"/>
    <s v="Avin Jain"/>
    <m/>
    <s v="Ashish Kalya"/>
    <m/>
    <s v="Shiva Somasundaram"/>
    <m/>
    <s v="AIBDC"/>
    <s v="AIB"/>
    <s v="Srividya Mandalapu"/>
  </r>
  <r>
    <x v="33"/>
    <s v="AIBDC-Analytics"/>
    <s v="Akshat Gupta"/>
    <m/>
    <x v="1"/>
    <m/>
    <x v="0"/>
    <s v="K Manu Mitraan"/>
    <s v="Avin Jain"/>
    <m/>
    <s v="Ashish Kalya"/>
    <m/>
    <s v="Shiva Somasundaram"/>
    <m/>
    <s v="AIBDC"/>
    <s v="AIB"/>
    <s v="Srividya Mandalapu"/>
  </r>
  <r>
    <x v="33"/>
    <s v="AIBDC-ML_Platform"/>
    <s v="Akshat Gupta"/>
    <m/>
    <x v="1"/>
    <m/>
    <x v="0"/>
    <s v="K Manu Mitraan"/>
    <s v="Avin Jain"/>
    <m/>
    <s v="Ashish Kalya"/>
    <m/>
    <s v="Shiva Somasundaram"/>
    <m/>
    <s v="AIBDC"/>
    <s v="AIB"/>
    <s v="Srividya Mandalapu"/>
  </r>
  <r>
    <x v="33"/>
    <s v="AIBDC-ML"/>
    <s v="Akshat Gupta"/>
    <m/>
    <x v="1"/>
    <m/>
    <x v="0"/>
    <s v="K Manu Mitraan"/>
    <s v="Avin Jain"/>
    <m/>
    <s v="Ashish Kalya"/>
    <m/>
    <s v="Shiva Somasundaram"/>
    <m/>
    <s v="AIBDC"/>
    <s v="AIB"/>
    <s v="Srividya Mandalapu"/>
  </r>
  <r>
    <x v="33"/>
    <s v="AIBDC-ServiceOutboundAI"/>
    <s v="Akshat Gupta"/>
    <m/>
    <x v="1"/>
    <m/>
    <x v="0"/>
    <m/>
    <m/>
    <m/>
    <m/>
    <m/>
    <s v="Shiva Somasundaram"/>
    <m/>
    <s v="Not found"/>
    <s v="AIB"/>
    <s v="Srividya Mandalapu"/>
  </r>
  <r>
    <x v="33"/>
    <s v="AIBDC-Comms"/>
    <s v="Akshat Gupta"/>
    <m/>
    <x v="1"/>
    <m/>
    <x v="0"/>
    <s v="K Manu Mitraan"/>
    <s v="Avin Jain"/>
    <m/>
    <s v="Ashish Kalya"/>
    <m/>
    <s v="Shiva Somasundaram"/>
    <m/>
    <s v="AIBDC"/>
    <s v="AIB"/>
    <s v="Srividya Mandalapu"/>
  </r>
  <r>
    <x v="34"/>
    <s v="DR_Hyundai-Deals"/>
    <s v="Dharmaraj Kartikeyan"/>
    <m/>
    <x v="16"/>
    <m/>
    <x v="8"/>
    <s v="Aishwarya Dwivedi"/>
    <m/>
    <m/>
    <m/>
    <m/>
    <s v="Santosh Golecha"/>
    <m/>
    <s v="Genesis"/>
    <s v="HYUN"/>
    <s v="Saurabh Chaurasia"/>
  </r>
  <r>
    <x v="34"/>
    <s v="DR_Hyundai-Desking"/>
    <s v="Dharmaraj Kartikeyan"/>
    <m/>
    <x v="16"/>
    <m/>
    <x v="8"/>
    <s v="Aishwarya Dwivedi"/>
    <m/>
    <m/>
    <m/>
    <m/>
    <s v="Santosh Golecha"/>
    <m/>
    <s v="Genesis"/>
    <s v="HYUN"/>
    <s v="Saurabh Chaurasia"/>
  </r>
  <r>
    <x v="34"/>
    <s v="DR_Hyundai-VI"/>
    <s v="Dharmaraj Kartikeyan"/>
    <m/>
    <x v="16"/>
    <m/>
    <x v="8"/>
    <s v="Aishwarya Dwivedi"/>
    <m/>
    <m/>
    <m/>
    <m/>
    <s v="Santosh Golecha"/>
    <m/>
    <s v="Genesis"/>
    <s v="HYUN"/>
    <s v="Saurabh Chaurasia"/>
  </r>
  <r>
    <x v="34"/>
    <s v="DR_Hyundai-F&amp;I"/>
    <s v="Dharmaraj Kartikeyan"/>
    <m/>
    <x v="16"/>
    <m/>
    <x v="8"/>
    <s v="Aishwarya Dwivedi"/>
    <m/>
    <m/>
    <m/>
    <m/>
    <s v="Santosh Golecha"/>
    <m/>
    <s v="Genesis"/>
    <s v="HYUN"/>
    <s v="Saurabh Chaurasia"/>
  </r>
  <r>
    <x v="35"/>
    <s v="IT_Team"/>
    <s v="Gowtham Sarveswaran"/>
    <m/>
    <x v="20"/>
    <m/>
    <x v="10"/>
    <s v="No PM Coverage"/>
    <s v="No PM Coverage"/>
    <s v="No PM Coverage"/>
    <s v="No PM Coverage"/>
    <s v="No PM Coverage"/>
    <s v="No PM coverage"/>
    <m/>
    <s v="Not found"/>
    <m/>
    <m/>
  </r>
  <r>
    <x v="36"/>
    <s v="VOC"/>
    <s v="Ritesh Kushwaha"/>
    <m/>
    <x v="21"/>
    <m/>
    <x v="11"/>
    <s v="No PM Coverage"/>
    <s v="No PM Coverage"/>
    <s v="No PM Coverage"/>
    <s v="No PM Coverage"/>
    <s v="No PM Coverage"/>
    <s v="No PM coverage"/>
    <m/>
    <s v="Not found"/>
    <s v="VOC"/>
    <m/>
  </r>
  <r>
    <x v="37"/>
    <s v="Security-SOC"/>
    <m/>
    <m/>
    <x v="22"/>
    <m/>
    <x v="12"/>
    <s v="No PM Coverage"/>
    <s v="No PM Coverage"/>
    <s v="No PM Coverage"/>
    <s v="No PM Coverage"/>
    <s v="No PM Coverage"/>
    <s v="No PM coverage"/>
    <m/>
    <s v="Not found"/>
    <m/>
    <s v="Girish G Pai"/>
  </r>
  <r>
    <x v="37"/>
    <s v="Security-PRODSEC"/>
    <m/>
    <m/>
    <x v="22"/>
    <m/>
    <x v="12"/>
    <s v="No PM Coverage"/>
    <s v="No PM Coverage"/>
    <s v="No PM Coverage"/>
    <s v="No PM Coverage"/>
    <s v="No PM Coverage"/>
    <s v="No PM coverage"/>
    <m/>
    <s v="Not found"/>
    <m/>
    <s v="Girish G Pai"/>
  </r>
  <r>
    <x v="37"/>
    <s v="Security-CLOUDSEC"/>
    <m/>
    <m/>
    <x v="22"/>
    <m/>
    <x v="12"/>
    <s v="No PM Coverage"/>
    <s v="No PM Coverage"/>
    <s v="No PM Coverage"/>
    <s v="No PM Coverage"/>
    <s v="No PM Coverage"/>
    <s v="No PM coverage"/>
    <m/>
    <s v="Not found"/>
    <m/>
    <s v="Girish G Pai"/>
  </r>
  <r>
    <x v="37"/>
    <s v="Security-GRC"/>
    <m/>
    <m/>
    <x v="22"/>
    <m/>
    <x v="12"/>
    <s v="No PM Coverage"/>
    <s v="No PM Coverage"/>
    <s v="No PM Coverage"/>
    <s v="No PM Coverage"/>
    <s v="No PM Coverage"/>
    <s v="No PM coverage"/>
    <m/>
    <s v="Not found"/>
    <m/>
    <s v="Girish G Pai"/>
  </r>
  <r>
    <x v="37"/>
    <s v="Security-IAM"/>
    <m/>
    <m/>
    <x v="22"/>
    <m/>
    <x v="12"/>
    <s v="No PM Coverage"/>
    <s v="No PM Coverage"/>
    <s v="No PM Coverage"/>
    <s v="No PM Coverage"/>
    <s v="No PM Coverage"/>
    <s v="No PM coverage"/>
    <m/>
    <s v="Not found"/>
    <m/>
    <s v="Girish G Pai"/>
  </r>
  <r>
    <x v="38"/>
    <s v="People_Team"/>
    <m/>
    <m/>
    <x v="23"/>
    <m/>
    <x v="13"/>
    <s v="No PM Coverage"/>
    <s v="No PM Coverage"/>
    <s v="No PM Coverage"/>
    <s v="No PM Coverage"/>
    <s v="No PM Coverage"/>
    <s v="No PM coverage"/>
    <s v="-"/>
    <s v="Not found"/>
    <m/>
    <m/>
  </r>
  <r>
    <x v="39"/>
    <s v="APEX-VDP"/>
    <s v="Chaitanya Kumar Reddy"/>
    <s v="Sunny Dev"/>
    <x v="24"/>
    <m/>
    <x v="3"/>
    <s v="Diksha Jain"/>
    <s v="Siddharth Bountra"/>
    <s v="Siddharth Bountra"/>
    <s v="Tom Jude Ammanthurutil"/>
    <m/>
    <s v="Turker Coskun"/>
    <s v="Suresha"/>
    <s v="VDP &amp; Rewrite"/>
    <s v="APEX"/>
    <s v="Nishanth Nag"/>
  </r>
  <r>
    <x v="39"/>
    <s v="APEX-R3Rewrite"/>
    <s v="Chaitanya Kumar Reddy"/>
    <s v="Sunny Dev"/>
    <x v="24"/>
    <m/>
    <x v="3"/>
    <s v="Richa Sharma"/>
    <s v="Prashant Khulbe"/>
    <s v="Hardik Patel"/>
    <s v="Irfan Presswala"/>
    <s v="Irfan Presswala"/>
    <s v="Satyavrat Mudgil"/>
    <s v="Karthikeyan V"/>
    <s v="VDP &amp; Rewrite"/>
    <s v="APEX"/>
    <s v="Nishanth Nag"/>
  </r>
  <r>
    <x v="39"/>
    <s v="APEX-Automations"/>
    <s v="Chaitanya Kumar Reddy"/>
    <s v="Sunny Dev"/>
    <x v="24"/>
    <m/>
    <x v="3"/>
    <s v="Richa Sharma"/>
    <s v="Prashant Khulbe"/>
    <s v="Hardik Patel"/>
    <s v="Irfan Presswala"/>
    <s v="Irfan Presswala"/>
    <s v="Satyavrat Mudgil"/>
    <s v="Suresha"/>
    <s v="R3, LD &amp; Automation"/>
    <s v="APEX"/>
    <s v="Nishanth Nag"/>
  </r>
  <r>
    <x v="39"/>
    <s v="APEX-Taxes"/>
    <s v="Chaitanya Kumar Reddy"/>
    <s v="Sunny Dev"/>
    <x v="24"/>
    <m/>
    <x v="3"/>
    <s v="Sireesha Yakkali"/>
    <s v="Hardik Patel"/>
    <s v="Hardik Patel"/>
    <s v="Irfan Presswala"/>
    <s v="Irfan Presswala"/>
    <s v="Satyavrat Mudgil"/>
    <s v="Suresha"/>
    <s v="Tax &amp; Fee"/>
    <s v="APEX"/>
    <s v="Nishanth Nag"/>
  </r>
  <r>
    <x v="39"/>
    <s v="APEX-Fees"/>
    <s v="Chaitanya Kumar Reddy"/>
    <s v="Sunny Dev"/>
    <x v="24"/>
    <m/>
    <x v="3"/>
    <s v="Sireesha Yakkali"/>
    <s v="Hardik Patel"/>
    <s v="Hardik Patel"/>
    <s v="Irfan Presswala"/>
    <s v="Irfan Presswala"/>
    <s v="Satyavrat Mudgil"/>
    <s v="Suresha"/>
    <s v="Tax &amp; Fee"/>
    <s v="APEX"/>
    <s v="Nishanth Nag"/>
  </r>
  <r>
    <x v="39"/>
    <s v="APEX-R3_DataPipelines"/>
    <s v="Chaitanya Kumar Reddy"/>
    <s v="Sunny Dev"/>
    <x v="24"/>
    <m/>
    <x v="3"/>
    <s v="Richa Sharma"/>
    <s v="Prashant Khulbe"/>
    <s v="Hardik Patel"/>
    <s v="Irfan Presswala"/>
    <s v="Irfan Presswala"/>
    <s v="Satyavrat Mudgil"/>
    <m/>
    <s v="R3, LD &amp; Automation"/>
    <s v="APEX"/>
    <s v="Nishanth Nag"/>
  </r>
  <r>
    <x v="39"/>
    <s v="APEX-LD"/>
    <s v="Chaitanya Kumar Reddy"/>
    <s v="Sunny Dev"/>
    <x v="24"/>
    <m/>
    <x v="3"/>
    <s v="Rajath Singh"/>
    <m/>
    <m/>
    <s v="Jason Baab"/>
    <m/>
    <s v="Justin Hou"/>
    <m/>
    <s v="R3, LD &amp; Automation"/>
    <s v="APEX"/>
    <s v="Nishanth Nag"/>
  </r>
  <r>
    <x v="39"/>
    <s v="APEX-SCP"/>
    <s v="Karthikeyan Ponnusamy"/>
    <s v="Sunny Dev"/>
    <x v="24"/>
    <m/>
    <x v="3"/>
    <s v="Eshaan Ghosh"/>
    <m/>
    <m/>
    <s v="Ashish Kalya"/>
    <m/>
    <s v="Shiva Somasundaram"/>
    <m/>
    <s v="SCP"/>
    <s v="APEX"/>
    <s v="Nishanth Nag"/>
  </r>
  <r>
    <x v="39"/>
    <s v="APEX-OEMEnhancements "/>
    <m/>
    <s v="Sunny Dev"/>
    <x v="24"/>
    <m/>
    <x v="3"/>
    <s v="Richa Sharma"/>
    <s v="Prashant Khulbe"/>
    <s v="Hardik Patel"/>
    <s v="Irfan Presswala"/>
    <s v="Irfan Presswala"/>
    <s v="Satyavrat Mudgil"/>
    <m/>
    <s v="Not found"/>
    <s v="APEX"/>
    <s v="Nishanth Nag"/>
  </r>
  <r>
    <x v="39"/>
    <s v="APEX-ADHOC"/>
    <m/>
    <s v="Sunny Dev"/>
    <x v="24"/>
    <m/>
    <x v="3"/>
    <s v="Richa Sharma"/>
    <s v="Prashant Khulbe"/>
    <s v="Hardik Patel"/>
    <s v="Irfan Presswala"/>
    <s v="Irfan Presswala"/>
    <s v="Satyavrat Mudgil"/>
    <m/>
    <s v="Not found"/>
    <s v="APEX"/>
    <s v="Nishanth Nag"/>
  </r>
  <r>
    <x v="40"/>
    <s v="ORBIT-Central"/>
    <s v="Anandhkumar Thiyagarajan"/>
    <s v="Anandhkumar Thiyagarajan"/>
    <x v="25"/>
    <s v="Jawahar Prasad"/>
    <x v="5"/>
    <s v="No PM Coverage"/>
    <s v="No PM Coverage"/>
    <s v="No PM Coverage"/>
    <s v="No PM Coverage"/>
    <s v="No PM Coverage"/>
    <s v="No PM coverage"/>
    <s v="-"/>
    <s v="Orbit Platform"/>
    <s v="ORBT"/>
    <s v="Rahul Rathore"/>
  </r>
  <r>
    <x v="40"/>
    <s v="ORBIT-Agents_Skills_Plugins"/>
    <s v="Vishal Gupta"/>
    <s v="Vishal Gupta"/>
    <x v="25"/>
    <s v="Jawahar Prasad"/>
    <x v="5"/>
    <s v="No PM Coverage"/>
    <s v="No PM Coverage"/>
    <s v="No PM Coverage"/>
    <s v="No PM Coverage"/>
    <s v="No PM Coverage"/>
    <s v="No PM coverage"/>
    <m/>
    <s v="Orbit Agents"/>
    <s v="ORBT"/>
    <s v="Rahul Rathore"/>
  </r>
  <r>
    <x v="40"/>
    <s v="ORBIT-Deep_Context"/>
    <s v="Anandhkumar Thiyagarajan"/>
    <s v="Anandhkumar Thiyagarajan"/>
    <x v="25"/>
    <s v="Jawahar Prasad"/>
    <x v="5"/>
    <s v="No PM Coverage"/>
    <s v="No PM Coverage"/>
    <s v="No PM Coverage"/>
    <s v="No PM Coverage"/>
    <s v="No PM Coverage"/>
    <s v="No PM coverage"/>
    <m/>
    <s v="Orbit Platform"/>
    <s v="ORBT"/>
    <s v="Rahul Rathore"/>
  </r>
  <r>
    <x v="40"/>
    <s v="ORBIT-AIR"/>
    <s v="Vishal Gupta"/>
    <s v="Vishal Gupta"/>
    <x v="25"/>
    <s v="Jawahar Prasad"/>
    <x v="5"/>
    <s v="No PM Coverage"/>
    <s v="No PM Coverage"/>
    <s v="No PM Coverage"/>
    <s v="No PM Coverage"/>
    <s v="No PM Coverage"/>
    <s v="No PM coverage"/>
    <m/>
    <s v="Orbit Agents"/>
    <s v="ORBT"/>
    <s v="Rahul Rathore"/>
  </r>
  <r>
    <x v="40"/>
    <s v="ORBIT-Analytics"/>
    <s v="Vishal Gupta"/>
    <s v="Vishal Gupta"/>
    <x v="25"/>
    <s v="Jawahar Prasad"/>
    <x v="5"/>
    <s v="No PM Coverage"/>
    <s v="No PM Coverage"/>
    <s v="No PM Coverage"/>
    <s v="No PM Coverage"/>
    <s v="No PM Coverage"/>
    <s v="No PM coverage"/>
    <m/>
    <s v="Orbit Agents"/>
    <s v="ORBT"/>
    <s v="Rahul Rathore"/>
  </r>
  <r>
    <x v="40"/>
    <s v="ORBIT-Q "/>
    <s v="Vishal Gupta"/>
    <s v="Vishal Gupta"/>
    <x v="25"/>
    <s v="Jawahar Prasad"/>
    <x v="5"/>
    <s v="No PM Coverage"/>
    <s v="No PM Coverage"/>
    <s v="No PM Coverage"/>
    <s v="No PM Coverage"/>
    <s v="No PM Coverage"/>
    <s v="No PM coverage"/>
    <m/>
    <s v="Orbit Agents"/>
    <s v="ORBT"/>
    <s v="Rahul Rathore"/>
  </r>
  <r>
    <x v="40"/>
    <s v="ORBIT-Paper"/>
    <s v="Anandhkumar Thiyagarajan"/>
    <s v="Anandhkumar Thiyagarajan"/>
    <x v="25"/>
    <s v="Jawahar Prasad"/>
    <x v="5"/>
    <s v="No PM Coverage"/>
    <s v="No PM Coverage"/>
    <s v="No PM Coverage"/>
    <s v="No PM Coverage"/>
    <s v="No PM Coverage"/>
    <s v="No PM coverage"/>
    <m/>
    <s v="Orbit Platform"/>
    <s v="ORBT"/>
    <s v="Rahul Rathore"/>
  </r>
  <r>
    <x v="41"/>
    <s v="SIPlatform-Core"/>
    <s v="Raghavendra Pai"/>
    <m/>
    <x v="4"/>
    <s v="Prakash Mohan"/>
    <x v="2"/>
    <s v="Darshan Srinivas"/>
    <s v="Dhanapal Mohanasamy"/>
    <m/>
    <s v="Tom Jude Ammanthurutil"/>
    <m/>
    <s v="Turker Coskun"/>
    <m/>
    <s v="SI Platform 1"/>
    <s v="SIP"/>
    <s v="Nishanth Nag"/>
  </r>
  <r>
    <x v="41"/>
    <s v="SIPlatform-Extensions"/>
    <s v="Raghavendra Pai"/>
    <m/>
    <x v="4"/>
    <s v="Prakash Mohan"/>
    <x v="2"/>
    <s v="Darshan Srinivas"/>
    <s v="Dhanapal Mohanasamy"/>
    <m/>
    <s v="Tom Jude Ammanthurutil"/>
    <m/>
    <s v="Turker Coskun"/>
    <m/>
    <s v="SI Platform 2"/>
    <s v="SIP"/>
    <s v="Nishanth Nag"/>
  </r>
  <r>
    <x v="41"/>
    <s v="SIPlatform-Configurable_UI"/>
    <s v="Raghavendra Pai"/>
    <m/>
    <x v="4"/>
    <s v="Prakash Mohan"/>
    <x v="2"/>
    <s v="Darshan Srinivas"/>
    <s v="Dhanapal Mohanasamy"/>
    <m/>
    <s v="Tom Jude Ammanthurutil"/>
    <m/>
    <s v="Turker Coskun"/>
    <m/>
    <s v="SI Platform 2"/>
    <s v="SIP"/>
    <s v="Nishanth Nag"/>
  </r>
  <r>
    <x v="41"/>
    <s v="SIPlatform-Custom_Fields"/>
    <s v="Raghavendra Pai"/>
    <m/>
    <x v="4"/>
    <s v="Prakash Mohan"/>
    <x v="2"/>
    <s v="Darshan Srinivas"/>
    <s v="Dhanapal Mohanasamy"/>
    <m/>
    <s v="Tom Jude Ammanthurutil"/>
    <m/>
    <s v="Turker Coskun"/>
    <m/>
    <s v="SI Platform 1"/>
    <s v="SIP"/>
    <s v="Nishanth Nag"/>
  </r>
  <r>
    <x v="42"/>
    <s v="TOC_Horizontal-Biz_Integrations"/>
    <s v="Thiyagu Kothandan"/>
    <m/>
    <x v="26"/>
    <m/>
    <x v="10"/>
    <m/>
    <s v="Rajavijayan"/>
    <m/>
    <s v="Srinivas Lingutla"/>
    <m/>
    <s v="Teza Mukkavilli"/>
    <s v="Jagadesh"/>
    <s v="Not found"/>
    <s v="TOC"/>
    <m/>
  </r>
  <r>
    <x v="42"/>
    <s v="TOC_Horizontal-Biz_Lite_Apps"/>
    <s v="C Sricharan"/>
    <m/>
    <x v="26"/>
    <m/>
    <x v="10"/>
    <m/>
    <m/>
    <m/>
    <s v=" "/>
    <m/>
    <s v="Teza Mukkavilli"/>
    <s v="Jagadesh"/>
    <s v="Not found"/>
    <s v="TOC"/>
    <m/>
  </r>
  <r>
    <x v="42"/>
    <s v="TOC_Horizontal-Master_Data_Management"/>
    <s v="Mahesh Kumar K R"/>
    <m/>
    <x v="26"/>
    <m/>
    <x v="10"/>
    <m/>
    <s v="Srinivas Lingutla"/>
    <m/>
    <s v="Srinivas Lingutla"/>
    <m/>
    <s v="Teza Mukkavilli"/>
    <s v="Jagadesh"/>
    <s v="Not found"/>
    <s v="TOC"/>
    <m/>
  </r>
  <r>
    <x v="42"/>
    <s v="TOC_Horizontal-Platform"/>
    <s v="Vigneshwar Nellaiyappan"/>
    <m/>
    <x v="26"/>
    <m/>
    <x v="10"/>
    <m/>
    <s v="Manohar Veera"/>
    <m/>
    <s v="Ramesh Sarabu"/>
    <m/>
    <s v="Teza Mukkavilli"/>
    <s v="Jagadesh"/>
    <s v="Not found"/>
    <s v="TOC"/>
    <m/>
  </r>
  <r>
    <x v="42"/>
    <s v="TOC_Horizontal-Biz_Data_Analytics"/>
    <s v="Siva MS"/>
    <m/>
    <x v="26"/>
    <m/>
    <x v="10"/>
    <m/>
    <s v="Manohar Veera"/>
    <m/>
    <s v="Ramesh Sarabu"/>
    <m/>
    <s v="Teza Mukkavilli"/>
    <s v=" "/>
    <s v="Not found"/>
    <s v="TOC"/>
    <m/>
  </r>
  <r>
    <x v="42"/>
    <s v="TOC_Horizontal-Performance"/>
    <s v="Aravind R"/>
    <m/>
    <x v="26"/>
    <m/>
    <x v="10"/>
    <m/>
    <m/>
    <m/>
    <m/>
    <m/>
    <s v="Teza Mukkavilli"/>
    <s v=" "/>
    <s v="Not found"/>
    <s v="TOC"/>
    <m/>
  </r>
  <r>
    <x v="42"/>
    <s v="TOC_Horizontal-Event_Campaign_Management_System_(ECMS)"/>
    <s v="C Sricharan"/>
    <m/>
    <x v="26"/>
    <m/>
    <x v="10"/>
    <m/>
    <s v="Deenan Ravindra"/>
    <m/>
    <s v="Srinivas Lingutla"/>
    <m/>
    <s v="Teza Mukkavilli"/>
    <s v=" "/>
    <s v="Not found"/>
    <s v="TOC"/>
    <m/>
  </r>
  <r>
    <x v="43"/>
    <s v="TOC-Task_Management"/>
    <s v="Nagendra Yadav"/>
    <m/>
    <x v="20"/>
    <m/>
    <x v="10"/>
    <m/>
    <s v="Deenan Ravindra"/>
    <m/>
    <s v="Srinivas Lingutla"/>
    <m/>
    <s v="Teza Mukkavilli"/>
    <s v="Sundari"/>
    <s v="Not found"/>
    <s v="TOC"/>
    <m/>
  </r>
  <r>
    <x v="43"/>
    <s v="TOC-PSA _IM_ST"/>
    <s v="Prakash Ravindran"/>
    <m/>
    <x v="20"/>
    <m/>
    <x v="10"/>
    <s v="Bharath P Narayan"/>
    <s v="Thilakgowtham T N"/>
    <m/>
    <m/>
    <m/>
    <s v="Teza Mukkavilli"/>
    <s v="Sundari"/>
    <s v="Not found"/>
    <s v="TOC"/>
    <m/>
  </r>
  <r>
    <x v="43"/>
    <s v="TOC-PSA _AEC"/>
    <s v="Micheal Rackmann"/>
    <m/>
    <x v="20"/>
    <m/>
    <x v="10"/>
    <m/>
    <s v="Thilakgowtham T N"/>
    <m/>
    <s v="Srinivas Lingutla"/>
    <m/>
    <s v="Teza Mukkavilli"/>
    <s v="Sundari"/>
    <s v="Not found"/>
    <s v="TOC"/>
    <m/>
  </r>
  <r>
    <x v="43"/>
    <s v="TOC-PSA _Timesheet"/>
    <s v="Micheal Rackmann"/>
    <m/>
    <x v="20"/>
    <m/>
    <x v="10"/>
    <s v="Shalini Shakthivel"/>
    <s v="Thilakgowtham T N"/>
    <m/>
    <m/>
    <m/>
    <s v="Teza Mukkavilli"/>
    <s v="Sundari"/>
    <s v="Not found"/>
    <s v="TOC"/>
    <m/>
  </r>
  <r>
    <x v="43"/>
    <s v="TOC-PSA_PRISM"/>
    <s v="Raj Mohan Jayakumar"/>
    <m/>
    <x v="20"/>
    <m/>
    <x v="10"/>
    <s v="Shalini Shakthivel"/>
    <s v="Thilakgowtham T N"/>
    <m/>
    <m/>
    <m/>
    <s v="Teza Mukkavilli"/>
    <s v="Siva"/>
    <s v="Not found"/>
    <s v="TOC"/>
    <m/>
  </r>
  <r>
    <x v="43"/>
    <s v="TOC-Success_AM"/>
    <s v="Surendar"/>
    <m/>
    <x v="20"/>
    <m/>
    <x v="10"/>
    <s v="Praveen G"/>
    <s v="Thilakgowtham T N"/>
    <m/>
    <m/>
    <m/>
    <s v="Teza Mukkavilli"/>
    <s v="Siva"/>
    <s v="Not found"/>
    <s v="TOC"/>
    <m/>
  </r>
  <r>
    <x v="43"/>
    <s v="TOC-PSA_DTM"/>
    <s v="Mahadeer M"/>
    <m/>
    <x v="20"/>
    <m/>
    <x v="10"/>
    <m/>
    <s v="Deenan Ravindra"/>
    <m/>
    <s v="Srinivas Lingutla"/>
    <m/>
    <s v="Teza Mukkavilli"/>
    <s v="Sundari"/>
    <s v="Not found"/>
    <s v="TOC"/>
    <m/>
  </r>
  <r>
    <x v="43"/>
    <s v="TOC-Support_Center"/>
    <s v="Srinivasan S"/>
    <m/>
    <x v="20"/>
    <m/>
    <x v="10"/>
    <s v="Keerthikumaran A, Aiswarya Ragavi S"/>
    <s v="Balaji J"/>
    <m/>
    <m/>
    <m/>
    <s v="Teza Mukkavilli"/>
    <s v="Polu Karthik"/>
    <s v="Not found"/>
    <s v="TOC"/>
    <m/>
  </r>
  <r>
    <x v="43"/>
    <s v="TOC-Support_Agent"/>
    <s v="Srinivasan S"/>
    <m/>
    <x v="20"/>
    <m/>
    <x v="10"/>
    <s v="Keerthikumaran A, Aiswarya Ragavi S"/>
    <s v="Balaji J"/>
    <m/>
    <m/>
    <m/>
    <s v="Teza Mukkavilli"/>
    <s v="Polu Karthik"/>
    <s v="Not found"/>
    <s v="TOC"/>
    <m/>
  </r>
  <r>
    <x v="43"/>
    <s v="TOC-Support_Integrations"/>
    <s v="Srinivasan S"/>
    <m/>
    <x v="20"/>
    <m/>
    <x v="10"/>
    <s v="Keerthikumaran A, Aiswarya Ragavi S"/>
    <s v="Balaji J"/>
    <m/>
    <m/>
    <m/>
    <s v="Teza Mukkavilli"/>
    <s v="Polu Karthik"/>
    <s v="Not found"/>
    <s v="TOC"/>
    <m/>
  </r>
  <r>
    <x v="43"/>
    <s v="TOC-Support_Operations"/>
    <s v="Kiruthika N"/>
    <m/>
    <x v="20"/>
    <m/>
    <x v="10"/>
    <s v="Keerthikumaran A"/>
    <s v="Balaji J"/>
    <m/>
    <m/>
    <m/>
    <s v="Teza Mukkavilli"/>
    <s v="Polu Karthik"/>
    <s v="Not found"/>
    <s v="TOC"/>
    <m/>
  </r>
  <r>
    <x v="43"/>
    <s v="TOC-Support_AI_Adoption"/>
    <s v="Srinivasan S"/>
    <m/>
    <x v="20"/>
    <m/>
    <x v="10"/>
    <s v="Aiswarya Ragavi S"/>
    <s v="Balaji J"/>
    <m/>
    <m/>
    <m/>
    <s v="Teza Mukkavilli"/>
    <s v="Polu Karthik"/>
    <s v="Not found"/>
    <s v="TOC"/>
    <m/>
  </r>
  <r>
    <x v="43"/>
    <s v="TOC-ARC"/>
    <s v="Kiruthika N"/>
    <m/>
    <x v="20"/>
    <m/>
    <x v="10"/>
    <s v="Keerthikumaran A, Aiswarya Ragavi S"/>
    <s v="Balaji J"/>
    <m/>
    <m/>
    <m/>
    <s v="Teza Mukkavilli"/>
    <s v="Polu Karthik"/>
    <s v="Not found"/>
    <s v="TOC"/>
    <m/>
  </r>
  <r>
    <x v="43"/>
    <s v="TOC-Mobile_App"/>
    <s v="Jeya kumar"/>
    <m/>
    <x v="20"/>
    <m/>
    <x v="10"/>
    <m/>
    <s v="Balaji J"/>
    <m/>
    <s v="Srinivas Lingutla"/>
    <m/>
    <s v="Teza Mukkavilli"/>
    <s v=" "/>
    <s v="Not found"/>
    <s v="TOC"/>
    <m/>
  </r>
  <r>
    <x v="43"/>
    <s v="TOC-Website"/>
    <s v="Jeya kumar"/>
    <m/>
    <x v="20"/>
    <m/>
    <x v="10"/>
    <m/>
    <s v="Praveen G"/>
    <m/>
    <s v="Srinivas Lingutla"/>
    <m/>
    <s v="Teza Mukkavilli"/>
    <s v="Jagadesh"/>
    <s v="Not found"/>
    <s v="TOC"/>
    <m/>
  </r>
  <r>
    <x v="43"/>
    <s v="TOC-SalesForce"/>
    <s v="Abhilash"/>
    <m/>
    <x v="20"/>
    <m/>
    <x v="10"/>
    <m/>
    <s v="Venkat Yennam"/>
    <m/>
    <s v="Venkat Yennam"/>
    <m/>
    <s v="Teza Mukkavilli"/>
    <s v="Jagadesh"/>
    <s v="Not found"/>
    <s v="TOC"/>
    <m/>
  </r>
  <r>
    <x v="43"/>
    <s v="TOC-Netsuite"/>
    <s v="Jayashree"/>
    <m/>
    <x v="20"/>
    <m/>
    <x v="10"/>
    <m/>
    <s v="Venkat Yennam"/>
    <m/>
    <s v="Venkat Yennam"/>
    <m/>
    <s v="Teza Mukkavilli"/>
    <s v="Jagadesh"/>
    <s v="Not found"/>
    <s v="TOC"/>
    <m/>
  </r>
  <r>
    <x v="43"/>
    <s v="TOC-Partner_Portal"/>
    <s v="Nujita Gutha"/>
    <m/>
    <x v="20"/>
    <m/>
    <x v="10"/>
    <m/>
    <s v="Thilakgowtham T N"/>
    <m/>
    <s v="Srinivas Lingutla"/>
    <m/>
    <s v="Teza Mukkavilli"/>
    <s v="Jagadesh"/>
    <s v="Not found"/>
    <s v="TOC"/>
    <m/>
  </r>
  <r>
    <x v="43"/>
    <s v="TOC-Product_Reporting"/>
    <m/>
    <m/>
    <x v="20"/>
    <m/>
    <x v="10"/>
    <m/>
    <m/>
    <m/>
    <m/>
    <m/>
    <s v="Teza Mukkavilli"/>
    <m/>
    <s v="Not found"/>
    <s v="TOC"/>
    <m/>
  </r>
  <r>
    <x v="43"/>
    <s v="TOC-Superset"/>
    <m/>
    <m/>
    <x v="20"/>
    <m/>
    <x v="10"/>
    <m/>
    <m/>
    <m/>
    <m/>
    <m/>
    <s v="Teza Mukkavilli"/>
    <m/>
    <s v="Not found"/>
    <s v="TOC"/>
    <m/>
  </r>
  <r>
    <x v="43"/>
    <s v="TOC-Role_Management"/>
    <m/>
    <m/>
    <x v="20"/>
    <m/>
    <x v="10"/>
    <m/>
    <m/>
    <m/>
    <m/>
    <m/>
    <s v="Teza Mukkavilli"/>
    <m/>
    <s v="Not found"/>
    <s v="TOC"/>
    <m/>
  </r>
  <r>
    <x v="43"/>
    <s v="TOC-Core"/>
    <m/>
    <m/>
    <x v="20"/>
    <m/>
    <x v="10"/>
    <m/>
    <m/>
    <m/>
    <m/>
    <m/>
    <s v="Teza Mukkavilli"/>
    <m/>
    <s v="Not found"/>
    <s v="TOC"/>
    <m/>
  </r>
  <r>
    <x v="44"/>
    <s v="AIE_Platform-GenAI"/>
    <m/>
    <m/>
    <x v="27"/>
    <s v="Raghu Ram Vengalil"/>
    <x v="3"/>
    <s v="Saiswaroop Konduru"/>
    <m/>
    <m/>
    <s v="Ashish Kalya"/>
    <m/>
    <s v="Shiva Somasundaram"/>
    <m/>
    <s v="AIE_Platform"/>
    <s v="AIPL"/>
    <s v="Nishanth Nag"/>
  </r>
  <r>
    <x v="44"/>
    <s v="AIE_Platform-ClassicalML"/>
    <m/>
    <m/>
    <x v="27"/>
    <s v="Raghu Ram Vengalil"/>
    <x v="3"/>
    <s v="Saiswaroop Konduru"/>
    <m/>
    <m/>
    <s v="Ashish Kalya"/>
    <m/>
    <s v="Shiva Somasundaram"/>
    <m/>
    <s v="AIE_Platform"/>
    <s v="AIPL"/>
    <s v="Nishanth Nag"/>
  </r>
  <r>
    <x v="44"/>
    <s v="AIE_Platform_ServiceAIBDC"/>
    <m/>
    <m/>
    <x v="27"/>
    <s v="Raghu Ram Vengalil"/>
    <x v="3"/>
    <s v="Aniket Chhabra"/>
    <m/>
    <m/>
    <s v="Ashish Kalya"/>
    <m/>
    <s v="Shiva Somasundaram"/>
    <m/>
    <s v="AIE_Platform"/>
    <s v="AIPL"/>
    <s v="Nishanth Nag"/>
  </r>
  <r>
    <x v="44"/>
    <s v="AIE_Platform-ServiceAgents"/>
    <m/>
    <m/>
    <x v="27"/>
    <s v="Raghu Ram Vengalil"/>
    <x v="3"/>
    <s v="Eshaan Ghosh"/>
    <m/>
    <m/>
    <s v="Ashish Kalya"/>
    <m/>
    <s v="Shiva Somasundaram"/>
    <m/>
    <s v="AIE_Platform"/>
    <s v="AIPL"/>
    <s v="Nishanth Nag"/>
  </r>
  <r>
    <x v="44"/>
    <s v="AIE_Platform-Sales"/>
    <m/>
    <m/>
    <x v="27"/>
    <s v="Raghu Ram Vengalil"/>
    <x v="3"/>
    <s v="Uday Jumle"/>
    <m/>
    <m/>
    <s v="Rashmi Prakash"/>
    <s v="Gaurav Gupta"/>
    <s v="Satyavrat Mudgil"/>
    <m/>
    <s v="AIE_Platform"/>
    <s v="AIPL"/>
    <s v="Nishanth Nag"/>
  </r>
  <r>
    <x v="44"/>
    <s v="AIE_Platform-CRMPro"/>
    <m/>
    <m/>
    <x v="27"/>
    <s v="Raghu Ram Vengalil"/>
    <x v="3"/>
    <s v="Preetiranjan Pradhan"/>
    <m/>
    <m/>
    <s v="Rashmi Prakash"/>
    <s v="Gaurav Gupta"/>
    <s v="Satyavrat Mudgil"/>
    <m/>
    <s v="AIE_Platform"/>
    <s v="AIPL"/>
    <s v="Nishanth Nag"/>
  </r>
  <r>
    <x v="44"/>
    <s v="AIE_Platform-CRMBase"/>
    <m/>
    <m/>
    <x v="27"/>
    <s v="Raghu Ram Vengalil"/>
    <x v="3"/>
    <s v="Preetiranjan Pradhan"/>
    <m/>
    <m/>
    <s v="Rashmi Prakash"/>
    <s v="Gaurav Gupta"/>
    <s v="Satyavrat Mudgil"/>
    <m/>
    <s v="AIE_Platform"/>
    <s v="AIPL"/>
    <s v="Nishanth Nag"/>
  </r>
  <r>
    <x v="44"/>
    <s v="AIE_Platform-UML"/>
    <m/>
    <m/>
    <x v="27"/>
    <s v="Raghu Ram Vengalil"/>
    <x v="3"/>
    <s v="Saiswaroop Konduru"/>
    <m/>
    <m/>
    <s v="Ashish Kalya"/>
    <m/>
    <s v="Shiva Somasundaram"/>
    <m/>
    <s v="AIE_Platform"/>
    <s v="AIPL"/>
    <s v="Nishanth Nag"/>
  </r>
  <r>
    <x v="44"/>
    <s v="AIE_Platform-T1"/>
    <m/>
    <m/>
    <x v="27"/>
    <s v="Raghu Ram Vengalil"/>
    <x v="3"/>
    <s v="Eshaan Ghosh"/>
    <m/>
    <m/>
    <s v="Ashish Kalya"/>
    <m/>
    <s v="Shiva Somasundaram"/>
    <m/>
    <s v="AIE_Platform"/>
    <s v="AIPL"/>
    <s v="Nishanth Nag"/>
  </r>
  <r>
    <x v="44"/>
    <s v="AIE_Platform-SCP"/>
    <m/>
    <m/>
    <x v="27"/>
    <s v="Raghu Ram Vengalil"/>
    <x v="3"/>
    <s v="Eshaan Ghosh"/>
    <m/>
    <m/>
    <s v="Ashish Kalya"/>
    <m/>
    <s v="Shiva Somasundaram"/>
    <m/>
    <s v="AIE_Platform"/>
    <s v="AIPL"/>
    <s v="Nishanth Nag"/>
  </r>
  <r>
    <x v="45"/>
    <s v="DR_GM-VSR"/>
    <s v="Sumit Kumar Bansal"/>
    <s v="Sumit Kumar Bansal"/>
    <x v="28"/>
    <s v="Manoj Kansal"/>
    <x v="8"/>
    <s v="Laura Howard"/>
    <s v="Sasi Sekaran Chandra Leela"/>
    <s v="Sasi Sekaran Chandra Leela"/>
    <m/>
    <m/>
    <s v="Santosh Golecha"/>
    <s v="Satendra Jain"/>
    <s v="VSR, FE Platform"/>
    <s v="GM"/>
    <s v="Preeti Anandan"/>
  </r>
  <r>
    <x v="45"/>
    <s v="DR_GM-FE_Platform"/>
    <s v="Sumit Kumar Bansal"/>
    <s v="Sumit Kumar Bansal"/>
    <x v="28"/>
    <s v="Manoj Kansal"/>
    <x v="8"/>
    <s v="Laura Howard"/>
    <s v="Sasi Sekaran Chandra Leela"/>
    <s v="Sasi Sekaran Chandra Leela"/>
    <m/>
    <m/>
    <s v="Santosh Golecha"/>
    <s v="Satendra Jain"/>
    <s v="VSR, FE Platform"/>
    <s v="GM"/>
    <s v="Preeti Anandan"/>
  </r>
  <r>
    <x v="45"/>
    <s v="DR_GM-VDP"/>
    <s v="Sumit Kumar Bansal"/>
    <s v="Sumit Kumar Bansal"/>
    <x v="28"/>
    <s v="Manoj Kansal"/>
    <x v="8"/>
    <s v="Ankur Priyam"/>
    <s v="M Uday Kiran Reddy"/>
    <s v="M Uday Kiran Reddy"/>
    <m/>
    <m/>
    <s v="Santosh Golecha"/>
    <s v="Satendra Jain"/>
    <s v="VDP"/>
    <s v="GM"/>
    <s v="Preeti Anandan"/>
  </r>
  <r>
    <x v="45"/>
    <s v="DR_GM-LeadForms"/>
    <s v="Sumit Kumar Bansal"/>
    <s v="Sumit Kumar Bansal"/>
    <x v="28"/>
    <s v="Manoj Kansal"/>
    <x v="8"/>
    <s v="Ankur Priyam"/>
    <s v="M Uday Kiran Reddy"/>
    <s v="M Uday Kiran Reddy"/>
    <m/>
    <m/>
    <s v="Santosh Golecha"/>
    <s v="Satendra Jain"/>
    <s v="VDP"/>
    <s v="GM"/>
    <s v="Preeti Anandan"/>
  </r>
  <r>
    <x v="45"/>
    <s v="DR_GM-Configurator"/>
    <s v="Naveen S"/>
    <s v="Sumit Kumar Bansal"/>
    <x v="28"/>
    <s v="Manoj Kansal"/>
    <x v="8"/>
    <s v="Mohammad Furqan Mir"/>
    <s v="M Uday Kiran Reddy"/>
    <s v="M Uday Kiran Reddy"/>
    <m/>
    <m/>
    <s v="Santosh Golecha"/>
    <s v="Satendra Jain"/>
    <s v="Configurator"/>
    <s v="GM"/>
    <s v="Preeti Anandan"/>
  </r>
  <r>
    <x v="45"/>
    <s v="DR_GM-Myaccounts"/>
    <s v="Sumit Kumar Bansal"/>
    <s v="Sumit Kumar Bansal"/>
    <x v="28"/>
    <s v="Manoj Kansal"/>
    <x v="8"/>
    <s v="Laura Howard"/>
    <s v="Sasi Sekaran Chandra Leela"/>
    <s v="Sasi Sekaran Chandra Leela"/>
    <m/>
    <m/>
    <s v="Santosh Golecha"/>
    <s v="Satendra Jain"/>
    <s v="My Accounts"/>
    <s v="GM"/>
    <s v="Preeti Anandan"/>
  </r>
  <r>
    <x v="45"/>
    <s v="DR_GM-Appointments"/>
    <s v="Sumit Kumar Bansal"/>
    <s v="Sumit Kumar Bansal"/>
    <x v="28"/>
    <s v="Manoj Kansal"/>
    <x v="8"/>
    <s v="Laura Howard"/>
    <s v="Sasi Sekaran Chandra Leela"/>
    <s v="Sasi Sekaran Chandra Leela"/>
    <m/>
    <m/>
    <s v="Santosh Golecha"/>
    <s v="Satendra Jain"/>
    <s v="My Accounts"/>
    <s v="GM"/>
    <s v="Preeti Anandan"/>
  </r>
  <r>
    <x v="45"/>
    <s v="DR_GM-WebsiteSetup"/>
    <s v="Naveen S"/>
    <s v="Sumit Kumar Bansal"/>
    <x v="28"/>
    <s v="Manoj Kansal"/>
    <x v="8"/>
    <s v="Mohammad Furqan Mir"/>
    <s v="M Uday Kiran Reddy"/>
    <s v="M Uday Kiran Reddy"/>
    <m/>
    <m/>
    <s v="Santosh Golecha"/>
    <s v="Satendra Jain"/>
    <s v="Configurator"/>
    <s v="GM"/>
    <s v="Preeti Anandan"/>
  </r>
  <r>
    <x v="45"/>
    <s v="DR_GM-Ingestion_Discovery"/>
    <s v="Ankur Jain"/>
    <s v="Sumit Kumar Bansal"/>
    <x v="28"/>
    <s v="Manoj Kansal"/>
    <x v="8"/>
    <s v="Laura Howard"/>
    <s v="Sasi Sekaran Chandra Leela"/>
    <s v="Sasi Sekaran Chandra Leela"/>
    <m/>
    <m/>
    <s v="Santosh Golecha"/>
    <s v="Satendra Jain"/>
    <s v="Discovery &amp; Ingestion"/>
    <s v="GM"/>
    <s v="Preeti Anandan"/>
  </r>
  <r>
    <x v="45"/>
    <s v="DR_GM-OMS"/>
    <s v="Ankur Jain"/>
    <s v="Sumit Kumar Bansal"/>
    <x v="28"/>
    <s v="Manoj Kansal"/>
    <x v="8"/>
    <s v="Ankur Priyam"/>
    <s v="M Uday Kiran Reddy"/>
    <s v="M Uday Kiran Reddy"/>
    <m/>
    <m/>
    <s v="Santosh Golecha"/>
    <s v="Satendra Jain"/>
    <s v="OMS &amp; Pricing"/>
    <s v="GM"/>
    <s v="Preeti Anandan"/>
  </r>
  <r>
    <x v="45"/>
    <s v="DR_GM-Pricing"/>
    <s v="Ankur Jain"/>
    <s v="Sumit Kumar Bansal"/>
    <x v="28"/>
    <s v="Manoj Kansal"/>
    <x v="8"/>
    <s v="Ankur Priyam"/>
    <s v="M Uday Kiran Reddy"/>
    <s v="M Uday Kiran Reddy"/>
    <m/>
    <m/>
    <s v="Santosh Golecha"/>
    <s v="Satendra Jain"/>
    <s v="OMS &amp; Pricing"/>
    <s v="GM"/>
    <s v="Preeti Anandan"/>
  </r>
  <r>
    <x v="45"/>
    <s v="DR_GM-CustomApps_IC"/>
    <s v="Hunny Mittal"/>
    <m/>
    <x v="28"/>
    <s v="Manoj Kansal"/>
    <x v="8"/>
    <s v="Amit Bahedia"/>
    <s v="M Uday Kiran Reddy"/>
    <s v="M Uday Kiran Reddy"/>
    <m/>
    <m/>
    <s v="Santosh Golecha"/>
    <s v="Satendra Jain"/>
    <s v="DX (1.0 Salescloud and 2.0 Custom Apps)"/>
    <s v="GM"/>
    <s v="Preeti Anandan"/>
  </r>
  <r>
    <x v="45"/>
    <s v="DR_GM-CustomApps_VI"/>
    <s v="Hunny Mittal"/>
    <m/>
    <x v="28"/>
    <s v="Manoj Kansal"/>
    <x v="8"/>
    <s v="Simran L"/>
    <s v="Akshay Gupta"/>
    <s v="M Uday Kiran Reddy"/>
    <m/>
    <m/>
    <s v="Santosh Golecha"/>
    <s v="Satendra Jain"/>
    <s v="DX (1.0 Salescloud and 2.0 Custom Apps)"/>
    <s v="GM"/>
    <s v="Preeti Anandan"/>
  </r>
  <r>
    <x v="45"/>
    <s v="DR_GM-CustomApps_CS"/>
    <s v="Hunny Mittal"/>
    <m/>
    <x v="28"/>
    <s v="Manoj Kansal"/>
    <x v="8"/>
    <s v="Mohammad Furqan Mir"/>
    <s v="M Uday Kiran Reddy"/>
    <s v="M Uday Kiran Reddy"/>
    <m/>
    <m/>
    <s v="Santosh Golecha"/>
    <s v="Satendra Jain"/>
    <s v="DX (1.0 Salescloud and 2.0 Custom Apps)"/>
    <s v="GM"/>
    <s v="Preeti Anandan"/>
  </r>
  <r>
    <x v="45"/>
    <s v="DR_GM-CustomApps_Setups"/>
    <s v="Hunny Mittal"/>
    <m/>
    <x v="28"/>
    <s v="Manoj Kansal"/>
    <x v="8"/>
    <s v="Amit Bahedia"/>
    <s v="M Uday Kiran Reddy"/>
    <s v="M Uday Kiran Reddy"/>
    <m/>
    <m/>
    <s v="Santosh Golecha"/>
    <s v="Satendra Jain"/>
    <s v="DX (1.0 Salescloud and 2.0 Custom Apps)"/>
    <s v="GM"/>
    <s v="Preeti Anandan"/>
  </r>
  <r>
    <x v="45"/>
    <s v="DR_GM-SCX_V2"/>
    <s v="Hunny Mittal"/>
    <m/>
    <x v="28"/>
    <s v="Manoj Kansal"/>
    <x v="8"/>
    <s v="Ankur Priyam"/>
    <s v="M Uday Kiran Reddy"/>
    <s v="M Uday Kiran Reddy"/>
    <m/>
    <m/>
    <s v="Santosh Golecha"/>
    <s v="Satendra Jain"/>
    <s v="SCX (1.0 and 2.0)"/>
    <s v="GM"/>
    <s v="Preeti Anandan"/>
  </r>
  <r>
    <x v="45"/>
    <s v="DR_GM-SC_IC_VI"/>
    <s v="Hunny Mittal"/>
    <m/>
    <x v="28"/>
    <s v="Manoj Kansal"/>
    <x v="8"/>
    <s v="Amit Bahedia"/>
    <s v="M Uday Kiran Reddy"/>
    <s v="M Uday Kiran Reddy"/>
    <m/>
    <m/>
    <s v="Santosh Golecha"/>
    <s v="Satendra Jain"/>
    <s v="DX (1.0 Salescloud and 2.0 Custom Apps)"/>
    <s v="GM"/>
    <s v="Preeti Anandan"/>
  </r>
  <r>
    <x v="45"/>
    <s v="DR_GM-SC_F&amp;I_Forms"/>
    <s v="Hunny Mittal"/>
    <m/>
    <x v="28"/>
    <s v="Manoj Kansal"/>
    <x v="8"/>
    <s v="Amit Bahedia"/>
    <s v="M Uday Kiran Reddy"/>
    <s v="M Uday Kiran Reddy"/>
    <m/>
    <m/>
    <s v="Santosh Golecha"/>
    <s v="Satendra Jain"/>
    <s v="DX (1.0 Salescloud and 2.0 Custom Apps)"/>
    <s v="GM"/>
    <s v="Preeti Anandan"/>
  </r>
  <r>
    <x v="45"/>
    <s v="DR_GM-SC_Pricing"/>
    <s v="Hunny Mittal"/>
    <m/>
    <x v="28"/>
    <s v="Manoj Kansal"/>
    <x v="8"/>
    <s v="Simran L"/>
    <s v="Akshay Gupta"/>
    <s v="M Uday Kiran Reddy"/>
    <m/>
    <m/>
    <s v="Santosh Golecha"/>
    <s v="Satendra Jain"/>
    <s v="DX (1.0 Salescloud and 2.0 Custom Apps)"/>
    <s v="GM"/>
    <s v="Preeti Anandan"/>
  </r>
  <r>
    <x v="45"/>
    <s v="DR_GM-SC_Deals"/>
    <s v="Hunny Mittal"/>
    <m/>
    <x v="28"/>
    <s v="Manoj Kansal"/>
    <x v="8"/>
    <s v="Simran L"/>
    <s v="Akshay Gupta"/>
    <s v="M Uday Kiran Reddy"/>
    <m/>
    <m/>
    <s v="Santosh Golecha"/>
    <s v="Satendra Jain"/>
    <s v="DX (1.0 Salescloud and 2.0 Custom Apps)"/>
    <s v="GM"/>
    <s v="Preeti Anandan"/>
  </r>
  <r>
    <x v="45"/>
    <s v="DR_GM-SCX_V1"/>
    <s v="Hunny Mittal"/>
    <m/>
    <x v="28"/>
    <s v="Manoj Kansal"/>
    <x v="8"/>
    <s v="Ankur Priyam"/>
    <s v="M Uday Kiran Reddy"/>
    <s v="M Uday Kiran Reddy"/>
    <m/>
    <m/>
    <s v="Santosh Golecha"/>
    <s v="Satendra Jain"/>
    <s v="SCX (1.0 and 2.0)"/>
    <s v="GM"/>
    <s v="Preeti Anandan"/>
  </r>
  <r>
    <x v="45"/>
    <s v="DR_GM-Int_V1"/>
    <s v="Sumit Kumar Bansal"/>
    <s v="Sumit Kumar Bansal"/>
    <x v="28"/>
    <s v="Manoj Kansal"/>
    <x v="8"/>
    <s v="Abhi Thadeshwar"/>
    <s v="Sasi Sekaran Chandra Leela"/>
    <s v="M Uday Kiran Reddy"/>
    <m/>
    <m/>
    <s v="Santosh Golecha"/>
    <s v="Satendra Jain"/>
    <s v="GM Integrations (1.0 and 2.0)"/>
    <s v="GM"/>
    <s v="Preeti Anandan"/>
  </r>
  <r>
    <x v="45"/>
    <s v="DR_GM-Int_V2"/>
    <s v="Sumit Kumar Bansal"/>
    <s v="Sumit Kumar Bansal"/>
    <x v="28"/>
    <s v="Manoj Kansal"/>
    <x v="8"/>
    <s v="Abhi Thadeshwar"/>
    <s v="Sasi Sekaran Chandra Leela"/>
    <s v="M Uday Kiran Reddy"/>
    <m/>
    <m/>
    <s v="Santosh Golecha"/>
    <s v="Satendra Jain"/>
    <s v="GM Integrations (1.0 and 2.0)"/>
    <s v="GM"/>
    <s v="Preeti Anandan"/>
  </r>
  <r>
    <x v="45"/>
    <s v="DR_GM-CustomApps_POQ"/>
    <s v="Hunny Mittal"/>
    <m/>
    <x v="28"/>
    <s v="Manoj Kansal"/>
    <x v="8"/>
    <s v="Marichetty Venkata Teja Vaibhav"/>
    <s v="M Uday Kiran Reddy"/>
    <s v="M Uday Kiran Reddy"/>
    <m/>
    <m/>
    <s v="Santosh Golecha"/>
    <s v="Satendra Jain"/>
    <s v="OEM - D360 + Analytics"/>
    <s v="GM"/>
    <s v="Preeti Anandan"/>
  </r>
  <r>
    <x v="45"/>
    <s v="DR_GM-CustomApps_PI"/>
    <s v="Hunny Mittal"/>
    <m/>
    <x v="28"/>
    <s v="Manoj Kansal"/>
    <x v="8"/>
    <s v="Marichetty Venkata Teja Vaibhav"/>
    <s v="M Uday Kiran Reddy"/>
    <s v="M Uday Kiran Reddy"/>
    <m/>
    <m/>
    <s v="Santosh Golecha"/>
    <s v="Satendra Jain"/>
    <s v="Not found"/>
    <s v="GM"/>
    <s v="Preeti Anandan"/>
  </r>
  <r>
    <x v="45"/>
    <s v="DR_GM-CustomApps_D360"/>
    <s v="Hunny Mittal"/>
    <m/>
    <x v="28"/>
    <s v="Manoj Kansal"/>
    <x v="8"/>
    <s v="Marichetty Venkata Teja Vaibhav"/>
    <s v="M Uday Kiran Reddy"/>
    <s v="M Uday Kiran Reddy"/>
    <m/>
    <m/>
    <s v="Santosh Golecha"/>
    <s v="Satendra Jain"/>
    <s v="OEM - D360 + Analytics"/>
    <s v="GM"/>
    <s v="Preeti Anandan"/>
  </r>
  <r>
    <x v="45"/>
    <s v="DR_GM-CustomApps_Reports"/>
    <s v="Hunny Mittal"/>
    <m/>
    <x v="28"/>
    <s v="Manoj Kansal"/>
    <x v="8"/>
    <s v="Marichetty Venkata Teja Vaibhav"/>
    <s v="M Uday Kiran Reddy"/>
    <s v="M Uday Kiran Reddy"/>
    <m/>
    <m/>
    <s v="Santosh Golecha"/>
    <s v="Satendra Jain"/>
    <s v="OEM - D360 + Analytics"/>
    <s v="GM"/>
    <s v="Preeti Anandan"/>
  </r>
  <r>
    <x v="45"/>
    <s v="DR_GM-CustomApps_Platform"/>
    <s v="Hunny Mittal"/>
    <m/>
    <x v="28"/>
    <s v="Manoj Kansal"/>
    <x v="8"/>
    <s v="Marichetty Venkata Teja Vaibhav"/>
    <s v="M Uday Kiran Reddy"/>
    <s v="M Uday Kiran Reddy"/>
    <m/>
    <m/>
    <s v="Santosh Golecha"/>
    <s v="Satendra Jain"/>
    <s v="OEM - D360 + Analytics"/>
    <s v="GM"/>
    <s v="Preeti Anandan"/>
  </r>
  <r>
    <x v="45"/>
    <s v="DR_GM-Analytics_2.0"/>
    <s v="Hunny Mittal"/>
    <m/>
    <x v="28"/>
    <s v="Manoj Kansal"/>
    <x v="8"/>
    <s v="Amit Bahedia"/>
    <s v="M Uday Kiran Reddy"/>
    <s v="M Uday Kiran Reddy"/>
    <m/>
    <m/>
    <s v="Santosh Golecha"/>
    <s v="Satendra Jain"/>
    <s v="OEM - D360 + Analytics"/>
    <s v="GM"/>
    <s v="Preeti Anandan"/>
  </r>
  <r>
    <x v="45"/>
    <s v="DR_GM-Custom_Emails"/>
    <s v="Hunny Mittal"/>
    <m/>
    <x v="28"/>
    <s v="Manoj Kansal"/>
    <x v="8"/>
    <s v="Mohammad Furqan Mir"/>
    <s v="M Uday Kiran Reddy"/>
    <s v="M Uday Kiran Reddy"/>
    <m/>
    <m/>
    <s v="Santosh Golecha"/>
    <s v="Satendra Jain"/>
    <s v="OEM - D360 + Analytics"/>
    <s v="GM"/>
    <s v="Preeti Anandan"/>
  </r>
  <r>
    <x v="45"/>
    <s v="DR_GM-Sales Cloud Platform"/>
    <s v="Hunny Mittal"/>
    <m/>
    <x v="28"/>
    <s v="Manoj Kansal"/>
    <x v="8"/>
    <s v="Amit Bahedia"/>
    <s v="M Uday Kiran Reddy"/>
    <s v="M Uday Kiran Reddy"/>
    <m/>
    <m/>
    <s v="Santosh Golecha"/>
    <s v="Satendra Jain"/>
    <s v="OEM - D360 + Analytics"/>
    <s v="GM"/>
    <s v="Preeti Anandan"/>
  </r>
  <r>
    <x v="45"/>
    <s v="DR_GM-Sales_Cloud_CRM"/>
    <s v="Hunny Mittal"/>
    <m/>
    <x v="28"/>
    <s v="Manoj Kansal"/>
    <x v="8"/>
    <s v="Simran L"/>
    <s v="Akshay Gupta"/>
    <s v="M Uday Kiran Reddy"/>
    <m/>
    <m/>
    <s v="Santosh Golecha"/>
    <s v="Satendra Jain"/>
    <s v="OEM - D360 + Analytics"/>
    <s v="GM"/>
    <s v="Preeti Anandan"/>
  </r>
  <r>
    <x v="45"/>
    <s v="DR_GM-AEO_GEO"/>
    <s v="Sumit Kumar Bansal"/>
    <s v="Sumit Kumar Bansal"/>
    <x v="28"/>
    <s v="Manoj Kansal"/>
    <x v="8"/>
    <s v="Ankur Priyam"/>
    <s v="M Uday Kiran Reddy"/>
    <s v="M Uday Kiran Reddy"/>
    <m/>
    <m/>
    <s v="Santosh Golecha"/>
    <s v="Satendra Jain"/>
    <s v="AEO-GEO"/>
    <s v="GM"/>
    <s v="Preeti Anandan"/>
  </r>
  <r>
    <x v="45"/>
    <s v="DR_GM-OEM_Agentic_AI"/>
    <m/>
    <m/>
    <x v="28"/>
    <s v="Manoj Kansal"/>
    <x v="8"/>
    <s v="Ankur Priyam"/>
    <s v="M Uday Kiran Reddy"/>
    <s v="M Uday Kiran Reddy"/>
    <m/>
    <m/>
    <s v="Santosh Golecha"/>
    <s v="Satendra Jain"/>
    <s v="OEM Agentic AI"/>
    <s v="GM"/>
    <s v="Preeti Anandan"/>
  </r>
  <r>
    <x v="45"/>
    <s v="DR_GM-DRP_Integrations"/>
    <s v="Sumit Kumar Bansal"/>
    <s v="Sumit Kumar Bansal"/>
    <x v="28"/>
    <s v="Manoj Kansal"/>
    <x v="8"/>
    <s v="Abhi Thadeshwar"/>
    <s v="Sasi Sekaran Chandra Leela"/>
    <s v="M Uday Kiran Reddy"/>
    <m/>
    <m/>
    <s v="Santosh Golecha"/>
    <s v="Satendra Jain"/>
    <s v="GM Integrations (1.0 and 2.0)"/>
    <s v="GM"/>
    <s v="Preeti Anandan"/>
  </r>
  <r>
    <x v="45"/>
    <s v="DR_GM-3rd_Party_Chat_Integration"/>
    <s v="Hunny Mittal"/>
    <m/>
    <x v="28"/>
    <s v="Manoj Kansal"/>
    <x v="8"/>
    <s v="Mohammad Furqan Mir"/>
    <s v="M Uday Kiran Reddy"/>
    <s v="M Uday Kiran Reddy"/>
    <m/>
    <m/>
    <s v="Santosh Golecha"/>
    <s v="Satendra Jain"/>
    <s v="3rd Party Chat Integrations"/>
    <s v="GM"/>
    <s v="Preeti Anandan"/>
  </r>
  <r>
    <x v="45"/>
    <s v="DR_GM-Observability"/>
    <s v="Sumit Kumar Bansal"/>
    <s v="Sumit Kumar Bansal"/>
    <x v="28"/>
    <s v="Manoj Kansal"/>
    <x v="8"/>
    <s v="Ankur Priyam"/>
    <s v="M Uday Kiran Reddy"/>
    <s v="M Uday Kiran Reddy"/>
    <m/>
    <m/>
    <s v="Santosh Golecha"/>
    <s v="Satendra Jain"/>
    <s v="Not found"/>
    <s v="GM"/>
    <s v="Preeti Anandan"/>
  </r>
  <r>
    <x v="46"/>
    <s v="AIE_Core-Vision"/>
    <m/>
    <m/>
    <x v="27"/>
    <s v="Raghu Ram Vengalil"/>
    <x v="3"/>
    <s v="Eshaan Ghosh"/>
    <m/>
    <m/>
    <s v="Ashish Kalya"/>
    <m/>
    <s v="Shiva Somasundaram"/>
    <m/>
    <s v="Not found"/>
    <s v="AIPL"/>
    <s v="Nishanth Nag"/>
  </r>
  <r>
    <x v="46"/>
    <s v="AIE_Core-ServiceAIBDC"/>
    <m/>
    <m/>
    <x v="27"/>
    <s v="Raghu Ram Vengalil"/>
    <x v="3"/>
    <s v="Aniket Chhabra"/>
    <m/>
    <m/>
    <s v="Ashish Kalya"/>
    <m/>
    <s v="Shiva Somasundaram"/>
    <m/>
    <s v="AIE-Service"/>
    <s v="AIPL"/>
    <s v="Nishanth Nag"/>
  </r>
  <r>
    <x v="46"/>
    <s v="AIE_Core-ServiceAgents"/>
    <m/>
    <m/>
    <x v="27"/>
    <s v="Raghu Ram Vengalil"/>
    <x v="3"/>
    <s v="Eshaan Ghosh"/>
    <m/>
    <m/>
    <s v="Ashish Kalya"/>
    <m/>
    <s v="Shiva Somasundaram"/>
    <m/>
    <s v="AIE-Service"/>
    <s v="AIPL"/>
    <s v="Nishanth Nag"/>
  </r>
  <r>
    <x v="46"/>
    <s v="AIE_Core-Sales"/>
    <m/>
    <m/>
    <x v="27"/>
    <s v="Raghu Ram Vengalil"/>
    <x v="3"/>
    <s v="Uday Jumle"/>
    <m/>
    <m/>
    <s v="Rashmi Prakash"/>
    <s v="Gaurav Gupta"/>
    <s v="Satyavrat Mudgil"/>
    <m/>
    <s v="AIE-Retail"/>
    <s v="AIPL"/>
    <s v="Nishanth Nag"/>
  </r>
  <r>
    <x v="46"/>
    <s v="AIE_Core-CRMPro"/>
    <m/>
    <m/>
    <x v="27"/>
    <s v="Raghu Ram Vengalil"/>
    <x v="3"/>
    <s v="Preetiranjan Pradhan"/>
    <m/>
    <m/>
    <s v="Rashmi Prakash"/>
    <s v="Gaurav Gupta"/>
    <s v="Satyavrat Mudgil"/>
    <m/>
    <s v="AIE-Retail"/>
    <s v="AIPL"/>
    <s v="Nishanth Nag"/>
  </r>
  <r>
    <x v="46"/>
    <s v="AIE_Core-CRMBase"/>
    <m/>
    <m/>
    <x v="27"/>
    <s v="Raghu Ram Vengalil"/>
    <x v="3"/>
    <s v="Preetiranjan Pradhan"/>
    <m/>
    <m/>
    <s v="Rashmi Prakash"/>
    <s v="Gaurav Gupta"/>
    <s v="Satyavrat Mudgil"/>
    <m/>
    <s v="AIE-Retail"/>
    <s v="AIPL"/>
    <s v="Nishanth Nag"/>
  </r>
  <r>
    <x v="46"/>
    <s v="AIE_Core-UML"/>
    <m/>
    <m/>
    <x v="27"/>
    <s v="Raghu Ram Vengalil"/>
    <x v="3"/>
    <s v="Saiswaroop Konduru"/>
    <m/>
    <m/>
    <s v="Ashish Kalya"/>
    <m/>
    <s v="Shiva Somasundaram"/>
    <m/>
    <s v="AIE-Generic"/>
    <s v="AIPL"/>
    <s v="Nishanth Nag"/>
  </r>
  <r>
    <x v="46"/>
    <s v="AIE_Core-RnD"/>
    <m/>
    <m/>
    <x v="27"/>
    <s v="Raghu Ram Vengalil"/>
    <x v="3"/>
    <s v="Saiswaroop Konduru"/>
    <m/>
    <m/>
    <s v="Ashish Kalya"/>
    <m/>
    <s v="Shiva Somasundaram"/>
    <m/>
    <s v="AIE-Generic"/>
    <s v="AIPL"/>
    <s v="Nishanth Nag"/>
  </r>
  <r>
    <x v="46"/>
    <s v="AIE_Core-ServiceOutboundAI"/>
    <m/>
    <m/>
    <x v="27"/>
    <s v="Raghu Ram Vengalil"/>
    <x v="3"/>
    <s v="Shivani Jakhmola"/>
    <s v="Aniket Chhabra"/>
    <s v="Aniket Chhabra"/>
    <s v="Ashish Kalya"/>
    <m/>
    <s v="Shiva Somasundaram"/>
    <m/>
    <s v="AIE-Service"/>
    <s v="AIPL"/>
    <s v="Nishanth Nag"/>
  </r>
  <r>
    <x v="46"/>
    <s v="AIE_Core-Adhoc"/>
    <m/>
    <m/>
    <x v="27"/>
    <s v="Raghu Ram Vengalil"/>
    <x v="3"/>
    <s v="Saiswaroop Konduru"/>
    <s v="Aniket Chhabra"/>
    <s v="Aniket Chhabra"/>
    <s v="Ashish Kalya"/>
    <m/>
    <s v="Shiva Somasundaram"/>
    <m/>
    <s v="AIE-Generic"/>
    <s v="AIPL"/>
    <s v="Nishanth Nag"/>
  </r>
  <r>
    <x v="46"/>
    <s v="AIE_Core-SCP"/>
    <m/>
    <m/>
    <x v="27"/>
    <s v="Raghu Ram Vengalil"/>
    <x v="3"/>
    <s v="Eshaan Ghosh"/>
    <s v="Aniket Chhabra"/>
    <s v="Aniket Chhabra"/>
    <s v="Ashish Kalya"/>
    <m/>
    <s v="Shiva Somasundaram"/>
    <m/>
    <s v="AIE-Generic"/>
    <s v="AIPL"/>
    <s v="Nishanth Nag"/>
  </r>
  <r>
    <x v="46"/>
    <s v="AIE_Core-T1"/>
    <m/>
    <m/>
    <x v="27"/>
    <s v="Raghu Ram Vengalil"/>
    <x v="3"/>
    <s v="Shourya Shukla"/>
    <m/>
    <m/>
    <s v="Ashish Kalya"/>
    <m/>
    <s v="Shiva Somasundaram"/>
    <m/>
    <s v="Not found"/>
    <s v="AIPL"/>
    <s v="Nishanth Nag"/>
  </r>
  <r>
    <x v="47"/>
    <s v="AI_Core-ServiceAgents"/>
    <m/>
    <s v="Shivendra Kumar"/>
    <x v="24"/>
    <s v="Raghu Ram Vengalil"/>
    <x v="3"/>
    <s v="Eshaan Ghosh"/>
    <m/>
    <m/>
    <s v="Ashish Kalya"/>
    <m/>
    <s v="Shiva Somasundaram"/>
    <m/>
    <s v="AI-Service"/>
    <s v="AI"/>
    <s v="Nishanth Nag"/>
  </r>
  <r>
    <x v="47"/>
    <s v="AI_Core-ServiceAIBDC"/>
    <m/>
    <s v="Shivendra Kumar"/>
    <x v="24"/>
    <s v="Raghu Ram Vengalil"/>
    <x v="3"/>
    <s v="Shivani Jakhmola"/>
    <s v="Aniket Chhabra"/>
    <s v="Aniket Chhabra"/>
    <s v="Ashish Kalya"/>
    <m/>
    <s v="Shiva Somasundaram"/>
    <m/>
    <s v="AI-Service"/>
    <s v="AI"/>
    <s v="Nishanth Nag"/>
  </r>
  <r>
    <x v="47"/>
    <s v="AI_Core-CRMBase"/>
    <m/>
    <s v="Shivendra Kumar"/>
    <x v="24"/>
    <s v="Raghu Ram Vengalil"/>
    <x v="3"/>
    <s v="Preetiranjan Pradhan"/>
    <m/>
    <m/>
    <s v="Rashmi Prakash"/>
    <s v="Gaurav Gupta"/>
    <s v="Satyavrat Mudgil"/>
    <m/>
    <s v="AI-Retail"/>
    <s v="AI"/>
    <s v="Nishanth Nag"/>
  </r>
  <r>
    <x v="47"/>
    <s v="AI_Core-Sales"/>
    <m/>
    <s v="Shivendra Kumar"/>
    <x v="24"/>
    <s v="Raghu Ram Vengalil"/>
    <x v="3"/>
    <s v="Uday Jumle"/>
    <m/>
    <m/>
    <s v="Rashmi Prakash"/>
    <s v="Gaurav Gupta"/>
    <s v="Satyavrat Mudgil"/>
    <m/>
    <s v="AI-Retail"/>
    <s v="AI"/>
    <s v="Nishanth Nag"/>
  </r>
  <r>
    <x v="47"/>
    <s v="AI_Core-CRMPro"/>
    <m/>
    <s v="Shivendra Kumar"/>
    <x v="24"/>
    <s v="Raghu Ram Vengalil"/>
    <x v="3"/>
    <s v="Preetiranjan Pradhan"/>
    <m/>
    <m/>
    <s v="Rashmi Prakash"/>
    <s v="Gaurav Gupta"/>
    <s v="Satyavrat Mudgil"/>
    <m/>
    <s v="AI-Retail"/>
    <s v="AI"/>
    <s v="Nishanth Nag"/>
  </r>
  <r>
    <x v="47"/>
    <s v="AI_Core-UML"/>
    <m/>
    <s v="Shivendra Kumar"/>
    <x v="24"/>
    <s v="Raghu Ram Vengalil"/>
    <x v="3"/>
    <s v="Saiswaroop Konduru"/>
    <m/>
    <m/>
    <s v="Ashish Kalya"/>
    <m/>
    <s v="Shiva Somasundaram"/>
    <m/>
    <s v="AI-Generic"/>
    <s v="AI"/>
    <s v="Nishanth Nag"/>
  </r>
  <r>
    <x v="47"/>
    <s v="AI_Core-RnD"/>
    <m/>
    <s v="Shivendra Kumar"/>
    <x v="24"/>
    <s v="Raghu Ram Vengalil"/>
    <x v="3"/>
    <s v="Saiswaroop Konduru"/>
    <m/>
    <m/>
    <s v="Ashish Kalya"/>
    <m/>
    <s v="Shiva Somasundaram"/>
    <m/>
    <s v="AI-Generic"/>
    <s v="AI"/>
    <s v="Nishanth Nag"/>
  </r>
  <r>
    <x v="47"/>
    <s v="AI_Core-Adhoc"/>
    <m/>
    <s v="Shivendra Kumar"/>
    <x v="24"/>
    <s v="Raghu Ram Vengalil"/>
    <x v="3"/>
    <s v="Saiswaroop Konduru"/>
    <m/>
    <m/>
    <s v="Ashish Kalya"/>
    <m/>
    <s v="Shiva Somasundaram"/>
    <m/>
    <s v="AI-Generic"/>
    <s v="AI"/>
    <s v="Nishanth Nag"/>
  </r>
  <r>
    <x v="47"/>
    <s v="AI_Core-SCP"/>
    <m/>
    <s v="Shivendra Kumar"/>
    <x v="24"/>
    <s v="Raghu Ram Vengalil"/>
    <x v="3"/>
    <s v="Eshaan Ghosh"/>
    <m/>
    <m/>
    <s v="Ashish Kalya"/>
    <m/>
    <s v="Shiva Somasundaram"/>
    <m/>
    <s v="AI-SCP"/>
    <s v="AI"/>
    <s v="Nishanth Nag"/>
  </r>
  <r>
    <x v="47"/>
    <s v="AI_Core-ServiceOutboundAI"/>
    <m/>
    <s v="Shivendra Kumar"/>
    <x v="24"/>
    <s v="Raghu Ram Vengalil"/>
    <x v="3"/>
    <s v="Shivani Jakhmola"/>
    <s v="Aniket Chhabra"/>
    <s v="Aniket Chhabra"/>
    <s v="Ashish Kalya"/>
    <m/>
    <s v="Shiva Somasundaram"/>
    <m/>
    <s v="AI-Service"/>
    <s v="AI"/>
    <s v="Nishanth Nag"/>
  </r>
  <r>
    <x v="47"/>
    <s v="AI_Core-T1"/>
    <m/>
    <s v="Shivendra Kumar"/>
    <x v="24"/>
    <s v="Raghu Ram Vengalil"/>
    <x v="3"/>
    <s v="Shourya Shukla"/>
    <m/>
    <m/>
    <s v="Ashish Kalya"/>
    <m/>
    <s v="Shiva Somasundaram"/>
    <m/>
    <s v="Not found"/>
    <s v="AI"/>
    <s v="Nishanth Nag"/>
  </r>
  <r>
    <x v="47"/>
    <s v="AI_Core-Vision"/>
    <m/>
    <s v="Shivendra Kumar"/>
    <x v="24"/>
    <s v="Raghu Ram Vengalil"/>
    <x v="3"/>
    <s v="Eshaan Ghosh"/>
    <m/>
    <m/>
    <s v="Ashish Kalya"/>
    <m/>
    <s v="Shiva Somasundaram"/>
    <m/>
    <s v="Not found"/>
    <s v="AI"/>
    <s v="Nishanth Nag"/>
  </r>
  <r>
    <x v="48"/>
    <s v="Professional_Services"/>
    <m/>
    <m/>
    <x v="29"/>
    <m/>
    <x v="7"/>
    <s v="No PM Coverage"/>
    <s v="No PM Coverage"/>
    <s v="No PM Coverage"/>
    <s v="No PM Coverage"/>
    <s v="No PM Coverage"/>
    <s v="No PM coverage"/>
    <m/>
    <s v="Not found"/>
    <m/>
    <m/>
  </r>
  <r>
    <x v="49"/>
    <s v="T1-Platform"/>
    <s v="Vishal Gupta"/>
    <s v="Vishal Gupta"/>
    <x v="25"/>
    <s v="Jawahar Prasad"/>
    <x v="5"/>
    <s v="Satya Prasad Pamula"/>
    <s v="Swetha Sundarraj"/>
    <m/>
    <s v="Ashish Kalya"/>
    <m/>
    <s v="Shiva Somasundaram"/>
    <s v="Anil Kumar GK"/>
    <s v="T1 Scrum"/>
    <s v="T1PL"/>
    <s v="Rahul Rathore"/>
  </r>
  <r>
    <x v="49"/>
    <s v="T1-Tools"/>
    <s v="Vishal Gupta"/>
    <s v="Vishal Gupta"/>
    <x v="25"/>
    <s v="Jawahar Prasad"/>
    <x v="5"/>
    <s v="Satya Prasad Pamula"/>
    <s v="Swetha Sundarraj"/>
    <m/>
    <s v="Ashish Kalya"/>
    <m/>
    <s v="Shiva Somasundaram"/>
    <s v="Anil Kumar GK"/>
    <s v="T1 Scrum"/>
    <s v="T1PL"/>
    <s v="Rahul Rathore"/>
  </r>
  <r>
    <x v="49"/>
    <s v="T1-Skills"/>
    <s v="Vishal Gupta"/>
    <s v="Vishal Gupta"/>
    <x v="25"/>
    <s v="Jawahar Prasad"/>
    <x v="5"/>
    <s v="Satya Prasad Pamula"/>
    <s v="Swetha Sundarraj"/>
    <m/>
    <s v="Ashish Kalya"/>
    <m/>
    <s v="Shiva Somasundaram"/>
    <s v="Anil Kumar GK"/>
    <s v="T1 Scrum"/>
    <s v="T1PL"/>
    <s v="Rahul Rathore"/>
  </r>
  <r>
    <x v="50"/>
    <s v="AEPlatform-Core"/>
    <s v="Anamik Adhikary"/>
    <m/>
    <x v="30"/>
    <m/>
    <x v="8"/>
    <s v="Shruti Agarwal"/>
    <s v="M Uday Kiran Reddy"/>
    <s v="M Uday Kiran Reddy"/>
    <m/>
    <m/>
    <s v="Santosh Golecha"/>
    <s v="Satendra Kumar Jain"/>
    <s v="AEP Core"/>
    <s v="AEP"/>
    <s v="Avin Chandra"/>
  </r>
  <r>
    <x v="50"/>
    <s v="AEPlatform-Platform"/>
    <s v="Anamik Adhikary"/>
    <m/>
    <x v="30"/>
    <m/>
    <x v="8"/>
    <s v="Shruti Agarwal"/>
    <s v="M Uday Kiran Reddy"/>
    <s v="M Uday Kiran Reddy"/>
    <m/>
    <m/>
    <s v="Santosh Golecha"/>
    <s v="Satendra Kumar Jain"/>
    <s v="AEP Core"/>
    <s v="AEP"/>
    <s v="Avin Chandra"/>
  </r>
  <r>
    <x v="50"/>
    <s v="AEPlatform-Retail"/>
    <s v="Anamik Adhikary"/>
    <m/>
    <x v="30"/>
    <m/>
    <x v="8"/>
    <s v="Srijata Chakraborty"/>
    <s v="M Uday Kiran Reddy"/>
    <s v="M Uday Kiran Reddy"/>
    <m/>
    <m/>
    <s v="Santosh Golecha"/>
    <s v="Satendra Kumar Jain"/>
    <s v="AEP Retail"/>
    <s v="AEP"/>
    <s v="Avin Chandra"/>
  </r>
  <r>
    <x v="50"/>
    <s v="AEPlatform-Galaxy"/>
    <s v="Anamik Adhikary"/>
    <m/>
    <x v="30"/>
    <m/>
    <x v="8"/>
    <s v="Srijata Chakraborty"/>
    <s v="M Uday Kiran Reddy"/>
    <s v="M Uday Kiran Reddy"/>
    <m/>
    <m/>
    <s v="Santosh Golecha"/>
    <s v="Satendra Kumar Jain"/>
    <s v="AEP Retail"/>
    <s v="AEP"/>
    <s v="Avin Chandra"/>
  </r>
  <r>
    <x v="50"/>
    <s v="AEPlatform-FNI"/>
    <s v="Anamik Adhikary"/>
    <m/>
    <x v="30"/>
    <m/>
    <x v="8"/>
    <s v="John Gonsalves"/>
    <s v="M Uday Kiran Reddy"/>
    <s v="M Uday Kiran Reddy"/>
    <m/>
    <m/>
    <s v="Santosh Golecha"/>
    <s v="Satendra Kumar Jain"/>
    <s v="AEP Retail"/>
    <s v="AEP"/>
    <s v="Avin Chandra"/>
  </r>
  <r>
    <x v="50"/>
    <s v="AEPlatform-CRM"/>
    <s v="Anamik Adhikary"/>
    <m/>
    <x v="30"/>
    <m/>
    <x v="8"/>
    <s v="John Gonsalves"/>
    <s v="M Uday Kiran Reddy"/>
    <s v="M Uday Kiran Reddy"/>
    <m/>
    <m/>
    <s v="Santosh Golecha"/>
    <s v="Satendra Kumar Jain"/>
    <s v="AEP Retail"/>
    <s v="AEP"/>
    <s v="Avin Chandra"/>
  </r>
  <r>
    <x v="50"/>
    <s v="AEPlatform-DR"/>
    <s v="Anamik Adhikary"/>
    <m/>
    <x v="30"/>
    <m/>
    <x v="8"/>
    <s v="Shruti Agarwal"/>
    <s v="M Uday Kiran Reddy"/>
    <s v="M Uday Kiran Reddy"/>
    <m/>
    <m/>
    <s v="Santosh Golecha"/>
    <s v="Satendra Kumar Jain"/>
    <s v="AEP Checkout"/>
    <s v="AEP"/>
    <s v="Avin Chandra"/>
  </r>
  <r>
    <x v="50"/>
    <s v="AEPlatform-Chat"/>
    <s v="Hunny Mittal"/>
    <m/>
    <x v="30"/>
    <m/>
    <x v="8"/>
    <s v="Shruti Agarwal"/>
    <s v="M Uday Kiran Reddy"/>
    <s v="M Uday Kiran Reddy"/>
    <m/>
    <m/>
    <s v="Santosh Golecha"/>
    <s v="Satendra Kumar Jain"/>
    <s v="AEP Chat"/>
    <s v="AEP"/>
    <s v="Avin Chandra"/>
  </r>
  <r>
    <x v="50"/>
    <s v="AEPlatform-eSign_Platform"/>
    <s v="Anamik Adhikary"/>
    <m/>
    <x v="30"/>
    <m/>
    <x v="8"/>
    <s v="John Gonsalves"/>
    <s v="M Uday Kiran Reddy"/>
    <s v="M Uday Kiran Reddy"/>
    <m/>
    <m/>
    <s v="Santosh Golecha"/>
    <s v="Satendra Kumar Jain"/>
    <s v="AEP Retail"/>
    <s v="AEP"/>
    <s v="Avin Chandra"/>
  </r>
  <r>
    <x v="50"/>
    <s v="AEPlatform-Cashiering"/>
    <s v="Anamik Adhikary"/>
    <m/>
    <x v="30"/>
    <m/>
    <x v="8"/>
    <s v="John Gonsalves"/>
    <s v="M Uday Kiran Reddy"/>
    <s v="M Uday Kiran Reddy"/>
    <m/>
    <m/>
    <s v="Santosh Golecha"/>
    <s v="Satendra Kumar Jain"/>
    <s v="Not found"/>
    <s v="AEP"/>
    <s v="Avin Chandra"/>
  </r>
  <r>
    <x v="50"/>
    <s v="AEPlatform-AEC_Integration"/>
    <s v="Anamik Adhikary"/>
    <m/>
    <x v="30"/>
    <m/>
    <x v="8"/>
    <s v="Srijata Chakraborty"/>
    <s v="M Uday Kiran Reddy"/>
    <s v="M Uday Kiran Reddy"/>
    <m/>
    <m/>
    <s v="Santosh Golecha"/>
    <s v="Satendra Kumar Jain"/>
    <s v="Not found"/>
    <s v="AEP"/>
    <s v="Avin Chandra"/>
  </r>
  <r>
    <x v="50"/>
    <s v="AEPlatform-Dealer_Onboarding"/>
    <m/>
    <m/>
    <x v="30"/>
    <m/>
    <x v="8"/>
    <s v="John Gonsalves"/>
    <s v="M Uday Kiran Reddy"/>
    <s v="M Uday Kiran Reddy"/>
    <m/>
    <m/>
    <s v="Santosh Golecha"/>
    <m/>
    <s v="Not found"/>
    <s v="AEP"/>
    <s v="Avin Chandra"/>
  </r>
  <r>
    <x v="51"/>
    <s v="Data_Services-VDP"/>
    <m/>
    <m/>
    <x v="31"/>
    <m/>
    <x v="3"/>
    <s v="Diksha Jain"/>
    <s v="Siddharth Bountra"/>
    <s v="Siddharth Bountra"/>
    <s v="Tom Jude Ammanthurutil"/>
    <m/>
    <s v="Turker Coskun"/>
    <m/>
    <s v="Not found"/>
    <s v="APEX"/>
    <s v="Nishanth Nag"/>
  </r>
  <r>
    <x v="51"/>
    <s v="Data_Services-R3"/>
    <m/>
    <m/>
    <x v="31"/>
    <m/>
    <x v="3"/>
    <s v="Richa Sharma"/>
    <s v="Prashant Khulbe"/>
    <s v="Hardik Patel"/>
    <s v="Irfan Presswala"/>
    <s v="Irfan Presswala"/>
    <s v="Satyavrat Mudgil"/>
    <m/>
    <s v="Not found"/>
    <s v="APEX"/>
    <s v="Nishanth Nag"/>
  </r>
  <r>
    <x v="51"/>
    <s v="Data_Services-Taxes"/>
    <m/>
    <m/>
    <x v="31"/>
    <m/>
    <x v="3"/>
    <s v="Sireesha Yakkali"/>
    <s v="Hardik Patel"/>
    <s v="Hardik Patel"/>
    <s v="Irfan Presswala"/>
    <s v="Irfan Presswala"/>
    <s v="Satyavrat Mudgil"/>
    <m/>
    <s v="Not found"/>
    <s v="APEX"/>
    <s v="Nishanth Nag"/>
  </r>
  <r>
    <x v="51"/>
    <s v="Data_Services-Fees"/>
    <m/>
    <m/>
    <x v="31"/>
    <m/>
    <x v="3"/>
    <s v="Sireesha Yakkali"/>
    <s v="Hardik Patel"/>
    <s v="Hardik Patel"/>
    <s v="Irfan Presswala"/>
    <s v="Irfan Presswala"/>
    <s v="Satyavrat Mudgil"/>
    <m/>
    <s v="Not found"/>
    <s v="APEX"/>
    <s v="Nishanth Nag"/>
  </r>
  <r>
    <x v="51"/>
    <s v="Data_Services-SCP"/>
    <m/>
    <m/>
    <x v="31"/>
    <m/>
    <x v="3"/>
    <s v="Raghav Madhok"/>
    <s v="Rishabh Dassani"/>
    <m/>
    <s v="Alok Joshi"/>
    <s v="Alok Joshi"/>
    <s v="Satyavrat Mudgil"/>
    <m/>
    <s v="Not found"/>
    <s v="APEX"/>
    <s v="Nishanth Nag"/>
  </r>
  <r>
    <x v="52"/>
    <s v="AMC-Platform"/>
    <m/>
    <m/>
    <x v="30"/>
    <m/>
    <x v="8"/>
    <s v="Anurag Hazarika"/>
    <s v="M Uday Kiran Reddy"/>
    <s v="M Uday Kiran Reddy"/>
    <m/>
    <m/>
    <s v="Saurabh Pandey"/>
    <m/>
    <s v="AMC"/>
    <s v="AMC"/>
    <m/>
  </r>
  <r>
    <x v="53"/>
    <m/>
    <m/>
    <m/>
    <x v="23"/>
    <m/>
    <x v="1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FAD26D-614E-4D38-988A-C920D7062468}" name="PivotTable5"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58" firstHeaderRow="1" firstDataRow="1" firstDataCol="3"/>
  <pivotFields count="17">
    <pivotField axis="axisRow" compact="0" outline="0" showAll="0" defaultSubtotal="0">
      <items count="54">
        <item x="9"/>
        <item x="26"/>
        <item x="50"/>
        <item x="47"/>
        <item x="33"/>
        <item x="46"/>
        <item x="44"/>
        <item x="21"/>
        <item x="18"/>
        <item x="39"/>
        <item x="3"/>
        <item x="32"/>
        <item x="5"/>
        <item x="1"/>
        <item x="12"/>
        <item x="2"/>
        <item x="0"/>
        <item x="51"/>
        <item x="22"/>
        <item x="19"/>
        <item x="20"/>
        <item x="25"/>
        <item x="45"/>
        <item x="28"/>
        <item x="34"/>
        <item x="11"/>
        <item x="29"/>
        <item x="31"/>
        <item x="6"/>
        <item x="16"/>
        <item x="23"/>
        <item x="24"/>
        <item x="35"/>
        <item x="27"/>
        <item x="30"/>
        <item x="40"/>
        <item x="14"/>
        <item x="10"/>
        <item x="15"/>
        <item x="38"/>
        <item x="17"/>
        <item x="48"/>
        <item x="8"/>
        <item x="37"/>
        <item x="13"/>
        <item x="41"/>
        <item x="49"/>
        <item x="7"/>
        <item x="43"/>
        <item x="42"/>
        <item x="36"/>
        <item x="4"/>
        <item x="53"/>
        <item x="52"/>
      </items>
    </pivotField>
    <pivotField dataField="1" compact="0" outline="0" showAll="0" defaultSubtotal="0"/>
    <pivotField compact="0" outline="0" showAll="0" defaultSubtotal="0"/>
    <pivotField compact="0" outline="0" showAll="0" defaultSubtotal="0"/>
    <pivotField axis="axisRow" compact="0" outline="0" showAll="0" defaultSubtotal="0">
      <items count="38">
        <item x="30"/>
        <item x="10"/>
        <item x="9"/>
        <item x="16"/>
        <item x="14"/>
        <item x="15"/>
        <item x="0"/>
        <item x="31"/>
        <item x="5"/>
        <item x="7"/>
        <item x="21"/>
        <item x="25"/>
        <item x="22"/>
        <item x="6"/>
        <item x="1"/>
        <item x="18"/>
        <item x="28"/>
        <item x="11"/>
        <item x="4"/>
        <item m="1" x="33"/>
        <item x="19"/>
        <item m="1" x="36"/>
        <item x="26"/>
        <item m="1" x="37"/>
        <item x="17"/>
        <item x="24"/>
        <item x="12"/>
        <item m="1" x="32"/>
        <item x="29"/>
        <item m="1" x="35"/>
        <item x="20"/>
        <item x="23"/>
        <item x="2"/>
        <item x="3"/>
        <item m="1" x="34"/>
        <item x="13"/>
        <item x="27"/>
        <item x="8"/>
      </items>
    </pivotField>
    <pivotField compact="0" outline="0" showAll="0" defaultSubtotal="0"/>
    <pivotField axis="axisRow" compact="0" outline="0" showAll="0" defaultSubtotal="0">
      <items count="16">
        <item x="9"/>
        <item x="1"/>
        <item x="12"/>
        <item x="11"/>
        <item x="5"/>
        <item x="8"/>
        <item x="4"/>
        <item x="3"/>
        <item m="1" x="15"/>
        <item x="7"/>
        <item x="10"/>
        <item x="0"/>
        <item x="6"/>
        <item x="14"/>
        <item x="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6"/>
    <field x="4"/>
    <field x="0"/>
  </rowFields>
  <rowItems count="56">
    <i>
      <x/>
      <x v="15"/>
      <x v="33"/>
    </i>
    <i>
      <x v="1"/>
      <x v="32"/>
      <x v="8"/>
    </i>
    <i r="2">
      <x v="10"/>
    </i>
    <i r="1">
      <x v="33"/>
      <x v="34"/>
    </i>
    <i r="2">
      <x v="51"/>
    </i>
    <i>
      <x v="2"/>
      <x v="12"/>
      <x v="43"/>
    </i>
    <i>
      <x v="3"/>
      <x v="10"/>
      <x v="50"/>
    </i>
    <i>
      <x v="4"/>
      <x v="11"/>
      <x v="35"/>
    </i>
    <i r="2">
      <x v="46"/>
    </i>
    <i r="1">
      <x v="17"/>
      <x v="29"/>
    </i>
    <i r="1">
      <x v="20"/>
      <x v="11"/>
    </i>
    <i>
      <x v="5"/>
      <x/>
      <x v="2"/>
    </i>
    <i r="2">
      <x v="53"/>
    </i>
    <i r="1">
      <x v="3"/>
      <x v="23"/>
    </i>
    <i r="2">
      <x v="24"/>
    </i>
    <i r="2">
      <x v="26"/>
    </i>
    <i r="2">
      <x v="31"/>
    </i>
    <i r="1">
      <x v="16"/>
      <x v="22"/>
    </i>
    <i r="1">
      <x v="24"/>
      <x v="1"/>
    </i>
    <i r="2">
      <x v="21"/>
    </i>
    <i>
      <x v="6"/>
      <x v="1"/>
      <x v="38"/>
    </i>
    <i r="1">
      <x v="2"/>
      <x v="36"/>
    </i>
    <i r="1">
      <x v="9"/>
      <x/>
    </i>
    <i r="2">
      <x v="14"/>
    </i>
    <i r="2">
      <x v="25"/>
    </i>
    <i r="2">
      <x v="37"/>
    </i>
    <i r="1">
      <x v="37"/>
      <x v="44"/>
    </i>
    <i>
      <x v="7"/>
      <x v="4"/>
      <x v="7"/>
    </i>
    <i r="1">
      <x v="7"/>
      <x v="17"/>
    </i>
    <i r="1">
      <x v="18"/>
      <x v="12"/>
    </i>
    <i r="1">
      <x v="25"/>
      <x v="3"/>
    </i>
    <i r="2">
      <x v="9"/>
    </i>
    <i r="1">
      <x v="35"/>
      <x v="19"/>
    </i>
    <i r="1">
      <x v="36"/>
      <x v="5"/>
    </i>
    <i r="2">
      <x v="6"/>
    </i>
    <i>
      <x v="9"/>
      <x v="5"/>
      <x v="18"/>
    </i>
    <i r="1">
      <x v="28"/>
      <x v="41"/>
    </i>
    <i>
      <x v="10"/>
      <x v="22"/>
      <x v="49"/>
    </i>
    <i r="1">
      <x v="30"/>
      <x v="32"/>
    </i>
    <i r="2">
      <x v="48"/>
    </i>
    <i>
      <x v="11"/>
      <x v="6"/>
      <x v="13"/>
    </i>
    <i r="2">
      <x v="16"/>
    </i>
    <i r="1">
      <x v="8"/>
      <x v="27"/>
    </i>
    <i r="2">
      <x v="28"/>
    </i>
    <i r="2">
      <x v="47"/>
    </i>
    <i r="1">
      <x v="13"/>
      <x v="42"/>
    </i>
    <i r="1">
      <x v="14"/>
      <x v="4"/>
    </i>
    <i r="2">
      <x v="15"/>
    </i>
    <i r="2">
      <x v="20"/>
    </i>
    <i>
      <x v="12"/>
      <x v="26"/>
      <x v="30"/>
    </i>
    <i r="2">
      <x v="40"/>
    </i>
    <i>
      <x v="13"/>
      <x v="31"/>
      <x v="52"/>
    </i>
    <i>
      <x v="14"/>
      <x v="18"/>
      <x v="12"/>
    </i>
    <i r="2">
      <x v="45"/>
    </i>
    <i>
      <x v="15"/>
      <x v="31"/>
      <x v="39"/>
    </i>
    <i t="grand">
      <x/>
    </i>
  </rowItems>
  <colItems count="1">
    <i/>
  </colItems>
  <dataFields count="1">
    <dataField name="Count of Sub-component" fld="1" subtotal="count" baseField="0" baseItem="0"/>
  </dataFields>
  <formats count="148">
    <format dxfId="452">
      <pivotArea field="6" type="button" dataOnly="0" labelOnly="1" outline="0" axis="axisRow" fieldPosition="0"/>
    </format>
    <format dxfId="453">
      <pivotArea field="4" type="button" dataOnly="0" labelOnly="1" outline="0" axis="axisRow" fieldPosition="1"/>
    </format>
    <format dxfId="454">
      <pivotArea field="0" type="button" dataOnly="0" labelOnly="1" outline="0" axis="axisRow" fieldPosition="2"/>
    </format>
    <format dxfId="455">
      <pivotArea dataOnly="0" labelOnly="1" outline="0" axis="axisValues" fieldPosition="0"/>
    </format>
    <format dxfId="456">
      <pivotArea outline="0" fieldPosition="0">
        <references count="1">
          <reference field="6" count="1" selected="0" defaultSubtotal="1">
            <x v="0"/>
          </reference>
        </references>
      </pivotArea>
    </format>
    <format dxfId="457">
      <pivotArea dataOnly="0" labelOnly="1" outline="0" fieldPosition="0">
        <references count="1">
          <reference field="6" count="1" defaultSubtotal="1">
            <x v="0"/>
          </reference>
        </references>
      </pivotArea>
    </format>
    <format dxfId="458">
      <pivotArea outline="0" fieldPosition="0">
        <references count="1">
          <reference field="6" count="1" selected="0" defaultSubtotal="1">
            <x v="1"/>
          </reference>
        </references>
      </pivotArea>
    </format>
    <format dxfId="459">
      <pivotArea dataOnly="0" labelOnly="1" outline="0" fieldPosition="0">
        <references count="1">
          <reference field="6" count="1" defaultSubtotal="1">
            <x v="1"/>
          </reference>
        </references>
      </pivotArea>
    </format>
    <format dxfId="460">
      <pivotArea outline="0" fieldPosition="0">
        <references count="1">
          <reference field="6" count="1" selected="0" defaultSubtotal="1">
            <x v="2"/>
          </reference>
        </references>
      </pivotArea>
    </format>
    <format dxfId="461">
      <pivotArea dataOnly="0" labelOnly="1" outline="0" fieldPosition="0">
        <references count="1">
          <reference field="6" count="1" defaultSubtotal="1">
            <x v="2"/>
          </reference>
        </references>
      </pivotArea>
    </format>
    <format dxfId="462">
      <pivotArea outline="0" fieldPosition="0">
        <references count="1">
          <reference field="6" count="1" selected="0" defaultSubtotal="1">
            <x v="3"/>
          </reference>
        </references>
      </pivotArea>
    </format>
    <format dxfId="463">
      <pivotArea dataOnly="0" labelOnly="1" outline="0" fieldPosition="0">
        <references count="1">
          <reference field="6" count="1" defaultSubtotal="1">
            <x v="3"/>
          </reference>
        </references>
      </pivotArea>
    </format>
    <format dxfId="464">
      <pivotArea outline="0" fieldPosition="0">
        <references count="1">
          <reference field="6" count="1" selected="0" defaultSubtotal="1">
            <x v="4"/>
          </reference>
        </references>
      </pivotArea>
    </format>
    <format dxfId="465">
      <pivotArea dataOnly="0" labelOnly="1" outline="0" fieldPosition="0">
        <references count="1">
          <reference field="6" count="1" defaultSubtotal="1">
            <x v="4"/>
          </reference>
        </references>
      </pivotArea>
    </format>
    <format dxfId="466">
      <pivotArea outline="0" fieldPosition="0">
        <references count="1">
          <reference field="6" count="1" selected="0" defaultSubtotal="1">
            <x v="5"/>
          </reference>
        </references>
      </pivotArea>
    </format>
    <format dxfId="467">
      <pivotArea dataOnly="0" labelOnly="1" outline="0" fieldPosition="0">
        <references count="1">
          <reference field="6" count="1" defaultSubtotal="1">
            <x v="5"/>
          </reference>
        </references>
      </pivotArea>
    </format>
    <format dxfId="468">
      <pivotArea outline="0" fieldPosition="0">
        <references count="1">
          <reference field="6" count="1" selected="0" defaultSubtotal="1">
            <x v="6"/>
          </reference>
        </references>
      </pivotArea>
    </format>
    <format dxfId="469">
      <pivotArea dataOnly="0" labelOnly="1" outline="0" fieldPosition="0">
        <references count="1">
          <reference field="6" count="1" defaultSubtotal="1">
            <x v="6"/>
          </reference>
        </references>
      </pivotArea>
    </format>
    <format dxfId="470">
      <pivotArea outline="0" fieldPosition="0">
        <references count="1">
          <reference field="6" count="1" selected="0" defaultSubtotal="1">
            <x v="7"/>
          </reference>
        </references>
      </pivotArea>
    </format>
    <format dxfId="471">
      <pivotArea dataOnly="0" labelOnly="1" outline="0" fieldPosition="0">
        <references count="1">
          <reference field="6" count="1" defaultSubtotal="1">
            <x v="7"/>
          </reference>
        </references>
      </pivotArea>
    </format>
    <format dxfId="472">
      <pivotArea outline="0" fieldPosition="0">
        <references count="1">
          <reference field="6" count="1" selected="0" defaultSubtotal="1">
            <x v="8"/>
          </reference>
        </references>
      </pivotArea>
    </format>
    <format dxfId="473">
      <pivotArea dataOnly="0" labelOnly="1" outline="0" fieldPosition="0">
        <references count="1">
          <reference field="6" count="1" defaultSubtotal="1">
            <x v="8"/>
          </reference>
        </references>
      </pivotArea>
    </format>
    <format dxfId="474">
      <pivotArea outline="0" fieldPosition="0">
        <references count="1">
          <reference field="6" count="1" selected="0" defaultSubtotal="1">
            <x v="9"/>
          </reference>
        </references>
      </pivotArea>
    </format>
    <format dxfId="475">
      <pivotArea dataOnly="0" labelOnly="1" outline="0" fieldPosition="0">
        <references count="1">
          <reference field="6" count="1" defaultSubtotal="1">
            <x v="9"/>
          </reference>
        </references>
      </pivotArea>
    </format>
    <format dxfId="476">
      <pivotArea outline="0" fieldPosition="0">
        <references count="1">
          <reference field="6" count="1" selected="0" defaultSubtotal="1">
            <x v="10"/>
          </reference>
        </references>
      </pivotArea>
    </format>
    <format dxfId="477">
      <pivotArea dataOnly="0" labelOnly="1" outline="0" fieldPosition="0">
        <references count="1">
          <reference field="6" count="1" defaultSubtotal="1">
            <x v="10"/>
          </reference>
        </references>
      </pivotArea>
    </format>
    <format dxfId="478">
      <pivotArea outline="0" fieldPosition="0">
        <references count="1">
          <reference field="6" count="1" selected="0" defaultSubtotal="1">
            <x v="11"/>
          </reference>
        </references>
      </pivotArea>
    </format>
    <format dxfId="479">
      <pivotArea dataOnly="0" labelOnly="1" outline="0" fieldPosition="0">
        <references count="1">
          <reference field="6" count="1" defaultSubtotal="1">
            <x v="11"/>
          </reference>
        </references>
      </pivotArea>
    </format>
    <format dxfId="480">
      <pivotArea outline="0" fieldPosition="0">
        <references count="1">
          <reference field="6" count="1" selected="0" defaultSubtotal="1">
            <x v="12"/>
          </reference>
        </references>
      </pivotArea>
    </format>
    <format dxfId="481">
      <pivotArea dataOnly="0" labelOnly="1" outline="0" fieldPosition="0">
        <references count="1">
          <reference field="6" count="1" defaultSubtotal="1">
            <x v="12"/>
          </reference>
        </references>
      </pivotArea>
    </format>
    <format dxfId="482">
      <pivotArea outline="0" fieldPosition="0">
        <references count="2">
          <reference field="4" count="1" selected="0" defaultSubtotal="1">
            <x v="15"/>
          </reference>
          <reference field="6" count="1" selected="0">
            <x v="0"/>
          </reference>
        </references>
      </pivotArea>
    </format>
    <format dxfId="483">
      <pivotArea dataOnly="0" labelOnly="1" outline="0" fieldPosition="0">
        <references count="2">
          <reference field="4" count="1" defaultSubtotal="1">
            <x v="15"/>
          </reference>
          <reference field="6" count="1" selected="0">
            <x v="0"/>
          </reference>
        </references>
      </pivotArea>
    </format>
    <format dxfId="484">
      <pivotArea outline="0" fieldPosition="0">
        <references count="2">
          <reference field="4" count="1" selected="0" defaultSubtotal="1">
            <x v="29"/>
          </reference>
          <reference field="6" count="1" selected="0">
            <x v="1"/>
          </reference>
        </references>
      </pivotArea>
    </format>
    <format dxfId="485">
      <pivotArea dataOnly="0" labelOnly="1" outline="0" fieldPosition="0">
        <references count="2">
          <reference field="4" count="1" defaultSubtotal="1">
            <x v="29"/>
          </reference>
          <reference field="6" count="1" selected="0">
            <x v="1"/>
          </reference>
        </references>
      </pivotArea>
    </format>
    <format dxfId="486">
      <pivotArea outline="0" fieldPosition="0">
        <references count="2">
          <reference field="4" count="1" selected="0" defaultSubtotal="1">
            <x v="12"/>
          </reference>
          <reference field="6" count="1" selected="0">
            <x v="2"/>
          </reference>
        </references>
      </pivotArea>
    </format>
    <format dxfId="487">
      <pivotArea dataOnly="0" labelOnly="1" outline="0" fieldPosition="0">
        <references count="2">
          <reference field="4" count="1" defaultSubtotal="1">
            <x v="12"/>
          </reference>
          <reference field="6" count="1" selected="0">
            <x v="2"/>
          </reference>
        </references>
      </pivotArea>
    </format>
    <format dxfId="488">
      <pivotArea outline="0" fieldPosition="0">
        <references count="2">
          <reference field="4" count="1" selected="0" defaultSubtotal="1">
            <x v="10"/>
          </reference>
          <reference field="6" count="1" selected="0">
            <x v="3"/>
          </reference>
        </references>
      </pivotArea>
    </format>
    <format dxfId="489">
      <pivotArea dataOnly="0" labelOnly="1" outline="0" fieldPosition="0">
        <references count="2">
          <reference field="4" count="1" defaultSubtotal="1">
            <x v="10"/>
          </reference>
          <reference field="6" count="1" selected="0">
            <x v="3"/>
          </reference>
        </references>
      </pivotArea>
    </format>
    <format dxfId="490">
      <pivotArea outline="0" fieldPosition="0">
        <references count="2">
          <reference field="4" count="1" selected="0" defaultSubtotal="1">
            <x v="11"/>
          </reference>
          <reference field="6" count="1" selected="0">
            <x v="4"/>
          </reference>
        </references>
      </pivotArea>
    </format>
    <format dxfId="491">
      <pivotArea dataOnly="0" labelOnly="1" outline="0" fieldPosition="0">
        <references count="2">
          <reference field="4" count="1" defaultSubtotal="1">
            <x v="11"/>
          </reference>
          <reference field="6" count="1" selected="0">
            <x v="4"/>
          </reference>
        </references>
      </pivotArea>
    </format>
    <format dxfId="492">
      <pivotArea outline="0" fieldPosition="0">
        <references count="2">
          <reference field="4" count="1" selected="0" defaultSubtotal="1">
            <x v="17"/>
          </reference>
          <reference field="6" count="1" selected="0">
            <x v="4"/>
          </reference>
        </references>
      </pivotArea>
    </format>
    <format dxfId="493">
      <pivotArea dataOnly="0" labelOnly="1" outline="0" fieldPosition="0">
        <references count="2">
          <reference field="4" count="1" defaultSubtotal="1">
            <x v="17"/>
          </reference>
          <reference field="6" count="1" selected="0">
            <x v="4"/>
          </reference>
        </references>
      </pivotArea>
    </format>
    <format dxfId="494">
      <pivotArea outline="0" fieldPosition="0">
        <references count="2">
          <reference field="4" count="1" selected="0" defaultSubtotal="1">
            <x v="20"/>
          </reference>
          <reference field="6" count="1" selected="0">
            <x v="4"/>
          </reference>
        </references>
      </pivotArea>
    </format>
    <format dxfId="495">
      <pivotArea dataOnly="0" labelOnly="1" outline="0" fieldPosition="0">
        <references count="2">
          <reference field="4" count="1" defaultSubtotal="1">
            <x v="20"/>
          </reference>
          <reference field="6" count="1" selected="0">
            <x v="4"/>
          </reference>
        </references>
      </pivotArea>
    </format>
    <format dxfId="496">
      <pivotArea outline="0" fieldPosition="0">
        <references count="2">
          <reference field="4" count="1" selected="0" defaultSubtotal="1">
            <x v="0"/>
          </reference>
          <reference field="6" count="1" selected="0">
            <x v="5"/>
          </reference>
        </references>
      </pivotArea>
    </format>
    <format dxfId="497">
      <pivotArea dataOnly="0" labelOnly="1" outline="0" fieldPosition="0">
        <references count="2">
          <reference field="4" count="1" defaultSubtotal="1">
            <x v="0"/>
          </reference>
          <reference field="6" count="1" selected="0">
            <x v="5"/>
          </reference>
        </references>
      </pivotArea>
    </format>
    <format dxfId="498">
      <pivotArea outline="0" fieldPosition="0">
        <references count="2">
          <reference field="4" count="1" selected="0" defaultSubtotal="1">
            <x v="3"/>
          </reference>
          <reference field="6" count="1" selected="0">
            <x v="5"/>
          </reference>
        </references>
      </pivotArea>
    </format>
    <format dxfId="499">
      <pivotArea dataOnly="0" labelOnly="1" outline="0" fieldPosition="0">
        <references count="2">
          <reference field="4" count="1" defaultSubtotal="1">
            <x v="3"/>
          </reference>
          <reference field="6" count="1" selected="0">
            <x v="5"/>
          </reference>
        </references>
      </pivotArea>
    </format>
    <format dxfId="500">
      <pivotArea outline="0" fieldPosition="0">
        <references count="2">
          <reference field="4" count="1" selected="0" defaultSubtotal="1">
            <x v="16"/>
          </reference>
          <reference field="6" count="1" selected="0">
            <x v="5"/>
          </reference>
        </references>
      </pivotArea>
    </format>
    <format dxfId="501">
      <pivotArea dataOnly="0" labelOnly="1" outline="0" fieldPosition="0">
        <references count="2">
          <reference field="4" count="1" defaultSubtotal="1">
            <x v="16"/>
          </reference>
          <reference field="6" count="1" selected="0">
            <x v="5"/>
          </reference>
        </references>
      </pivotArea>
    </format>
    <format dxfId="502">
      <pivotArea outline="0" fieldPosition="0">
        <references count="2">
          <reference field="4" count="1" selected="0" defaultSubtotal="1">
            <x v="23"/>
          </reference>
          <reference field="6" count="1" selected="0">
            <x v="5"/>
          </reference>
        </references>
      </pivotArea>
    </format>
    <format dxfId="503">
      <pivotArea dataOnly="0" labelOnly="1" outline="0" fieldPosition="0">
        <references count="2">
          <reference field="4" count="1" defaultSubtotal="1">
            <x v="23"/>
          </reference>
          <reference field="6" count="1" selected="0">
            <x v="5"/>
          </reference>
        </references>
      </pivotArea>
    </format>
    <format dxfId="504">
      <pivotArea outline="0" fieldPosition="0">
        <references count="2">
          <reference field="4" count="1" selected="0" defaultSubtotal="1">
            <x v="24"/>
          </reference>
          <reference field="6" count="1" selected="0">
            <x v="5"/>
          </reference>
        </references>
      </pivotArea>
    </format>
    <format dxfId="505">
      <pivotArea dataOnly="0" labelOnly="1" outline="0" fieldPosition="0">
        <references count="2">
          <reference field="4" count="1" defaultSubtotal="1">
            <x v="24"/>
          </reference>
          <reference field="6" count="1" selected="0">
            <x v="5"/>
          </reference>
        </references>
      </pivotArea>
    </format>
    <format dxfId="506">
      <pivotArea outline="0" fieldPosition="0">
        <references count="2">
          <reference field="4" count="1" selected="0" defaultSubtotal="1">
            <x v="1"/>
          </reference>
          <reference field="6" count="1" selected="0">
            <x v="6"/>
          </reference>
        </references>
      </pivotArea>
    </format>
    <format dxfId="507">
      <pivotArea dataOnly="0" labelOnly="1" outline="0" fieldPosition="0">
        <references count="2">
          <reference field="4" count="1" defaultSubtotal="1">
            <x v="1"/>
          </reference>
          <reference field="6" count="1" selected="0">
            <x v="6"/>
          </reference>
        </references>
      </pivotArea>
    </format>
    <format dxfId="508">
      <pivotArea outline="0" fieldPosition="0">
        <references count="2">
          <reference field="4" count="1" selected="0" defaultSubtotal="1">
            <x v="2"/>
          </reference>
          <reference field="6" count="1" selected="0">
            <x v="6"/>
          </reference>
        </references>
      </pivotArea>
    </format>
    <format dxfId="509">
      <pivotArea dataOnly="0" labelOnly="1" outline="0" fieldPosition="0">
        <references count="2">
          <reference field="4" count="1" defaultSubtotal="1">
            <x v="2"/>
          </reference>
          <reference field="6" count="1" selected="0">
            <x v="6"/>
          </reference>
        </references>
      </pivotArea>
    </format>
    <format dxfId="510">
      <pivotArea outline="0" fieldPosition="0">
        <references count="2">
          <reference field="4" count="1" selected="0" defaultSubtotal="1">
            <x v="9"/>
          </reference>
          <reference field="6" count="1" selected="0">
            <x v="6"/>
          </reference>
        </references>
      </pivotArea>
    </format>
    <format dxfId="511">
      <pivotArea dataOnly="0" labelOnly="1" outline="0" fieldPosition="0">
        <references count="2">
          <reference field="4" count="1" defaultSubtotal="1">
            <x v="9"/>
          </reference>
          <reference field="6" count="1" selected="0">
            <x v="6"/>
          </reference>
        </references>
      </pivotArea>
    </format>
    <format dxfId="512">
      <pivotArea outline="0" fieldPosition="0">
        <references count="2">
          <reference field="4" count="1" selected="0" defaultSubtotal="1">
            <x v="19"/>
          </reference>
          <reference field="6" count="1" selected="0">
            <x v="6"/>
          </reference>
        </references>
      </pivotArea>
    </format>
    <format dxfId="513">
      <pivotArea dataOnly="0" labelOnly="1" outline="0" fieldPosition="0">
        <references count="2">
          <reference field="4" count="1" defaultSubtotal="1">
            <x v="19"/>
          </reference>
          <reference field="6" count="1" selected="0">
            <x v="6"/>
          </reference>
        </references>
      </pivotArea>
    </format>
    <format dxfId="514">
      <pivotArea outline="0" fieldPosition="0">
        <references count="2">
          <reference field="4" count="1" selected="0" defaultSubtotal="1">
            <x v="4"/>
          </reference>
          <reference field="6" count="1" selected="0">
            <x v="7"/>
          </reference>
        </references>
      </pivotArea>
    </format>
    <format dxfId="515">
      <pivotArea dataOnly="0" labelOnly="1" outline="0" fieldPosition="0">
        <references count="2">
          <reference field="4" count="1" defaultSubtotal="1">
            <x v="4"/>
          </reference>
          <reference field="6" count="1" selected="0">
            <x v="7"/>
          </reference>
        </references>
      </pivotArea>
    </format>
    <format dxfId="516">
      <pivotArea outline="0" fieldPosition="0">
        <references count="2">
          <reference field="4" count="1" selected="0" defaultSubtotal="1">
            <x v="7"/>
          </reference>
          <reference field="6" count="1" selected="0">
            <x v="7"/>
          </reference>
        </references>
      </pivotArea>
    </format>
    <format dxfId="517">
      <pivotArea dataOnly="0" labelOnly="1" outline="0" fieldPosition="0">
        <references count="2">
          <reference field="4" count="1" defaultSubtotal="1">
            <x v="7"/>
          </reference>
          <reference field="6" count="1" selected="0">
            <x v="7"/>
          </reference>
        </references>
      </pivotArea>
    </format>
    <format dxfId="518">
      <pivotArea outline="0" fieldPosition="0">
        <references count="2">
          <reference field="4" count="1" selected="0" defaultSubtotal="1">
            <x v="18"/>
          </reference>
          <reference field="6" count="1" selected="0">
            <x v="7"/>
          </reference>
        </references>
      </pivotArea>
    </format>
    <format dxfId="519">
      <pivotArea dataOnly="0" labelOnly="1" outline="0" fieldPosition="0">
        <references count="2">
          <reference field="4" count="1" defaultSubtotal="1">
            <x v="18"/>
          </reference>
          <reference field="6" count="1" selected="0">
            <x v="7"/>
          </reference>
        </references>
      </pivotArea>
    </format>
    <format dxfId="520">
      <pivotArea outline="0" fieldPosition="0">
        <references count="2">
          <reference field="4" count="1" selected="0" defaultSubtotal="1">
            <x v="21"/>
          </reference>
          <reference field="6" count="1" selected="0">
            <x v="7"/>
          </reference>
        </references>
      </pivotArea>
    </format>
    <format dxfId="521">
      <pivotArea dataOnly="0" labelOnly="1" outline="0" fieldPosition="0">
        <references count="2">
          <reference field="4" count="1" defaultSubtotal="1">
            <x v="21"/>
          </reference>
          <reference field="6" count="1" selected="0">
            <x v="7"/>
          </reference>
        </references>
      </pivotArea>
    </format>
    <format dxfId="522">
      <pivotArea outline="0" fieldPosition="0">
        <references count="2">
          <reference field="4" count="1" selected="0" defaultSubtotal="1">
            <x v="25"/>
          </reference>
          <reference field="6" count="1" selected="0">
            <x v="7"/>
          </reference>
        </references>
      </pivotArea>
    </format>
    <format dxfId="523">
      <pivotArea dataOnly="0" labelOnly="1" outline="0" fieldPosition="0">
        <references count="2">
          <reference field="4" count="1" defaultSubtotal="1">
            <x v="25"/>
          </reference>
          <reference field="6" count="1" selected="0">
            <x v="7"/>
          </reference>
        </references>
      </pivotArea>
    </format>
    <format dxfId="524">
      <pivotArea outline="0" fieldPosition="0">
        <references count="2">
          <reference field="4" count="1" selected="0" defaultSubtotal="1">
            <x v="27"/>
          </reference>
          <reference field="6" count="1" selected="0">
            <x v="8"/>
          </reference>
        </references>
      </pivotArea>
    </format>
    <format dxfId="525">
      <pivotArea dataOnly="0" labelOnly="1" outline="0" fieldPosition="0">
        <references count="2">
          <reference field="4" count="1" defaultSubtotal="1">
            <x v="27"/>
          </reference>
          <reference field="6" count="1" selected="0">
            <x v="8"/>
          </reference>
        </references>
      </pivotArea>
    </format>
    <format dxfId="526">
      <pivotArea outline="0" fieldPosition="0">
        <references count="2">
          <reference field="4" count="1" selected="0" defaultSubtotal="1">
            <x v="5"/>
          </reference>
          <reference field="6" count="1" selected="0">
            <x v="9"/>
          </reference>
        </references>
      </pivotArea>
    </format>
    <format dxfId="527">
      <pivotArea dataOnly="0" labelOnly="1" outline="0" fieldPosition="0">
        <references count="2">
          <reference field="4" count="1" defaultSubtotal="1">
            <x v="5"/>
          </reference>
          <reference field="6" count="1" selected="0">
            <x v="9"/>
          </reference>
        </references>
      </pivotArea>
    </format>
    <format dxfId="528">
      <pivotArea outline="0" fieldPosition="0">
        <references count="2">
          <reference field="4" count="1" selected="0" defaultSubtotal="1">
            <x v="28"/>
          </reference>
          <reference field="6" count="1" selected="0">
            <x v="9"/>
          </reference>
        </references>
      </pivotArea>
    </format>
    <format dxfId="529">
      <pivotArea dataOnly="0" labelOnly="1" outline="0" fieldPosition="0">
        <references count="2">
          <reference field="4" count="1" defaultSubtotal="1">
            <x v="28"/>
          </reference>
          <reference field="6" count="1" selected="0">
            <x v="9"/>
          </reference>
        </references>
      </pivotArea>
    </format>
    <format dxfId="530">
      <pivotArea outline="0" fieldPosition="0">
        <references count="2">
          <reference field="4" count="1" selected="0" defaultSubtotal="1">
            <x v="22"/>
          </reference>
          <reference field="6" count="1" selected="0">
            <x v="10"/>
          </reference>
        </references>
      </pivotArea>
    </format>
    <format dxfId="531">
      <pivotArea dataOnly="0" labelOnly="1" outline="0" fieldPosition="0">
        <references count="2">
          <reference field="4" count="1" defaultSubtotal="1">
            <x v="22"/>
          </reference>
          <reference field="6" count="1" selected="0">
            <x v="10"/>
          </reference>
        </references>
      </pivotArea>
    </format>
    <format dxfId="532">
      <pivotArea outline="0" fieldPosition="0">
        <references count="2">
          <reference field="4" count="1" selected="0" defaultSubtotal="1">
            <x v="30"/>
          </reference>
          <reference field="6" count="1" selected="0">
            <x v="10"/>
          </reference>
        </references>
      </pivotArea>
    </format>
    <format dxfId="533">
      <pivotArea dataOnly="0" labelOnly="1" outline="0" fieldPosition="0">
        <references count="2">
          <reference field="4" count="1" defaultSubtotal="1">
            <x v="30"/>
          </reference>
          <reference field="6" count="1" selected="0">
            <x v="10"/>
          </reference>
        </references>
      </pivotArea>
    </format>
    <format dxfId="534">
      <pivotArea outline="0" fieldPosition="0">
        <references count="2">
          <reference field="4" count="1" selected="0" defaultSubtotal="1">
            <x v="6"/>
          </reference>
          <reference field="6" count="1" selected="0">
            <x v="11"/>
          </reference>
        </references>
      </pivotArea>
    </format>
    <format dxfId="535">
      <pivotArea dataOnly="0" labelOnly="1" outline="0" fieldPosition="0">
        <references count="2">
          <reference field="4" count="1" defaultSubtotal="1">
            <x v="6"/>
          </reference>
          <reference field="6" count="1" selected="0">
            <x v="11"/>
          </reference>
        </references>
      </pivotArea>
    </format>
    <format dxfId="536">
      <pivotArea outline="0" fieldPosition="0">
        <references count="2">
          <reference field="4" count="1" selected="0" defaultSubtotal="1">
            <x v="8"/>
          </reference>
          <reference field="6" count="1" selected="0">
            <x v="11"/>
          </reference>
        </references>
      </pivotArea>
    </format>
    <format dxfId="537">
      <pivotArea dataOnly="0" labelOnly="1" outline="0" fieldPosition="0">
        <references count="2">
          <reference field="4" count="1" defaultSubtotal="1">
            <x v="8"/>
          </reference>
          <reference field="6" count="1" selected="0">
            <x v="11"/>
          </reference>
        </references>
      </pivotArea>
    </format>
    <format dxfId="538">
      <pivotArea outline="0" fieldPosition="0">
        <references count="2">
          <reference field="4" count="1" selected="0" defaultSubtotal="1">
            <x v="13"/>
          </reference>
          <reference field="6" count="1" selected="0">
            <x v="11"/>
          </reference>
        </references>
      </pivotArea>
    </format>
    <format dxfId="539">
      <pivotArea dataOnly="0" labelOnly="1" outline="0" fieldPosition="0">
        <references count="2">
          <reference field="4" count="1" defaultSubtotal="1">
            <x v="13"/>
          </reference>
          <reference field="6" count="1" selected="0">
            <x v="11"/>
          </reference>
        </references>
      </pivotArea>
    </format>
    <format dxfId="540">
      <pivotArea outline="0" fieldPosition="0">
        <references count="2">
          <reference field="4" count="1" selected="0" defaultSubtotal="1">
            <x v="14"/>
          </reference>
          <reference field="6" count="1" selected="0">
            <x v="11"/>
          </reference>
        </references>
      </pivotArea>
    </format>
    <format dxfId="541">
      <pivotArea dataOnly="0" labelOnly="1" outline="0" fieldPosition="0">
        <references count="2">
          <reference field="4" count="1" defaultSubtotal="1">
            <x v="14"/>
          </reference>
          <reference field="6" count="1" selected="0">
            <x v="11"/>
          </reference>
        </references>
      </pivotArea>
    </format>
    <format dxfId="542">
      <pivotArea outline="0" fieldPosition="0">
        <references count="2">
          <reference field="4" count="1" selected="0" defaultSubtotal="1">
            <x v="26"/>
          </reference>
          <reference field="6" count="1" selected="0">
            <x v="12"/>
          </reference>
        </references>
      </pivotArea>
    </format>
    <format dxfId="543">
      <pivotArea dataOnly="0" labelOnly="1" outline="0" fieldPosition="0">
        <references count="2">
          <reference field="4" count="1" defaultSubtotal="1">
            <x v="26"/>
          </reference>
          <reference field="6" count="1" selected="0">
            <x v="12"/>
          </reference>
        </references>
      </pivotArea>
    </format>
    <format dxfId="544">
      <pivotArea type="all" dataOnly="0" outline="0" fieldPosition="0"/>
    </format>
    <format dxfId="545">
      <pivotArea outline="0" collapsedLevelsAreSubtotals="1" fieldPosition="0"/>
    </format>
    <format dxfId="546">
      <pivotArea field="6" type="button" dataOnly="0" labelOnly="1" outline="0" axis="axisRow" fieldPosition="0"/>
    </format>
    <format dxfId="547">
      <pivotArea field="4" type="button" dataOnly="0" labelOnly="1" outline="0" axis="axisRow" fieldPosition="1"/>
    </format>
    <format dxfId="548">
      <pivotArea field="0" type="button" dataOnly="0" labelOnly="1" outline="0" axis="axisRow" fieldPosition="2"/>
    </format>
    <format dxfId="549">
      <pivotArea dataOnly="0" labelOnly="1" outline="0" fieldPosition="0">
        <references count="1">
          <reference field="6" count="0"/>
        </references>
      </pivotArea>
    </format>
    <format dxfId="550">
      <pivotArea dataOnly="0" labelOnly="1" grandRow="1" outline="0" fieldPosition="0"/>
    </format>
    <format dxfId="551">
      <pivotArea dataOnly="0" labelOnly="1" outline="0" fieldPosition="0">
        <references count="2">
          <reference field="4" count="1">
            <x v="15"/>
          </reference>
          <reference field="6" count="1" selected="0">
            <x v="0"/>
          </reference>
        </references>
      </pivotArea>
    </format>
    <format dxfId="552">
      <pivotArea dataOnly="0" labelOnly="1" outline="0" fieldPosition="0">
        <references count="2">
          <reference field="4" count="2">
            <x v="32"/>
            <x v="33"/>
          </reference>
          <reference field="6" count="1" selected="0">
            <x v="1"/>
          </reference>
        </references>
      </pivotArea>
    </format>
    <format dxfId="553">
      <pivotArea dataOnly="0" labelOnly="1" outline="0" fieldPosition="0">
        <references count="2">
          <reference field="4" count="1">
            <x v="12"/>
          </reference>
          <reference field="6" count="1" selected="0">
            <x v="2"/>
          </reference>
        </references>
      </pivotArea>
    </format>
    <format dxfId="554">
      <pivotArea dataOnly="0" labelOnly="1" outline="0" fieldPosition="0">
        <references count="2">
          <reference field="4" count="1">
            <x v="10"/>
          </reference>
          <reference field="6" count="1" selected="0">
            <x v="3"/>
          </reference>
        </references>
      </pivotArea>
    </format>
    <format dxfId="555">
      <pivotArea dataOnly="0" labelOnly="1" outline="0" fieldPosition="0">
        <references count="2">
          <reference field="4" count="3">
            <x v="11"/>
            <x v="17"/>
            <x v="20"/>
          </reference>
          <reference field="6" count="1" selected="0">
            <x v="4"/>
          </reference>
        </references>
      </pivotArea>
    </format>
    <format dxfId="556">
      <pivotArea dataOnly="0" labelOnly="1" outline="0" fieldPosition="0">
        <references count="2">
          <reference field="4" count="4">
            <x v="0"/>
            <x v="3"/>
            <x v="24"/>
            <x v="31"/>
          </reference>
          <reference field="6" count="1" selected="0">
            <x v="5"/>
          </reference>
        </references>
      </pivotArea>
    </format>
    <format dxfId="557">
      <pivotArea dataOnly="0" labelOnly="1" outline="0" fieldPosition="0">
        <references count="2">
          <reference field="4" count="5">
            <x v="1"/>
            <x v="2"/>
            <x v="9"/>
            <x v="19"/>
            <x v="34"/>
          </reference>
          <reference field="6" count="1" selected="0">
            <x v="6"/>
          </reference>
        </references>
      </pivotArea>
    </format>
    <format dxfId="558">
      <pivotArea dataOnly="0" labelOnly="1" outline="0" fieldPosition="0">
        <references count="2">
          <reference field="4" count="6">
            <x v="4"/>
            <x v="7"/>
            <x v="18"/>
            <x v="25"/>
            <x v="35"/>
            <x v="36"/>
          </reference>
          <reference field="6" count="1" selected="0">
            <x v="7"/>
          </reference>
        </references>
      </pivotArea>
    </format>
    <format dxfId="559">
      <pivotArea dataOnly="0" labelOnly="1" outline="0" fieldPosition="0">
        <references count="2">
          <reference field="4" count="1">
            <x v="27"/>
          </reference>
          <reference field="6" count="1" selected="0">
            <x v="8"/>
          </reference>
        </references>
      </pivotArea>
    </format>
    <format dxfId="560">
      <pivotArea dataOnly="0" labelOnly="1" outline="0" fieldPosition="0">
        <references count="2">
          <reference field="4" count="2">
            <x v="5"/>
            <x v="28"/>
          </reference>
          <reference field="6" count="1" selected="0">
            <x v="9"/>
          </reference>
        </references>
      </pivotArea>
    </format>
    <format dxfId="561">
      <pivotArea dataOnly="0" labelOnly="1" outline="0" fieldPosition="0">
        <references count="2">
          <reference field="4" count="2">
            <x v="22"/>
            <x v="30"/>
          </reference>
          <reference field="6" count="1" selected="0">
            <x v="10"/>
          </reference>
        </references>
      </pivotArea>
    </format>
    <format dxfId="562">
      <pivotArea dataOnly="0" labelOnly="1" outline="0" fieldPosition="0">
        <references count="2">
          <reference field="4" count="4">
            <x v="6"/>
            <x v="8"/>
            <x v="13"/>
            <x v="14"/>
          </reference>
          <reference field="6" count="1" selected="0">
            <x v="11"/>
          </reference>
        </references>
      </pivotArea>
    </format>
    <format dxfId="563">
      <pivotArea dataOnly="0" labelOnly="1" outline="0" fieldPosition="0">
        <references count="2">
          <reference field="4" count="1">
            <x v="26"/>
          </reference>
          <reference field="6" count="1" selected="0">
            <x v="12"/>
          </reference>
        </references>
      </pivotArea>
    </format>
    <format dxfId="564">
      <pivotArea dataOnly="0" labelOnly="1" outline="0" fieldPosition="0">
        <references count="2">
          <reference field="4" count="1">
            <x v="31"/>
          </reference>
          <reference field="6" count="1" selected="0">
            <x v="13"/>
          </reference>
        </references>
      </pivotArea>
    </format>
    <format dxfId="565">
      <pivotArea dataOnly="0" labelOnly="1" outline="0" fieldPosition="0">
        <references count="3">
          <reference field="0" count="1">
            <x v="33"/>
          </reference>
          <reference field="4" count="1" selected="0">
            <x v="15"/>
          </reference>
          <reference field="6" count="1" selected="0">
            <x v="0"/>
          </reference>
        </references>
      </pivotArea>
    </format>
    <format dxfId="566">
      <pivotArea dataOnly="0" labelOnly="1" outline="0" fieldPosition="0">
        <references count="3">
          <reference field="0" count="2">
            <x v="8"/>
            <x v="10"/>
          </reference>
          <reference field="4" count="1" selected="0">
            <x v="32"/>
          </reference>
          <reference field="6" count="1" selected="0">
            <x v="1"/>
          </reference>
        </references>
      </pivotArea>
    </format>
    <format dxfId="567">
      <pivotArea dataOnly="0" labelOnly="1" outline="0" fieldPosition="0">
        <references count="3">
          <reference field="0" count="2">
            <x v="34"/>
            <x v="51"/>
          </reference>
          <reference field="4" count="1" selected="0">
            <x v="33"/>
          </reference>
          <reference field="6" count="1" selected="0">
            <x v="1"/>
          </reference>
        </references>
      </pivotArea>
    </format>
    <format dxfId="568">
      <pivotArea dataOnly="0" labelOnly="1" outline="0" fieldPosition="0">
        <references count="3">
          <reference field="0" count="1">
            <x v="43"/>
          </reference>
          <reference field="4" count="1" selected="0">
            <x v="12"/>
          </reference>
          <reference field="6" count="1" selected="0">
            <x v="2"/>
          </reference>
        </references>
      </pivotArea>
    </format>
    <format dxfId="569">
      <pivotArea dataOnly="0" labelOnly="1" outline="0" fieldPosition="0">
        <references count="3">
          <reference field="0" count="1">
            <x v="50"/>
          </reference>
          <reference field="4" count="1" selected="0">
            <x v="10"/>
          </reference>
          <reference field="6" count="1" selected="0">
            <x v="3"/>
          </reference>
        </references>
      </pivotArea>
    </format>
    <format dxfId="570">
      <pivotArea dataOnly="0" labelOnly="1" outline="0" fieldPosition="0">
        <references count="3">
          <reference field="0" count="2">
            <x v="35"/>
            <x v="46"/>
          </reference>
          <reference field="4" count="1" selected="0">
            <x v="11"/>
          </reference>
          <reference field="6" count="1" selected="0">
            <x v="4"/>
          </reference>
        </references>
      </pivotArea>
    </format>
    <format dxfId="571">
      <pivotArea dataOnly="0" labelOnly="1" outline="0" fieldPosition="0">
        <references count="3">
          <reference field="0" count="1">
            <x v="29"/>
          </reference>
          <reference field="4" count="1" selected="0">
            <x v="17"/>
          </reference>
          <reference field="6" count="1" selected="0">
            <x v="4"/>
          </reference>
        </references>
      </pivotArea>
    </format>
    <format dxfId="572">
      <pivotArea dataOnly="0" labelOnly="1" outline="0" fieldPosition="0">
        <references count="3">
          <reference field="0" count="1">
            <x v="11"/>
          </reference>
          <reference field="4" count="1" selected="0">
            <x v="20"/>
          </reference>
          <reference field="6" count="1" selected="0">
            <x v="4"/>
          </reference>
        </references>
      </pivotArea>
    </format>
    <format dxfId="573">
      <pivotArea dataOnly="0" labelOnly="1" outline="0" fieldPosition="0">
        <references count="3">
          <reference field="0" count="2">
            <x v="2"/>
            <x v="53"/>
          </reference>
          <reference field="4" count="1" selected="0">
            <x v="0"/>
          </reference>
          <reference field="6" count="1" selected="0">
            <x v="5"/>
          </reference>
        </references>
      </pivotArea>
    </format>
    <format dxfId="574">
      <pivotArea dataOnly="0" labelOnly="1" outline="0" fieldPosition="0">
        <references count="3">
          <reference field="0" count="4">
            <x v="23"/>
            <x v="24"/>
            <x v="26"/>
            <x v="31"/>
          </reference>
          <reference field="4" count="1" selected="0">
            <x v="3"/>
          </reference>
          <reference field="6" count="1" selected="0">
            <x v="5"/>
          </reference>
        </references>
      </pivotArea>
    </format>
    <format dxfId="575">
      <pivotArea dataOnly="0" labelOnly="1" outline="0" fieldPosition="0">
        <references count="3">
          <reference field="0" count="2">
            <x v="1"/>
            <x v="21"/>
          </reference>
          <reference field="4" count="1" selected="0">
            <x v="24"/>
          </reference>
          <reference field="6" count="1" selected="0">
            <x v="5"/>
          </reference>
        </references>
      </pivotArea>
    </format>
    <format dxfId="576">
      <pivotArea dataOnly="0" labelOnly="1" outline="0" fieldPosition="0">
        <references count="3">
          <reference field="0" count="1">
            <x v="22"/>
          </reference>
          <reference field="4" count="1" selected="0">
            <x v="31"/>
          </reference>
          <reference field="6" count="1" selected="0">
            <x v="5"/>
          </reference>
        </references>
      </pivotArea>
    </format>
    <format dxfId="577">
      <pivotArea dataOnly="0" labelOnly="1" outline="0" fieldPosition="0">
        <references count="3">
          <reference field="0" count="1">
            <x v="38"/>
          </reference>
          <reference field="4" count="1" selected="0">
            <x v="1"/>
          </reference>
          <reference field="6" count="1" selected="0">
            <x v="6"/>
          </reference>
        </references>
      </pivotArea>
    </format>
    <format dxfId="578">
      <pivotArea dataOnly="0" labelOnly="1" outline="0" fieldPosition="0">
        <references count="3">
          <reference field="0" count="1">
            <x v="36"/>
          </reference>
          <reference field="4" count="1" selected="0">
            <x v="2"/>
          </reference>
          <reference field="6" count="1" selected="0">
            <x v="6"/>
          </reference>
        </references>
      </pivotArea>
    </format>
    <format dxfId="579">
      <pivotArea dataOnly="0" labelOnly="1" outline="0" fieldPosition="0">
        <references count="3">
          <reference field="0" count="4">
            <x v="0"/>
            <x v="14"/>
            <x v="25"/>
            <x v="37"/>
          </reference>
          <reference field="4" count="1" selected="0">
            <x v="9"/>
          </reference>
          <reference field="6" count="1" selected="0">
            <x v="6"/>
          </reference>
        </references>
      </pivotArea>
    </format>
    <format dxfId="580">
      <pivotArea dataOnly="0" labelOnly="1" outline="0" fieldPosition="0">
        <references count="3">
          <reference field="0" count="1">
            <x v="44"/>
          </reference>
          <reference field="4" count="1" selected="0">
            <x v="19"/>
          </reference>
          <reference field="6" count="1" selected="0">
            <x v="6"/>
          </reference>
        </references>
      </pivotArea>
    </format>
    <format dxfId="581">
      <pivotArea dataOnly="0" labelOnly="1" outline="0" fieldPosition="0">
        <references count="3">
          <reference field="0" count="1">
            <x v="44"/>
          </reference>
          <reference field="4" count="1" selected="0">
            <x v="34"/>
          </reference>
          <reference field="6" count="1" selected="0">
            <x v="6"/>
          </reference>
        </references>
      </pivotArea>
    </format>
    <format dxfId="582">
      <pivotArea dataOnly="0" labelOnly="1" outline="0" fieldPosition="0">
        <references count="3">
          <reference field="0" count="1">
            <x v="7"/>
          </reference>
          <reference field="4" count="1" selected="0">
            <x v="4"/>
          </reference>
          <reference field="6" count="1" selected="0">
            <x v="7"/>
          </reference>
        </references>
      </pivotArea>
    </format>
    <format dxfId="583">
      <pivotArea dataOnly="0" labelOnly="1" outline="0" fieldPosition="0">
        <references count="3">
          <reference field="0" count="1">
            <x v="17"/>
          </reference>
          <reference field="4" count="1" selected="0">
            <x v="7"/>
          </reference>
          <reference field="6" count="1" selected="0">
            <x v="7"/>
          </reference>
        </references>
      </pivotArea>
    </format>
    <format dxfId="584">
      <pivotArea dataOnly="0" labelOnly="1" outline="0" fieldPosition="0">
        <references count="3">
          <reference field="0" count="2">
            <x v="12"/>
            <x v="45"/>
          </reference>
          <reference field="4" count="1" selected="0">
            <x v="18"/>
          </reference>
          <reference field="6" count="1" selected="0">
            <x v="7"/>
          </reference>
        </references>
      </pivotArea>
    </format>
    <format dxfId="585">
      <pivotArea dataOnly="0" labelOnly="1" outline="0" fieldPosition="0">
        <references count="3">
          <reference field="0" count="2">
            <x v="3"/>
            <x v="9"/>
          </reference>
          <reference field="4" count="1" selected="0">
            <x v="25"/>
          </reference>
          <reference field="6" count="1" selected="0">
            <x v="7"/>
          </reference>
        </references>
      </pivotArea>
    </format>
    <format dxfId="586">
      <pivotArea dataOnly="0" labelOnly="1" outline="0" fieldPosition="0">
        <references count="3">
          <reference field="0" count="1">
            <x v="19"/>
          </reference>
          <reference field="4" count="1" selected="0">
            <x v="35"/>
          </reference>
          <reference field="6" count="1" selected="0">
            <x v="7"/>
          </reference>
        </references>
      </pivotArea>
    </format>
    <format dxfId="587">
      <pivotArea dataOnly="0" labelOnly="1" outline="0" fieldPosition="0">
        <references count="3">
          <reference field="0" count="2">
            <x v="5"/>
            <x v="6"/>
          </reference>
          <reference field="4" count="1" selected="0">
            <x v="36"/>
          </reference>
          <reference field="6" count="1" selected="0">
            <x v="7"/>
          </reference>
        </references>
      </pivotArea>
    </format>
    <format dxfId="588">
      <pivotArea dataOnly="0" labelOnly="1" outline="0" fieldPosition="0">
        <references count="3">
          <reference field="0" count="1">
            <x v="39"/>
          </reference>
          <reference field="4" count="1" selected="0">
            <x v="27"/>
          </reference>
          <reference field="6" count="1" selected="0">
            <x v="8"/>
          </reference>
        </references>
      </pivotArea>
    </format>
    <format dxfId="589">
      <pivotArea dataOnly="0" labelOnly="1" outline="0" fieldPosition="0">
        <references count="3">
          <reference field="0" count="1">
            <x v="18"/>
          </reference>
          <reference field="4" count="1" selected="0">
            <x v="5"/>
          </reference>
          <reference field="6" count="1" selected="0">
            <x v="9"/>
          </reference>
        </references>
      </pivotArea>
    </format>
    <format dxfId="590">
      <pivotArea dataOnly="0" labelOnly="1" outline="0" fieldPosition="0">
        <references count="3">
          <reference field="0" count="1">
            <x v="41"/>
          </reference>
          <reference field="4" count="1" selected="0">
            <x v="28"/>
          </reference>
          <reference field="6" count="1" selected="0">
            <x v="9"/>
          </reference>
        </references>
      </pivotArea>
    </format>
    <format dxfId="591">
      <pivotArea dataOnly="0" labelOnly="1" outline="0" fieldPosition="0">
        <references count="3">
          <reference field="0" count="1">
            <x v="49"/>
          </reference>
          <reference field="4" count="1" selected="0">
            <x v="22"/>
          </reference>
          <reference field="6" count="1" selected="0">
            <x v="10"/>
          </reference>
        </references>
      </pivotArea>
    </format>
    <format dxfId="592">
      <pivotArea dataOnly="0" labelOnly="1" outline="0" fieldPosition="0">
        <references count="3">
          <reference field="0" count="2">
            <x v="32"/>
            <x v="48"/>
          </reference>
          <reference field="4" count="1" selected="0">
            <x v="30"/>
          </reference>
          <reference field="6" count="1" selected="0">
            <x v="10"/>
          </reference>
        </references>
      </pivotArea>
    </format>
    <format dxfId="593">
      <pivotArea dataOnly="0" labelOnly="1" outline="0" fieldPosition="0">
        <references count="3">
          <reference field="0" count="2">
            <x v="13"/>
            <x v="16"/>
          </reference>
          <reference field="4" count="1" selected="0">
            <x v="6"/>
          </reference>
          <reference field="6" count="1" selected="0">
            <x v="11"/>
          </reference>
        </references>
      </pivotArea>
    </format>
    <format dxfId="594">
      <pivotArea dataOnly="0" labelOnly="1" outline="0" fieldPosition="0">
        <references count="3">
          <reference field="0" count="3">
            <x v="27"/>
            <x v="28"/>
            <x v="47"/>
          </reference>
          <reference field="4" count="1" selected="0">
            <x v="8"/>
          </reference>
          <reference field="6" count="1" selected="0">
            <x v="11"/>
          </reference>
        </references>
      </pivotArea>
    </format>
    <format dxfId="595">
      <pivotArea dataOnly="0" labelOnly="1" outline="0" fieldPosition="0">
        <references count="3">
          <reference field="0" count="1">
            <x v="42"/>
          </reference>
          <reference field="4" count="1" selected="0">
            <x v="13"/>
          </reference>
          <reference field="6" count="1" selected="0">
            <x v="11"/>
          </reference>
        </references>
      </pivotArea>
    </format>
    <format dxfId="596">
      <pivotArea dataOnly="0" labelOnly="1" outline="0" fieldPosition="0">
        <references count="3">
          <reference field="0" count="3">
            <x v="4"/>
            <x v="15"/>
            <x v="20"/>
          </reference>
          <reference field="4" count="1" selected="0">
            <x v="14"/>
          </reference>
          <reference field="6" count="1" selected="0">
            <x v="11"/>
          </reference>
        </references>
      </pivotArea>
    </format>
    <format dxfId="597">
      <pivotArea dataOnly="0" labelOnly="1" outline="0" fieldPosition="0">
        <references count="3">
          <reference field="0" count="2">
            <x v="30"/>
            <x v="40"/>
          </reference>
          <reference field="4" count="1" selected="0">
            <x v="26"/>
          </reference>
          <reference field="6" count="1" selected="0">
            <x v="12"/>
          </reference>
        </references>
      </pivotArea>
    </format>
    <format dxfId="598">
      <pivotArea dataOnly="0" labelOnly="1" outline="0" fieldPosition="0">
        <references count="3">
          <reference field="0" count="1">
            <x v="52"/>
          </reference>
          <reference field="4" count="1" selected="0">
            <x v="31"/>
          </reference>
          <reference field="6" count="1" selected="0">
            <x v="13"/>
          </reference>
        </references>
      </pivotArea>
    </format>
    <format dxfId="5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19C68-345E-4AEC-937A-593DFDADDB28}" name="PivotTable2" cacheId="2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D44" firstHeaderRow="0" firstDataRow="1" firstDataCol="2"/>
  <pivotFields count="34">
    <pivotField compact="0" outline="0" showAll="0">
      <items count="49">
        <item x="0"/>
        <item m="1" x="46"/>
        <item x="8"/>
        <item x="9"/>
        <item x="13"/>
        <item m="1" x="42"/>
        <item x="15"/>
        <item x="16"/>
        <item x="17"/>
        <item x="21"/>
        <item x="23"/>
        <item x="24"/>
        <item x="29"/>
        <item x="30"/>
        <item x="31"/>
        <item m="1" x="45"/>
        <item x="32"/>
        <item x="33"/>
        <item m="1" x="38"/>
        <item x="37"/>
        <item x="36"/>
        <item m="1" x="39"/>
        <item m="1" x="47"/>
        <item x="18"/>
        <item x="20"/>
        <item m="1" x="43"/>
        <item x="14"/>
        <item m="1" x="40"/>
        <item x="11"/>
        <item x="26"/>
        <item x="34"/>
        <item x="19"/>
        <item x="5"/>
        <item x="3"/>
        <item x="22"/>
        <item x="12"/>
        <item m="1" x="44"/>
        <item x="25"/>
        <item x="4"/>
        <item x="2"/>
        <item m="1" x="41"/>
        <item x="35"/>
        <item x="1"/>
        <item x="10"/>
        <item x="28"/>
        <item x="7"/>
        <item x="27"/>
        <item x="6"/>
        <item t="default"/>
      </items>
    </pivotField>
    <pivotField dataField="1" compact="0" outline="0" showAll="0"/>
    <pivotField axis="axisRow" compact="0" outline="0" showAll="0" sortType="ascending">
      <items count="42">
        <item m="1" x="35"/>
        <item x="0"/>
        <item x="1"/>
        <item x="17"/>
        <item x="2"/>
        <item x="3"/>
        <item x="4"/>
        <item x="5"/>
        <item x="6"/>
        <item x="7"/>
        <item x="8"/>
        <item x="9"/>
        <item x="12"/>
        <item x="13"/>
        <item m="1" x="39"/>
        <item x="11"/>
        <item x="15"/>
        <item m="1" x="37"/>
        <item x="14"/>
        <item x="19"/>
        <item x="20"/>
        <item x="21"/>
        <item x="16"/>
        <item m="1" x="40"/>
        <item x="22"/>
        <item x="18"/>
        <item x="10"/>
        <item x="23"/>
        <item x="24"/>
        <item x="25"/>
        <item x="26"/>
        <item m="1" x="36"/>
        <item m="1" x="38"/>
        <item x="27"/>
        <item x="28"/>
        <item x="29"/>
        <item x="30"/>
        <item x="31"/>
        <item x="32"/>
        <item x="33"/>
        <item x="3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8">
        <item x="4"/>
        <item x="5"/>
        <item x="1"/>
        <item x="0"/>
        <item x="2"/>
        <item x="3"/>
        <item x="6"/>
        <item t="default"/>
      </items>
    </pivotField>
    <pivotField compact="0" outline="0" showAll="0"/>
    <pivotField compact="0" outline="0" showAll="0"/>
    <pivotField compact="0" outline="0" showAll="0"/>
    <pivotField compact="0" outline="0" showAll="0"/>
  </pivotFields>
  <rowFields count="2">
    <field x="29"/>
    <field x="2"/>
  </rowFields>
  <rowItems count="43">
    <i>
      <x/>
      <x v="9"/>
    </i>
    <i r="1">
      <x v="11"/>
    </i>
    <i r="1">
      <x v="28"/>
    </i>
    <i r="1">
      <x v="39"/>
    </i>
    <i t="default">
      <x/>
    </i>
    <i>
      <x v="1"/>
      <x v="24"/>
    </i>
    <i r="1">
      <x v="29"/>
    </i>
    <i r="1">
      <x v="38"/>
    </i>
    <i t="default">
      <x v="1"/>
    </i>
    <i>
      <x v="2"/>
      <x v="2"/>
    </i>
    <i r="1">
      <x v="3"/>
    </i>
    <i r="1">
      <x v="7"/>
    </i>
    <i r="1">
      <x v="22"/>
    </i>
    <i r="1">
      <x v="25"/>
    </i>
    <i r="1">
      <x v="27"/>
    </i>
    <i t="default">
      <x v="2"/>
    </i>
    <i>
      <x v="3"/>
      <x v="1"/>
    </i>
    <i r="1">
      <x v="12"/>
    </i>
    <i r="1">
      <x v="19"/>
    </i>
    <i r="1">
      <x v="30"/>
    </i>
    <i r="1">
      <x v="33"/>
    </i>
    <i r="1">
      <x v="34"/>
    </i>
    <i r="1">
      <x v="36"/>
    </i>
    <i t="default">
      <x v="3"/>
    </i>
    <i>
      <x v="4"/>
      <x v="4"/>
    </i>
    <i r="1">
      <x v="6"/>
    </i>
    <i r="1">
      <x v="8"/>
    </i>
    <i r="1">
      <x v="10"/>
    </i>
    <i r="1">
      <x v="18"/>
    </i>
    <i r="1">
      <x v="26"/>
    </i>
    <i r="1">
      <x v="37"/>
    </i>
    <i t="default">
      <x v="4"/>
    </i>
    <i>
      <x v="5"/>
      <x v="5"/>
    </i>
    <i r="1">
      <x v="13"/>
    </i>
    <i r="1">
      <x v="15"/>
    </i>
    <i r="1">
      <x v="16"/>
    </i>
    <i r="1">
      <x v="20"/>
    </i>
    <i r="1">
      <x v="21"/>
    </i>
    <i r="1">
      <x v="35"/>
    </i>
    <i t="default">
      <x v="5"/>
    </i>
    <i>
      <x v="6"/>
      <x v="40"/>
    </i>
    <i t="default">
      <x v="6"/>
    </i>
    <i t="grand">
      <x/>
    </i>
  </rowItems>
  <colFields count="1">
    <field x="-2"/>
  </colFields>
  <colItems count="2">
    <i>
      <x/>
    </i>
    <i i="1">
      <x v="1"/>
    </i>
  </colItems>
  <dataFields count="2">
    <dataField name="Count of Scrum Team Name" fld="1" subtotal="count" baseField="0" baseItem="0"/>
    <dataField name="Average of Scrum Team Completion Score" fld="26" subtotal="average" baseField="0" baseItem="0" numFmtId="9"/>
  </dataFields>
  <formats count="48">
    <format dxfId="404">
      <pivotArea type="all" dataOnly="0" outline="0" fieldPosition="0"/>
    </format>
    <format dxfId="405">
      <pivotArea outline="0" collapsedLevelsAreSubtotals="1" fieldPosition="0"/>
    </format>
    <format dxfId="406">
      <pivotArea field="0" type="button" dataOnly="0" labelOnly="1" outline="0"/>
    </format>
    <format dxfId="407">
      <pivotArea dataOnly="0" labelOnly="1" grandRow="1" outline="0" fieldPosition="0"/>
    </format>
    <format dxfId="408">
      <pivotArea dataOnly="0" labelOnly="1" outline="0" axis="axisValues" fieldPosition="0"/>
    </format>
    <format dxfId="409">
      <pivotArea field="0" type="button" dataOnly="0" labelOnly="1" outline="0"/>
    </format>
    <format dxfId="410">
      <pivotArea dataOnly="0" labelOnly="1" outline="0" axis="axisValues" fieldPosition="0"/>
    </format>
    <format dxfId="411">
      <pivotArea outline="0" collapsedLevelsAreSubtotals="1" fieldPosition="0"/>
    </format>
    <format dxfId="412">
      <pivotArea dataOnly="0" labelOnly="1" outline="0" axis="axisValues" fieldPosition="0"/>
    </format>
    <format dxfId="413">
      <pivotArea dataOnly="0" labelOnly="1" outline="0" fieldPosition="0">
        <references count="1">
          <reference field="4294967294" count="1">
            <x v="0"/>
          </reference>
        </references>
      </pivotArea>
    </format>
    <format dxfId="414">
      <pivotArea dataOnly="0" labelOnly="1" outline="0" fieldPosition="0">
        <references count="1">
          <reference field="4294967294" count="1">
            <x v="0"/>
          </reference>
        </references>
      </pivotArea>
    </format>
    <format dxfId="415">
      <pivotArea type="all" dataOnly="0" outline="0" fieldPosition="0"/>
    </format>
    <format dxfId="416">
      <pivotArea outline="0" collapsedLevelsAreSubtotals="1" fieldPosition="0"/>
    </format>
    <format dxfId="417">
      <pivotArea field="0" type="button" dataOnly="0" labelOnly="1" outline="0"/>
    </format>
    <format dxfId="418">
      <pivotArea dataOnly="0" labelOnly="1" grandRow="1" outline="0" fieldPosition="0"/>
    </format>
    <format dxfId="419">
      <pivotArea dataOnly="0" labelOnly="1" outline="0" fieldPosition="0">
        <references count="1">
          <reference field="4294967294" count="1">
            <x v="0"/>
          </reference>
        </references>
      </pivotArea>
    </format>
    <format dxfId="420">
      <pivotArea field="2" type="button" dataOnly="0" labelOnly="1" outline="0" axis="axisRow" fieldPosition="1"/>
    </format>
    <format dxfId="421">
      <pivotArea dataOnly="0" labelOnly="1" outline="0" fieldPosition="0">
        <references count="1">
          <reference field="4294967294" count="1">
            <x v="0"/>
          </reference>
        </references>
      </pivotArea>
    </format>
    <format dxfId="422">
      <pivotArea dataOnly="0" labelOnly="1" outline="0" fieldPosition="0">
        <references count="1">
          <reference field="4294967294" count="1">
            <x v="1"/>
          </reference>
        </references>
      </pivotArea>
    </format>
    <format dxfId="423">
      <pivotArea dataOnly="0" labelOnly="1" outline="0" fieldPosition="0">
        <references count="1">
          <reference field="4294967294" count="1">
            <x v="1"/>
          </reference>
        </references>
      </pivotArea>
    </format>
    <format dxfId="424">
      <pivotArea outline="0" fieldPosition="0">
        <references count="1">
          <reference field="4294967294" count="1" selected="0">
            <x v="1"/>
          </reference>
        </references>
      </pivotArea>
    </format>
    <format dxfId="425">
      <pivotArea dataOnly="0" labelOnly="1" outline="0" fieldPosition="0">
        <references count="1">
          <reference field="4294967294" count="1">
            <x v="1"/>
          </reference>
        </references>
      </pivotArea>
    </format>
    <format dxfId="426">
      <pivotArea dataOnly="0" labelOnly="1" outline="0" fieldPosition="0">
        <references count="1">
          <reference field="4294967294" count="1">
            <x v="1"/>
          </reference>
        </references>
      </pivotArea>
    </format>
    <format dxfId="427">
      <pivotArea outline="0" fieldPosition="0">
        <references count="1">
          <reference field="29" count="1" selected="0" defaultSubtotal="1">
            <x v="0"/>
          </reference>
        </references>
      </pivotArea>
    </format>
    <format dxfId="428">
      <pivotArea dataOnly="0" labelOnly="1" outline="0" fieldPosition="0">
        <references count="1">
          <reference field="29" count="1" defaultSubtotal="1">
            <x v="0"/>
          </reference>
        </references>
      </pivotArea>
    </format>
    <format dxfId="429">
      <pivotArea outline="0" fieldPosition="0">
        <references count="1">
          <reference field="29" count="1" selected="0" defaultSubtotal="1">
            <x v="0"/>
          </reference>
        </references>
      </pivotArea>
    </format>
    <format dxfId="430">
      <pivotArea dataOnly="0" labelOnly="1" outline="0" fieldPosition="0">
        <references count="1">
          <reference field="29" count="1" defaultSubtotal="1">
            <x v="0"/>
          </reference>
        </references>
      </pivotArea>
    </format>
    <format dxfId="431">
      <pivotArea outline="0" fieldPosition="0">
        <references count="1">
          <reference field="29" count="1" selected="0" defaultSubtotal="1">
            <x v="1"/>
          </reference>
        </references>
      </pivotArea>
    </format>
    <format dxfId="432">
      <pivotArea dataOnly="0" labelOnly="1" outline="0" fieldPosition="0">
        <references count="1">
          <reference field="29" count="1" defaultSubtotal="1">
            <x v="1"/>
          </reference>
        </references>
      </pivotArea>
    </format>
    <format dxfId="433">
      <pivotArea outline="0" fieldPosition="0">
        <references count="1">
          <reference field="29" count="1" selected="0" defaultSubtotal="1">
            <x v="1"/>
          </reference>
        </references>
      </pivotArea>
    </format>
    <format dxfId="434">
      <pivotArea dataOnly="0" labelOnly="1" outline="0" fieldPosition="0">
        <references count="1">
          <reference field="29" count="1" defaultSubtotal="1">
            <x v="1"/>
          </reference>
        </references>
      </pivotArea>
    </format>
    <format dxfId="435">
      <pivotArea outline="0" fieldPosition="0">
        <references count="1">
          <reference field="29" count="1" selected="0" defaultSubtotal="1">
            <x v="2"/>
          </reference>
        </references>
      </pivotArea>
    </format>
    <format dxfId="436">
      <pivotArea dataOnly="0" labelOnly="1" outline="0" fieldPosition="0">
        <references count="1">
          <reference field="29" count="1" defaultSubtotal="1">
            <x v="2"/>
          </reference>
        </references>
      </pivotArea>
    </format>
    <format dxfId="437">
      <pivotArea outline="0" fieldPosition="0">
        <references count="1">
          <reference field="29" count="1" selected="0" defaultSubtotal="1">
            <x v="2"/>
          </reference>
        </references>
      </pivotArea>
    </format>
    <format dxfId="438">
      <pivotArea dataOnly="0" labelOnly="1" outline="0" fieldPosition="0">
        <references count="1">
          <reference field="29" count="1" defaultSubtotal="1">
            <x v="2"/>
          </reference>
        </references>
      </pivotArea>
    </format>
    <format dxfId="439">
      <pivotArea outline="0" fieldPosition="0">
        <references count="1">
          <reference field="29" count="1" selected="0" defaultSubtotal="1">
            <x v="3"/>
          </reference>
        </references>
      </pivotArea>
    </format>
    <format dxfId="440">
      <pivotArea dataOnly="0" labelOnly="1" outline="0" fieldPosition="0">
        <references count="1">
          <reference field="29" count="1" defaultSubtotal="1">
            <x v="3"/>
          </reference>
        </references>
      </pivotArea>
    </format>
    <format dxfId="441">
      <pivotArea outline="0" fieldPosition="0">
        <references count="1">
          <reference field="29" count="1" selected="0" defaultSubtotal="1">
            <x v="3"/>
          </reference>
        </references>
      </pivotArea>
    </format>
    <format dxfId="442">
      <pivotArea dataOnly="0" labelOnly="1" outline="0" fieldPosition="0">
        <references count="1">
          <reference field="29" count="1" defaultSubtotal="1">
            <x v="3"/>
          </reference>
        </references>
      </pivotArea>
    </format>
    <format dxfId="443">
      <pivotArea outline="0" fieldPosition="0">
        <references count="1">
          <reference field="29" count="1" selected="0" defaultSubtotal="1">
            <x v="4"/>
          </reference>
        </references>
      </pivotArea>
    </format>
    <format dxfId="444">
      <pivotArea dataOnly="0" labelOnly="1" outline="0" fieldPosition="0">
        <references count="1">
          <reference field="29" count="1" defaultSubtotal="1">
            <x v="4"/>
          </reference>
        </references>
      </pivotArea>
    </format>
    <format dxfId="445">
      <pivotArea outline="0" fieldPosition="0">
        <references count="1">
          <reference field="29" count="1" selected="0" defaultSubtotal="1">
            <x v="4"/>
          </reference>
        </references>
      </pivotArea>
    </format>
    <format dxfId="446">
      <pivotArea dataOnly="0" labelOnly="1" outline="0" fieldPosition="0">
        <references count="1">
          <reference field="29" count="1" defaultSubtotal="1">
            <x v="4"/>
          </reference>
        </references>
      </pivotArea>
    </format>
    <format dxfId="447">
      <pivotArea outline="0" fieldPosition="0">
        <references count="1">
          <reference field="29" count="1" selected="0" defaultSubtotal="1">
            <x v="5"/>
          </reference>
        </references>
      </pivotArea>
    </format>
    <format dxfId="448">
      <pivotArea dataOnly="0" labelOnly="1" outline="0" fieldPosition="0">
        <references count="1">
          <reference field="29" count="1" defaultSubtotal="1">
            <x v="5"/>
          </reference>
        </references>
      </pivotArea>
    </format>
    <format dxfId="449">
      <pivotArea outline="0" fieldPosition="0">
        <references count="1">
          <reference field="29" count="1" selected="0" defaultSubtotal="1">
            <x v="5"/>
          </reference>
        </references>
      </pivotArea>
    </format>
    <format dxfId="450">
      <pivotArea dataOnly="0" labelOnly="1" outline="0" fieldPosition="0">
        <references count="1">
          <reference field="29" count="1" defaultSubtotal="1">
            <x v="5"/>
          </reference>
        </references>
      </pivotArea>
    </format>
    <format dxfId="451">
      <pivotArea field="2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B54E26-C866-4257-BEB4-18D1A1AF2E10}" name="PivotTable3" cacheId="2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G1:I175" firstHeaderRow="1" firstDataRow="1" firstDataCol="2"/>
  <pivotFields count="34">
    <pivotField axis="axisRow" compact="0" outline="0" showAll="0" sortType="ascending">
      <items count="49">
        <item x="0"/>
        <item x="1"/>
        <item x="2"/>
        <item x="3"/>
        <item x="4"/>
        <item x="5"/>
        <item m="1" x="46"/>
        <item x="6"/>
        <item x="7"/>
        <item x="8"/>
        <item x="9"/>
        <item x="10"/>
        <item x="11"/>
        <item x="12"/>
        <item x="13"/>
        <item x="14"/>
        <item m="1" x="42"/>
        <item x="15"/>
        <item m="1" x="41"/>
        <item x="16"/>
        <item m="1" x="47"/>
        <item x="17"/>
        <item m="1" x="40"/>
        <item x="18"/>
        <item x="19"/>
        <item x="20"/>
        <item x="21"/>
        <item x="22"/>
        <item x="23"/>
        <item x="24"/>
        <item m="1" x="44"/>
        <item x="25"/>
        <item x="26"/>
        <item m="1" x="43"/>
        <item x="27"/>
        <item x="28"/>
        <item x="29"/>
        <item x="30"/>
        <item x="31"/>
        <item m="1" x="45"/>
        <item m="1" x="39"/>
        <item x="32"/>
        <item x="33"/>
        <item x="34"/>
        <item x="35"/>
        <item m="1" x="38"/>
        <item x="36"/>
        <item x="37"/>
        <item t="default"/>
      </items>
    </pivotField>
    <pivotField axis="axisRow" compact="0" outline="0" showAll="0" sortType="ascending">
      <items count="220">
        <item m="1" x="195"/>
        <item m="1" x="198"/>
        <item m="1" x="155"/>
        <item m="1" x="159"/>
        <item m="1" x="153"/>
        <item m="1" x="154"/>
        <item m="1" x="215"/>
        <item m="1" x="214"/>
        <item m="1" x="157"/>
        <item m="1" x="158"/>
        <item m="1" x="156"/>
        <item m="1" x="152"/>
        <item x="57"/>
        <item x="58"/>
        <item x="6"/>
        <item x="7"/>
        <item x="8"/>
        <item x="9"/>
        <item m="1" x="173"/>
        <item x="14"/>
        <item x="18"/>
        <item x="15"/>
        <item x="16"/>
        <item m="1" x="178"/>
        <item x="17"/>
        <item x="10"/>
        <item m="1" x="197"/>
        <item m="1" x="181"/>
        <item m="1" x="180"/>
        <item m="1" x="182"/>
        <item m="1" x="179"/>
        <item x="11"/>
        <item x="12"/>
        <item x="13"/>
        <item x="19"/>
        <item x="20"/>
        <item x="28"/>
        <item x="5"/>
        <item m="1" x="160"/>
        <item x="42"/>
        <item m="1" x="140"/>
        <item x="43"/>
        <item x="96"/>
        <item x="118"/>
        <item m="1" x="187"/>
        <item m="1" x="210"/>
        <item m="1" x="145"/>
        <item m="1" x="141"/>
        <item m="1" x="211"/>
        <item m="1" x="146"/>
        <item m="1" x="138"/>
        <item m="1" x="209"/>
        <item m="1" x="144"/>
        <item x="44"/>
        <item x="29"/>
        <item x="30"/>
        <item x="59"/>
        <item x="124"/>
        <item m="1" x="167"/>
        <item m="1" x="166"/>
        <item m="1" x="163"/>
        <item m="1" x="164"/>
        <item m="1" x="171"/>
        <item m="1" x="165"/>
        <item m="1" x="168"/>
        <item m="1" x="172"/>
        <item m="1" x="170"/>
        <item m="1" x="169"/>
        <item x="23"/>
        <item x="35"/>
        <item m="1" x="216"/>
        <item x="50"/>
        <item x="49"/>
        <item m="1" x="139"/>
        <item x="51"/>
        <item m="1" x="188"/>
        <item m="1" x="192"/>
        <item m="1" x="196"/>
        <item x="107"/>
        <item x="52"/>
        <item m="1" x="191"/>
        <item x="53"/>
        <item x="125"/>
        <item x="119"/>
        <item x="120"/>
        <item x="60"/>
        <item m="1" x="217"/>
        <item m="1" x="218"/>
        <item x="54"/>
        <item x="55"/>
        <item x="56"/>
        <item m="1" x="151"/>
        <item x="61"/>
        <item x="114"/>
        <item x="31"/>
        <item x="75"/>
        <item x="36"/>
        <item x="37"/>
        <item x="38"/>
        <item x="45"/>
        <item x="77"/>
        <item x="97"/>
        <item x="74"/>
        <item x="62"/>
        <item x="78"/>
        <item x="0"/>
        <item x="116"/>
        <item x="1"/>
        <item x="70"/>
        <item x="76"/>
        <item x="71"/>
        <item x="72"/>
        <item x="73"/>
        <item x="83"/>
        <item m="1" x="176"/>
        <item x="84"/>
        <item x="85"/>
        <item x="86"/>
        <item x="87"/>
        <item x="88"/>
        <item x="89"/>
        <item x="90"/>
        <item x="91"/>
        <item x="92"/>
        <item x="93"/>
        <item x="94"/>
        <item x="2"/>
        <item x="32"/>
        <item x="21"/>
        <item x="121"/>
        <item x="108"/>
        <item m="1" x="190"/>
        <item m="1" x="194"/>
        <item x="109"/>
        <item x="95"/>
        <item m="1" x="135"/>
        <item x="82"/>
        <item x="79"/>
        <item x="98"/>
        <item m="1" x="161"/>
        <item x="115"/>
        <item x="99"/>
        <item m="1" x="177"/>
        <item x="63"/>
        <item x="46"/>
        <item x="64"/>
        <item x="65"/>
        <item x="66"/>
        <item m="1" x="136"/>
        <item x="106"/>
        <item x="105"/>
        <item m="1" x="137"/>
        <item x="110"/>
        <item x="3"/>
        <item x="22"/>
        <item m="1" x="162"/>
        <item m="1" x="149"/>
        <item m="1" x="208"/>
        <item m="1" x="143"/>
        <item m="1" x="203"/>
        <item x="126"/>
        <item m="1" x="201"/>
        <item x="39"/>
        <item x="111"/>
        <item m="1" x="202"/>
        <item m="1" x="206"/>
        <item m="1" x="205"/>
        <item m="1" x="204"/>
        <item x="4"/>
        <item x="100"/>
        <item m="1" x="207"/>
        <item m="1" x="142"/>
        <item m="1" x="189"/>
        <item m="1" x="200"/>
        <item x="122"/>
        <item x="33"/>
        <item x="24"/>
        <item x="117"/>
        <item m="1" x="184"/>
        <item m="1" x="199"/>
        <item x="112"/>
        <item x="40"/>
        <item x="41"/>
        <item x="127"/>
        <item m="1" x="185"/>
        <item x="113"/>
        <item x="80"/>
        <item x="128"/>
        <item x="101"/>
        <item x="25"/>
        <item x="67"/>
        <item x="129"/>
        <item m="1" x="148"/>
        <item m="1" x="147"/>
        <item x="102"/>
        <item x="103"/>
        <item m="1" x="212"/>
        <item m="1" x="213"/>
        <item x="130"/>
        <item x="131"/>
        <item x="47"/>
        <item x="132"/>
        <item x="104"/>
        <item x="26"/>
        <item m="1" x="183"/>
        <item m="1" x="193"/>
        <item m="1" x="186"/>
        <item x="68"/>
        <item x="27"/>
        <item x="123"/>
        <item m="1" x="150"/>
        <item x="69"/>
        <item x="48"/>
        <item x="34"/>
        <item m="1" x="174"/>
        <item m="1" x="175"/>
        <item x="81"/>
        <item x="133"/>
        <item x="13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0"/>
    <field x="1"/>
  </rowFields>
  <rowItems count="174">
    <i>
      <x/>
      <x v="37"/>
    </i>
    <i r="1">
      <x v="105"/>
    </i>
    <i r="1">
      <x v="107"/>
    </i>
    <i r="1">
      <x v="126"/>
    </i>
    <i r="1">
      <x v="153"/>
    </i>
    <i r="1">
      <x v="168"/>
    </i>
    <i t="default">
      <x/>
    </i>
    <i>
      <x v="1"/>
      <x v="14"/>
    </i>
    <i r="1">
      <x v="15"/>
    </i>
    <i r="1">
      <x v="16"/>
    </i>
    <i r="1">
      <x v="17"/>
    </i>
    <i t="default">
      <x v="1"/>
    </i>
    <i>
      <x v="2"/>
      <x v="25"/>
    </i>
    <i r="1">
      <x v="31"/>
    </i>
    <i r="1">
      <x v="32"/>
    </i>
    <i r="1">
      <x v="33"/>
    </i>
    <i t="default">
      <x v="2"/>
    </i>
    <i>
      <x v="3"/>
      <x v="19"/>
    </i>
    <i t="default">
      <x v="3"/>
    </i>
    <i>
      <x v="4"/>
      <x v="21"/>
    </i>
    <i r="1">
      <x v="22"/>
    </i>
    <i r="1">
      <x v="24"/>
    </i>
    <i t="default">
      <x v="4"/>
    </i>
    <i>
      <x v="5"/>
      <x v="20"/>
    </i>
    <i t="default">
      <x v="5"/>
    </i>
    <i>
      <x v="7"/>
      <x v="34"/>
    </i>
    <i t="default">
      <x v="7"/>
    </i>
    <i>
      <x v="8"/>
      <x v="35"/>
    </i>
    <i t="default">
      <x v="8"/>
    </i>
    <i>
      <x v="9"/>
      <x v="68"/>
    </i>
    <i r="1">
      <x v="128"/>
    </i>
    <i r="1">
      <x v="154"/>
    </i>
    <i t="default">
      <x v="9"/>
    </i>
    <i>
      <x v="10"/>
      <x v="176"/>
    </i>
    <i r="1">
      <x v="189"/>
    </i>
    <i r="1">
      <x v="203"/>
    </i>
    <i r="1">
      <x v="208"/>
    </i>
    <i t="default">
      <x v="10"/>
    </i>
    <i>
      <x v="11"/>
      <x v="36"/>
    </i>
    <i r="1">
      <x v="54"/>
    </i>
    <i r="1">
      <x v="55"/>
    </i>
    <i r="1">
      <x v="94"/>
    </i>
    <i r="1">
      <x v="127"/>
    </i>
    <i r="1">
      <x v="175"/>
    </i>
    <i r="1">
      <x v="213"/>
    </i>
    <i t="default">
      <x v="11"/>
    </i>
    <i>
      <x v="12"/>
      <x v="69"/>
    </i>
    <i r="1">
      <x v="96"/>
    </i>
    <i r="1">
      <x v="97"/>
    </i>
    <i r="1">
      <x v="98"/>
    </i>
    <i r="1">
      <x v="162"/>
    </i>
    <i r="1">
      <x v="181"/>
    </i>
    <i r="1">
      <x v="182"/>
    </i>
    <i t="default">
      <x v="12"/>
    </i>
    <i>
      <x v="13"/>
      <x v="39"/>
    </i>
    <i t="default">
      <x v="13"/>
    </i>
    <i>
      <x v="14"/>
      <x v="41"/>
    </i>
    <i t="default">
      <x v="14"/>
    </i>
    <i>
      <x v="15"/>
      <x v="53"/>
    </i>
    <i t="default">
      <x v="15"/>
    </i>
    <i>
      <x v="17"/>
      <x v="71"/>
    </i>
    <i r="1">
      <x v="72"/>
    </i>
    <i r="1">
      <x v="99"/>
    </i>
    <i r="1">
      <x v="144"/>
    </i>
    <i r="1">
      <x v="200"/>
    </i>
    <i r="1">
      <x v="212"/>
    </i>
    <i t="default">
      <x v="17"/>
    </i>
    <i>
      <x v="19"/>
      <x v="74"/>
    </i>
    <i r="1">
      <x v="79"/>
    </i>
    <i r="1">
      <x v="81"/>
    </i>
    <i t="default">
      <x v="19"/>
    </i>
    <i>
      <x v="21"/>
      <x v="88"/>
    </i>
    <i r="1">
      <x v="89"/>
    </i>
    <i r="1">
      <x v="90"/>
    </i>
    <i t="default">
      <x v="21"/>
    </i>
    <i>
      <x v="23"/>
      <x v="12"/>
    </i>
    <i r="1">
      <x v="13"/>
    </i>
    <i r="1">
      <x v="56"/>
    </i>
    <i r="1">
      <x v="85"/>
    </i>
    <i r="1">
      <x v="92"/>
    </i>
    <i r="1">
      <x v="103"/>
    </i>
    <i r="1">
      <x v="143"/>
    </i>
    <i r="1">
      <x v="145"/>
    </i>
    <i r="1">
      <x v="146"/>
    </i>
    <i r="1">
      <x v="147"/>
    </i>
    <i r="1">
      <x v="190"/>
    </i>
    <i r="1">
      <x v="207"/>
    </i>
    <i r="1">
      <x v="211"/>
    </i>
    <i t="default">
      <x v="23"/>
    </i>
    <i>
      <x v="24"/>
      <x v="108"/>
    </i>
    <i r="1">
      <x v="110"/>
    </i>
    <i r="1">
      <x v="111"/>
    </i>
    <i r="1">
      <x v="112"/>
    </i>
    <i t="default">
      <x v="24"/>
    </i>
    <i>
      <x v="25"/>
      <x v="102"/>
    </i>
    <i t="default">
      <x v="25"/>
    </i>
    <i>
      <x v="26"/>
      <x v="95"/>
    </i>
    <i t="default">
      <x v="26"/>
    </i>
    <i>
      <x v="27"/>
      <x v="109"/>
    </i>
    <i t="default">
      <x v="27"/>
    </i>
    <i>
      <x v="28"/>
      <x v="100"/>
    </i>
    <i r="1">
      <x v="104"/>
    </i>
    <i r="1">
      <x v="137"/>
    </i>
    <i r="1">
      <x v="186"/>
    </i>
    <i r="1">
      <x v="216"/>
    </i>
    <i t="default">
      <x v="28"/>
    </i>
    <i>
      <x v="29"/>
      <x v="136"/>
    </i>
    <i t="default">
      <x v="29"/>
    </i>
    <i>
      <x v="31"/>
      <x v="113"/>
    </i>
    <i r="1">
      <x v="115"/>
    </i>
    <i r="1">
      <x v="116"/>
    </i>
    <i r="1">
      <x v="117"/>
    </i>
    <i r="1">
      <x v="118"/>
    </i>
    <i r="1">
      <x v="119"/>
    </i>
    <i r="1">
      <x v="120"/>
    </i>
    <i r="1">
      <x v="121"/>
    </i>
    <i r="1">
      <x v="122"/>
    </i>
    <i r="1">
      <x v="123"/>
    </i>
    <i r="1">
      <x v="124"/>
    </i>
    <i r="1">
      <x v="125"/>
    </i>
    <i t="default">
      <x v="31"/>
    </i>
    <i>
      <x v="32"/>
      <x v="134"/>
    </i>
    <i t="default">
      <x v="32"/>
    </i>
    <i>
      <x v="34"/>
      <x v="42"/>
    </i>
    <i r="1">
      <x v="101"/>
    </i>
    <i r="1">
      <x v="138"/>
    </i>
    <i r="1">
      <x v="141"/>
    </i>
    <i r="1">
      <x v="169"/>
    </i>
    <i r="1">
      <x v="188"/>
    </i>
    <i r="1">
      <x v="194"/>
    </i>
    <i r="1">
      <x v="195"/>
    </i>
    <i r="1">
      <x v="202"/>
    </i>
    <i t="default">
      <x v="34"/>
    </i>
    <i>
      <x v="35"/>
      <x v="149"/>
    </i>
    <i r="1">
      <x v="150"/>
    </i>
    <i t="default">
      <x v="35"/>
    </i>
    <i>
      <x v="36"/>
      <x v="78"/>
    </i>
    <i r="1">
      <x v="130"/>
    </i>
    <i r="1">
      <x v="133"/>
    </i>
    <i r="1">
      <x v="152"/>
    </i>
    <i r="1">
      <x v="163"/>
    </i>
    <i r="1">
      <x v="180"/>
    </i>
    <i r="1">
      <x v="185"/>
    </i>
    <i t="default">
      <x v="36"/>
    </i>
    <i>
      <x v="37"/>
      <x v="93"/>
    </i>
    <i r="1">
      <x v="140"/>
    </i>
    <i t="default">
      <x v="37"/>
    </i>
    <i>
      <x v="38"/>
      <x v="106"/>
    </i>
    <i r="1">
      <x v="177"/>
    </i>
    <i t="default">
      <x v="38"/>
    </i>
    <i>
      <x v="41"/>
      <x v="43"/>
    </i>
    <i r="1">
      <x v="83"/>
    </i>
    <i r="1">
      <x v="84"/>
    </i>
    <i r="1">
      <x v="129"/>
    </i>
    <i r="1">
      <x v="174"/>
    </i>
    <i r="1">
      <x v="209"/>
    </i>
    <i t="default">
      <x v="41"/>
    </i>
    <i>
      <x v="42"/>
      <x v="57"/>
    </i>
    <i r="1">
      <x v="82"/>
    </i>
    <i r="1">
      <x v="160"/>
    </i>
    <i r="1">
      <x v="183"/>
    </i>
    <i r="1">
      <x v="187"/>
    </i>
    <i r="1">
      <x v="191"/>
    </i>
    <i t="default">
      <x v="42"/>
    </i>
    <i>
      <x v="43"/>
      <x v="198"/>
    </i>
    <i r="1">
      <x v="199"/>
    </i>
    <i t="default">
      <x v="43"/>
    </i>
    <i>
      <x v="44"/>
      <x v="201"/>
    </i>
    <i t="default">
      <x v="44"/>
    </i>
    <i>
      <x v="46"/>
      <x v="217"/>
    </i>
    <i t="default">
      <x v="46"/>
    </i>
    <i>
      <x v="47"/>
      <x v="218"/>
    </i>
    <i t="default">
      <x v="47"/>
    </i>
    <i t="grand">
      <x/>
    </i>
  </rowItems>
  <colItems count="1">
    <i/>
  </colItems>
  <dataFields count="1">
    <dataField name="Average of Scrum Team Completion Score" fld="26" subtotal="average" baseField="0" baseItem="0"/>
  </dataFields>
  <formats count="196">
    <format dxfId="208">
      <pivotArea type="all" dataOnly="0" outline="0" fieldPosition="0"/>
    </format>
    <format dxfId="209">
      <pivotArea outline="0" collapsedLevelsAreSubtotals="1" fieldPosition="0"/>
    </format>
    <format dxfId="210">
      <pivotArea field="1" type="button" dataOnly="0" labelOnly="1" outline="0" axis="axisRow" fieldPosition="1"/>
    </format>
    <format dxfId="211">
      <pivotArea dataOnly="0" labelOnly="1" outline="0" fieldPosition="0">
        <references count="1">
          <reference field="1" count="50">
            <x v="2"/>
            <x v="3"/>
            <x v="4"/>
            <x v="5"/>
            <x v="6"/>
            <x v="7"/>
            <x v="9"/>
            <x v="10"/>
            <x v="11"/>
            <x v="26"/>
            <x v="38"/>
            <x v="39"/>
            <x v="40"/>
            <x v="41"/>
            <x v="45"/>
            <x v="48"/>
            <x v="51"/>
            <x v="56"/>
            <x v="58"/>
            <x v="59"/>
            <x v="60"/>
            <x v="61"/>
            <x v="62"/>
            <x v="63"/>
            <x v="64"/>
            <x v="66"/>
            <x v="67"/>
            <x v="74"/>
            <x v="78"/>
            <x v="79"/>
            <x v="81"/>
            <x v="83"/>
            <x v="84"/>
            <x v="85"/>
            <x v="86"/>
            <x v="87"/>
            <x v="88"/>
            <x v="90"/>
            <x v="93"/>
            <x v="95"/>
            <x v="99"/>
            <x v="100"/>
            <x v="102"/>
            <x v="104"/>
            <x v="105"/>
            <x v="106"/>
            <x v="107"/>
            <x v="126"/>
            <x v="128"/>
            <x v="130"/>
          </reference>
        </references>
      </pivotArea>
    </format>
    <format dxfId="212">
      <pivotArea dataOnly="0" labelOnly="1" outline="0" fieldPosition="0">
        <references count="1">
          <reference field="1" count="38">
            <x v="133"/>
            <x v="135"/>
            <x v="136"/>
            <x v="137"/>
            <x v="139"/>
            <x v="140"/>
            <x v="142"/>
            <x v="143"/>
            <x v="144"/>
            <x v="147"/>
            <x v="152"/>
            <x v="153"/>
            <x v="154"/>
            <x v="155"/>
            <x v="157"/>
            <x v="159"/>
            <x v="161"/>
            <x v="163"/>
            <x v="164"/>
            <x v="165"/>
            <x v="166"/>
            <x v="167"/>
            <x v="168"/>
            <x v="169"/>
            <x v="170"/>
            <x v="174"/>
            <x v="177"/>
            <x v="180"/>
            <x v="185"/>
            <x v="186"/>
            <x v="200"/>
            <x v="207"/>
            <x v="209"/>
            <x v="210"/>
            <x v="212"/>
            <x v="216"/>
            <x v="217"/>
            <x v="218"/>
          </reference>
        </references>
      </pivotArea>
    </format>
    <format dxfId="213">
      <pivotArea dataOnly="0" labelOnly="1" grandRow="1" outline="0" fieldPosition="0"/>
    </format>
    <format dxfId="214">
      <pivotArea dataOnly="0" labelOnly="1" outline="0" axis="axisValues" fieldPosition="0"/>
    </format>
    <format dxfId="215">
      <pivotArea outline="0" collapsedLevelsAreSubtotals="1" fieldPosition="0"/>
    </format>
    <format dxfId="216">
      <pivotArea dataOnly="0" labelOnly="1" outline="0" axis="axisValues" fieldPosition="0"/>
    </format>
    <format dxfId="217">
      <pivotArea field="0" type="button" dataOnly="0" labelOnly="1" outline="0" axis="axisRow" fieldPosition="0"/>
    </format>
    <format dxfId="218">
      <pivotArea field="1" type="button" dataOnly="0" labelOnly="1" outline="0" axis="axisRow" fieldPosition="1"/>
    </format>
    <format dxfId="219">
      <pivotArea dataOnly="0" labelOnly="1" outline="0" axis="axisValues" fieldPosition="0"/>
    </format>
    <format dxfId="220">
      <pivotArea outline="0" fieldPosition="0">
        <references count="1">
          <reference field="0" count="1" selected="0" defaultSubtotal="1">
            <x v="0"/>
          </reference>
        </references>
      </pivotArea>
    </format>
    <format dxfId="221">
      <pivotArea dataOnly="0" labelOnly="1" outline="0" fieldPosition="0">
        <references count="1">
          <reference field="0" count="1" defaultSubtotal="1">
            <x v="0"/>
          </reference>
        </references>
      </pivotArea>
    </format>
    <format dxfId="222">
      <pivotArea outline="0" fieldPosition="0">
        <references count="1">
          <reference field="0" count="1" selected="0" defaultSubtotal="1">
            <x v="6"/>
          </reference>
        </references>
      </pivotArea>
    </format>
    <format dxfId="223">
      <pivotArea dataOnly="0" labelOnly="1" outline="0" fieldPosition="0">
        <references count="1">
          <reference field="0" count="1" defaultSubtotal="1">
            <x v="6"/>
          </reference>
        </references>
      </pivotArea>
    </format>
    <format dxfId="224">
      <pivotArea outline="0" fieldPosition="0">
        <references count="1">
          <reference field="0" count="1" selected="0" defaultSubtotal="1">
            <x v="9"/>
          </reference>
        </references>
      </pivotArea>
    </format>
    <format dxfId="225">
      <pivotArea dataOnly="0" labelOnly="1" outline="0" fieldPosition="0">
        <references count="1">
          <reference field="0" count="1" defaultSubtotal="1">
            <x v="9"/>
          </reference>
        </references>
      </pivotArea>
    </format>
    <format dxfId="226">
      <pivotArea outline="0" fieldPosition="0">
        <references count="1">
          <reference field="0" count="1" selected="0" defaultSubtotal="1">
            <x v="12"/>
          </reference>
        </references>
      </pivotArea>
    </format>
    <format dxfId="227">
      <pivotArea dataOnly="0" labelOnly="1" outline="0" fieldPosition="0">
        <references count="1">
          <reference field="0" count="1" defaultSubtotal="1">
            <x v="12"/>
          </reference>
        </references>
      </pivotArea>
    </format>
    <format dxfId="228">
      <pivotArea outline="0" fieldPosition="0">
        <references count="1">
          <reference field="0" count="1" selected="0" defaultSubtotal="1">
            <x v="14"/>
          </reference>
        </references>
      </pivotArea>
    </format>
    <format dxfId="229">
      <pivotArea dataOnly="0" labelOnly="1" outline="0" fieldPosition="0">
        <references count="1">
          <reference field="0" count="1" defaultSubtotal="1">
            <x v="14"/>
          </reference>
        </references>
      </pivotArea>
    </format>
    <format dxfId="230">
      <pivotArea outline="0" fieldPosition="0">
        <references count="1">
          <reference field="0" count="1" selected="0" defaultSubtotal="1">
            <x v="15"/>
          </reference>
        </references>
      </pivotArea>
    </format>
    <format dxfId="231">
      <pivotArea dataOnly="0" labelOnly="1" outline="0" fieldPosition="0">
        <references count="1">
          <reference field="0" count="1" defaultSubtotal="1">
            <x v="15"/>
          </reference>
        </references>
      </pivotArea>
    </format>
    <format dxfId="232">
      <pivotArea outline="0" fieldPosition="0">
        <references count="1">
          <reference field="0" count="1" selected="0" defaultSubtotal="1">
            <x v="0"/>
          </reference>
        </references>
      </pivotArea>
    </format>
    <format dxfId="233">
      <pivotArea dataOnly="0" labelOnly="1" outline="0" fieldPosition="0">
        <references count="1">
          <reference field="0" count="1" defaultSubtotal="1">
            <x v="0"/>
          </reference>
        </references>
      </pivotArea>
    </format>
    <format dxfId="234">
      <pivotArea outline="0" fieldPosition="0">
        <references count="1">
          <reference field="0" count="1" selected="0" defaultSubtotal="1">
            <x v="6"/>
          </reference>
        </references>
      </pivotArea>
    </format>
    <format dxfId="235">
      <pivotArea dataOnly="0" labelOnly="1" outline="0" fieldPosition="0">
        <references count="1">
          <reference field="0" count="1" defaultSubtotal="1">
            <x v="6"/>
          </reference>
        </references>
      </pivotArea>
    </format>
    <format dxfId="236">
      <pivotArea outline="0" fieldPosition="0">
        <references count="1">
          <reference field="0" count="1" selected="0" defaultSubtotal="1">
            <x v="9"/>
          </reference>
        </references>
      </pivotArea>
    </format>
    <format dxfId="237">
      <pivotArea dataOnly="0" labelOnly="1" outline="0" fieldPosition="0">
        <references count="1">
          <reference field="0" count="1" defaultSubtotal="1">
            <x v="9"/>
          </reference>
        </references>
      </pivotArea>
    </format>
    <format dxfId="238">
      <pivotArea outline="0" fieldPosition="0">
        <references count="1">
          <reference field="0" count="1" selected="0" defaultSubtotal="1">
            <x v="12"/>
          </reference>
        </references>
      </pivotArea>
    </format>
    <format dxfId="239">
      <pivotArea dataOnly="0" labelOnly="1" outline="0" fieldPosition="0">
        <references count="1">
          <reference field="0" count="1" defaultSubtotal="1">
            <x v="12"/>
          </reference>
        </references>
      </pivotArea>
    </format>
    <format dxfId="240">
      <pivotArea outline="0" fieldPosition="0">
        <references count="1">
          <reference field="0" count="1" selected="0" defaultSubtotal="1">
            <x v="14"/>
          </reference>
        </references>
      </pivotArea>
    </format>
    <format dxfId="241">
      <pivotArea dataOnly="0" labelOnly="1" outline="0" fieldPosition="0">
        <references count="1">
          <reference field="0" count="1" defaultSubtotal="1">
            <x v="14"/>
          </reference>
        </references>
      </pivotArea>
    </format>
    <format dxfId="242">
      <pivotArea outline="0" fieldPosition="0">
        <references count="1">
          <reference field="0" count="1" selected="0" defaultSubtotal="1">
            <x v="15"/>
          </reference>
        </references>
      </pivotArea>
    </format>
    <format dxfId="243">
      <pivotArea dataOnly="0" labelOnly="1" outline="0" fieldPosition="0">
        <references count="1">
          <reference field="0" count="1" defaultSubtotal="1">
            <x v="15"/>
          </reference>
        </references>
      </pivotArea>
    </format>
    <format dxfId="244">
      <pivotArea outline="0" fieldPosition="0">
        <references count="1">
          <reference field="0" count="1" selected="0" defaultSubtotal="1">
            <x v="16"/>
          </reference>
        </references>
      </pivotArea>
    </format>
    <format dxfId="245">
      <pivotArea dataOnly="0" labelOnly="1" outline="0" fieldPosition="0">
        <references count="1">
          <reference field="0" count="1" defaultSubtotal="1">
            <x v="16"/>
          </reference>
        </references>
      </pivotArea>
    </format>
    <format dxfId="246">
      <pivotArea outline="0" fieldPosition="0">
        <references count="1">
          <reference field="0" count="1" selected="0" defaultSubtotal="1">
            <x v="17"/>
          </reference>
        </references>
      </pivotArea>
    </format>
    <format dxfId="247">
      <pivotArea dataOnly="0" labelOnly="1" outline="0" fieldPosition="0">
        <references count="1">
          <reference field="0" count="1" defaultSubtotal="1">
            <x v="17"/>
          </reference>
        </references>
      </pivotArea>
    </format>
    <format dxfId="248">
      <pivotArea outline="0" fieldPosition="0">
        <references count="1">
          <reference field="0" count="1" selected="0" defaultSubtotal="1">
            <x v="19"/>
          </reference>
        </references>
      </pivotArea>
    </format>
    <format dxfId="249">
      <pivotArea dataOnly="0" labelOnly="1" outline="0" fieldPosition="0">
        <references count="1">
          <reference field="0" count="1" defaultSubtotal="1">
            <x v="19"/>
          </reference>
        </references>
      </pivotArea>
    </format>
    <format dxfId="250">
      <pivotArea outline="0" fieldPosition="0">
        <references count="1">
          <reference field="0" count="1" selected="0" defaultSubtotal="1">
            <x v="21"/>
          </reference>
        </references>
      </pivotArea>
    </format>
    <format dxfId="251">
      <pivotArea dataOnly="0" labelOnly="1" outline="0" fieldPosition="0">
        <references count="1">
          <reference field="0" count="1" defaultSubtotal="1">
            <x v="21"/>
          </reference>
        </references>
      </pivotArea>
    </format>
    <format dxfId="252">
      <pivotArea outline="0" fieldPosition="0">
        <references count="1">
          <reference field="0" count="1" selected="0" defaultSubtotal="1">
            <x v="22"/>
          </reference>
        </references>
      </pivotArea>
    </format>
    <format dxfId="253">
      <pivotArea dataOnly="0" labelOnly="1" outline="0" fieldPosition="0">
        <references count="1">
          <reference field="0" count="1" defaultSubtotal="1">
            <x v="22"/>
          </reference>
        </references>
      </pivotArea>
    </format>
    <format dxfId="254">
      <pivotArea outline="0" fieldPosition="0">
        <references count="1">
          <reference field="0" count="1" selected="0" defaultSubtotal="1">
            <x v="16"/>
          </reference>
        </references>
      </pivotArea>
    </format>
    <format dxfId="255">
      <pivotArea dataOnly="0" labelOnly="1" outline="0" fieldPosition="0">
        <references count="1">
          <reference field="0" count="1" defaultSubtotal="1">
            <x v="16"/>
          </reference>
        </references>
      </pivotArea>
    </format>
    <format dxfId="256">
      <pivotArea outline="0" fieldPosition="0">
        <references count="1">
          <reference field="0" count="1" selected="0" defaultSubtotal="1">
            <x v="17"/>
          </reference>
        </references>
      </pivotArea>
    </format>
    <format dxfId="257">
      <pivotArea dataOnly="0" labelOnly="1" outline="0" fieldPosition="0">
        <references count="1">
          <reference field="0" count="1" defaultSubtotal="1">
            <x v="17"/>
          </reference>
        </references>
      </pivotArea>
    </format>
    <format dxfId="258">
      <pivotArea outline="0" fieldPosition="0">
        <references count="1">
          <reference field="0" count="1" selected="0" defaultSubtotal="1">
            <x v="19"/>
          </reference>
        </references>
      </pivotArea>
    </format>
    <format dxfId="259">
      <pivotArea dataOnly="0" labelOnly="1" outline="0" fieldPosition="0">
        <references count="1">
          <reference field="0" count="1" defaultSubtotal="1">
            <x v="19"/>
          </reference>
        </references>
      </pivotArea>
    </format>
    <format dxfId="260">
      <pivotArea outline="0" fieldPosition="0">
        <references count="1">
          <reference field="0" count="1" selected="0" defaultSubtotal="1">
            <x v="21"/>
          </reference>
        </references>
      </pivotArea>
    </format>
    <format dxfId="261">
      <pivotArea dataOnly="0" labelOnly="1" outline="0" fieldPosition="0">
        <references count="1">
          <reference field="0" count="1" defaultSubtotal="1">
            <x v="21"/>
          </reference>
        </references>
      </pivotArea>
    </format>
    <format dxfId="262">
      <pivotArea outline="0" fieldPosition="0">
        <references count="1">
          <reference field="0" count="1" selected="0" defaultSubtotal="1">
            <x v="22"/>
          </reference>
        </references>
      </pivotArea>
    </format>
    <format dxfId="263">
      <pivotArea dataOnly="0" labelOnly="1" outline="0" fieldPosition="0">
        <references count="1">
          <reference field="0" count="1" defaultSubtotal="1">
            <x v="22"/>
          </reference>
        </references>
      </pivotArea>
    </format>
    <format dxfId="264">
      <pivotArea outline="0" fieldPosition="0">
        <references count="1">
          <reference field="0" count="1" selected="0" defaultSubtotal="1">
            <x v="23"/>
          </reference>
        </references>
      </pivotArea>
    </format>
    <format dxfId="265">
      <pivotArea dataOnly="0" labelOnly="1" outline="0" fieldPosition="0">
        <references count="1">
          <reference field="0" count="1" defaultSubtotal="1">
            <x v="23"/>
          </reference>
        </references>
      </pivotArea>
    </format>
    <format dxfId="266">
      <pivotArea outline="0" fieldPosition="0">
        <references count="1">
          <reference field="0" count="1" selected="0" defaultSubtotal="1">
            <x v="24"/>
          </reference>
        </references>
      </pivotArea>
    </format>
    <format dxfId="267">
      <pivotArea dataOnly="0" labelOnly="1" outline="0" fieldPosition="0">
        <references count="1">
          <reference field="0" count="1" defaultSubtotal="1">
            <x v="24"/>
          </reference>
        </references>
      </pivotArea>
    </format>
    <format dxfId="268">
      <pivotArea outline="0" fieldPosition="0">
        <references count="1">
          <reference field="0" count="1" selected="0" defaultSubtotal="1">
            <x v="25"/>
          </reference>
        </references>
      </pivotArea>
    </format>
    <format dxfId="269">
      <pivotArea dataOnly="0" labelOnly="1" outline="0" fieldPosition="0">
        <references count="1">
          <reference field="0" count="1" defaultSubtotal="1">
            <x v="25"/>
          </reference>
        </references>
      </pivotArea>
    </format>
    <format dxfId="270">
      <pivotArea outline="0" fieldPosition="0">
        <references count="1">
          <reference field="0" count="1" selected="0" defaultSubtotal="1">
            <x v="26"/>
          </reference>
        </references>
      </pivotArea>
    </format>
    <format dxfId="271">
      <pivotArea dataOnly="0" labelOnly="1" outline="0" fieldPosition="0">
        <references count="1">
          <reference field="0" count="1" defaultSubtotal="1">
            <x v="26"/>
          </reference>
        </references>
      </pivotArea>
    </format>
    <format dxfId="272">
      <pivotArea outline="0" fieldPosition="0">
        <references count="1">
          <reference field="0" count="1" selected="0" defaultSubtotal="1">
            <x v="28"/>
          </reference>
        </references>
      </pivotArea>
    </format>
    <format dxfId="273">
      <pivotArea dataOnly="0" labelOnly="1" outline="0" fieldPosition="0">
        <references count="1">
          <reference field="0" count="1" defaultSubtotal="1">
            <x v="28"/>
          </reference>
        </references>
      </pivotArea>
    </format>
    <format dxfId="274">
      <pivotArea outline="0" fieldPosition="0">
        <references count="1">
          <reference field="0" count="1" selected="0" defaultSubtotal="1">
            <x v="29"/>
          </reference>
        </references>
      </pivotArea>
    </format>
    <format dxfId="275">
      <pivotArea dataOnly="0" labelOnly="1" outline="0" fieldPosition="0">
        <references count="1">
          <reference field="0" count="1" defaultSubtotal="1">
            <x v="29"/>
          </reference>
        </references>
      </pivotArea>
    </format>
    <format dxfId="276">
      <pivotArea outline="0" fieldPosition="0">
        <references count="1">
          <reference field="0" count="1" selected="0" defaultSubtotal="1">
            <x v="32"/>
          </reference>
        </references>
      </pivotArea>
    </format>
    <format dxfId="277">
      <pivotArea dataOnly="0" labelOnly="1" outline="0" fieldPosition="0">
        <references count="1">
          <reference field="0" count="1" defaultSubtotal="1">
            <x v="32"/>
          </reference>
        </references>
      </pivotArea>
    </format>
    <format dxfId="278">
      <pivotArea outline="0" fieldPosition="0">
        <references count="1">
          <reference field="0" count="1" selected="0" defaultSubtotal="1">
            <x v="33"/>
          </reference>
        </references>
      </pivotArea>
    </format>
    <format dxfId="279">
      <pivotArea dataOnly="0" labelOnly="1" outline="0" fieldPosition="0">
        <references count="1">
          <reference field="0" count="1" defaultSubtotal="1">
            <x v="33"/>
          </reference>
        </references>
      </pivotArea>
    </format>
    <format dxfId="280">
      <pivotArea outline="0" fieldPosition="0">
        <references count="1">
          <reference field="0" count="1" selected="0" defaultSubtotal="1">
            <x v="36"/>
          </reference>
        </references>
      </pivotArea>
    </format>
    <format dxfId="281">
      <pivotArea dataOnly="0" labelOnly="1" outline="0" fieldPosition="0">
        <references count="1">
          <reference field="0" count="1" defaultSubtotal="1">
            <x v="36"/>
          </reference>
        </references>
      </pivotArea>
    </format>
    <format dxfId="282">
      <pivotArea outline="0" fieldPosition="0">
        <references count="1">
          <reference field="0" count="1" selected="0" defaultSubtotal="1">
            <x v="38"/>
          </reference>
        </references>
      </pivotArea>
    </format>
    <format dxfId="283">
      <pivotArea dataOnly="0" labelOnly="1" outline="0" fieldPosition="0">
        <references count="1">
          <reference field="0" count="1" defaultSubtotal="1">
            <x v="38"/>
          </reference>
        </references>
      </pivotArea>
    </format>
    <format dxfId="284">
      <pivotArea outline="0" fieldPosition="0">
        <references count="1">
          <reference field="0" count="1" selected="0" defaultSubtotal="1">
            <x v="37"/>
          </reference>
        </references>
      </pivotArea>
    </format>
    <format dxfId="285">
      <pivotArea dataOnly="0" labelOnly="1" outline="0" fieldPosition="0">
        <references count="1">
          <reference field="0" count="1" defaultSubtotal="1">
            <x v="37"/>
          </reference>
        </references>
      </pivotArea>
    </format>
    <format dxfId="286">
      <pivotArea outline="0" fieldPosition="0">
        <references count="1">
          <reference field="0" count="1" selected="0" defaultSubtotal="1">
            <x v="39"/>
          </reference>
        </references>
      </pivotArea>
    </format>
    <format dxfId="287">
      <pivotArea dataOnly="0" labelOnly="1" outline="0" fieldPosition="0">
        <references count="1">
          <reference field="0" count="1" defaultSubtotal="1">
            <x v="39"/>
          </reference>
        </references>
      </pivotArea>
    </format>
    <format dxfId="288">
      <pivotArea outline="0" fieldPosition="0">
        <references count="1">
          <reference field="0" count="1" selected="0" defaultSubtotal="1">
            <x v="40"/>
          </reference>
        </references>
      </pivotArea>
    </format>
    <format dxfId="289">
      <pivotArea dataOnly="0" labelOnly="1" outline="0" fieldPosition="0">
        <references count="1">
          <reference field="0" count="1" defaultSubtotal="1">
            <x v="40"/>
          </reference>
        </references>
      </pivotArea>
    </format>
    <format dxfId="290">
      <pivotArea outline="0" fieldPosition="0">
        <references count="1">
          <reference field="0" count="1" selected="0" defaultSubtotal="1">
            <x v="41"/>
          </reference>
        </references>
      </pivotArea>
    </format>
    <format dxfId="291">
      <pivotArea dataOnly="0" labelOnly="1" outline="0" fieldPosition="0">
        <references count="1">
          <reference field="0" count="1" defaultSubtotal="1">
            <x v="41"/>
          </reference>
        </references>
      </pivotArea>
    </format>
    <format dxfId="292">
      <pivotArea outline="0" fieldPosition="0">
        <references count="1">
          <reference field="0" count="1" selected="0" defaultSubtotal="1">
            <x v="42"/>
          </reference>
        </references>
      </pivotArea>
    </format>
    <format dxfId="293">
      <pivotArea dataOnly="0" labelOnly="1" outline="0" fieldPosition="0">
        <references count="1">
          <reference field="0" count="1" defaultSubtotal="1">
            <x v="42"/>
          </reference>
        </references>
      </pivotArea>
    </format>
    <format dxfId="294">
      <pivotArea outline="0" fieldPosition="0">
        <references count="1">
          <reference field="0" count="1" selected="0" defaultSubtotal="1">
            <x v="43"/>
          </reference>
        </references>
      </pivotArea>
    </format>
    <format dxfId="295">
      <pivotArea dataOnly="0" labelOnly="1" outline="0" fieldPosition="0">
        <references count="1">
          <reference field="0" count="1" defaultSubtotal="1">
            <x v="43"/>
          </reference>
        </references>
      </pivotArea>
    </format>
    <format dxfId="296">
      <pivotArea outline="0" fieldPosition="0">
        <references count="1">
          <reference field="0" count="1" selected="0" defaultSubtotal="1">
            <x v="23"/>
          </reference>
        </references>
      </pivotArea>
    </format>
    <format dxfId="297">
      <pivotArea dataOnly="0" labelOnly="1" outline="0" fieldPosition="0">
        <references count="1">
          <reference field="0" count="1" defaultSubtotal="1">
            <x v="23"/>
          </reference>
        </references>
      </pivotArea>
    </format>
    <format dxfId="298">
      <pivotArea outline="0" fieldPosition="0">
        <references count="1">
          <reference field="0" count="1" selected="0" defaultSubtotal="1">
            <x v="24"/>
          </reference>
        </references>
      </pivotArea>
    </format>
    <format dxfId="299">
      <pivotArea dataOnly="0" labelOnly="1" outline="0" fieldPosition="0">
        <references count="1">
          <reference field="0" count="1" defaultSubtotal="1">
            <x v="24"/>
          </reference>
        </references>
      </pivotArea>
    </format>
    <format dxfId="300">
      <pivotArea outline="0" fieldPosition="0">
        <references count="1">
          <reference field="0" count="1" selected="0" defaultSubtotal="1">
            <x v="25"/>
          </reference>
        </references>
      </pivotArea>
    </format>
    <format dxfId="301">
      <pivotArea dataOnly="0" labelOnly="1" outline="0" fieldPosition="0">
        <references count="1">
          <reference field="0" count="1" defaultSubtotal="1">
            <x v="25"/>
          </reference>
        </references>
      </pivotArea>
    </format>
    <format dxfId="302">
      <pivotArea outline="0" fieldPosition="0">
        <references count="1">
          <reference field="0" count="1" selected="0" defaultSubtotal="1">
            <x v="26"/>
          </reference>
        </references>
      </pivotArea>
    </format>
    <format dxfId="303">
      <pivotArea dataOnly="0" labelOnly="1" outline="0" fieldPosition="0">
        <references count="1">
          <reference field="0" count="1" defaultSubtotal="1">
            <x v="26"/>
          </reference>
        </references>
      </pivotArea>
    </format>
    <format dxfId="304">
      <pivotArea outline="0" fieldPosition="0">
        <references count="1">
          <reference field="0" count="1" selected="0" defaultSubtotal="1">
            <x v="28"/>
          </reference>
        </references>
      </pivotArea>
    </format>
    <format dxfId="305">
      <pivotArea dataOnly="0" labelOnly="1" outline="0" fieldPosition="0">
        <references count="1">
          <reference field="0" count="1" defaultSubtotal="1">
            <x v="28"/>
          </reference>
        </references>
      </pivotArea>
    </format>
    <format dxfId="306">
      <pivotArea outline="0" fieldPosition="0">
        <references count="1">
          <reference field="0" count="1" selected="0" defaultSubtotal="1">
            <x v="29"/>
          </reference>
        </references>
      </pivotArea>
    </format>
    <format dxfId="307">
      <pivotArea dataOnly="0" labelOnly="1" outline="0" fieldPosition="0">
        <references count="1">
          <reference field="0" count="1" defaultSubtotal="1">
            <x v="29"/>
          </reference>
        </references>
      </pivotArea>
    </format>
    <format dxfId="308">
      <pivotArea outline="0" fieldPosition="0">
        <references count="1">
          <reference field="0" count="1" selected="0" defaultSubtotal="1">
            <x v="32"/>
          </reference>
        </references>
      </pivotArea>
    </format>
    <format dxfId="309">
      <pivotArea dataOnly="0" labelOnly="1" outline="0" fieldPosition="0">
        <references count="1">
          <reference field="0" count="1" defaultSubtotal="1">
            <x v="32"/>
          </reference>
        </references>
      </pivotArea>
    </format>
    <format dxfId="310">
      <pivotArea outline="0" fieldPosition="0">
        <references count="1">
          <reference field="0" count="1" selected="0" defaultSubtotal="1">
            <x v="33"/>
          </reference>
        </references>
      </pivotArea>
    </format>
    <format dxfId="311">
      <pivotArea dataOnly="0" labelOnly="1" outline="0" fieldPosition="0">
        <references count="1">
          <reference field="0" count="1" defaultSubtotal="1">
            <x v="33"/>
          </reference>
        </references>
      </pivotArea>
    </format>
    <format dxfId="312">
      <pivotArea outline="0" fieldPosition="0">
        <references count="1">
          <reference field="0" count="1" selected="0" defaultSubtotal="1">
            <x v="36"/>
          </reference>
        </references>
      </pivotArea>
    </format>
    <format dxfId="313">
      <pivotArea dataOnly="0" labelOnly="1" outline="0" fieldPosition="0">
        <references count="1">
          <reference field="0" count="1" defaultSubtotal="1">
            <x v="36"/>
          </reference>
        </references>
      </pivotArea>
    </format>
    <format dxfId="314">
      <pivotArea outline="0" fieldPosition="0">
        <references count="1">
          <reference field="0" count="1" selected="0" defaultSubtotal="1">
            <x v="38"/>
          </reference>
        </references>
      </pivotArea>
    </format>
    <format dxfId="315">
      <pivotArea dataOnly="0" labelOnly="1" outline="0" fieldPosition="0">
        <references count="1">
          <reference field="0" count="1" defaultSubtotal="1">
            <x v="38"/>
          </reference>
        </references>
      </pivotArea>
    </format>
    <format dxfId="316">
      <pivotArea outline="0" fieldPosition="0">
        <references count="1">
          <reference field="0" count="1" selected="0" defaultSubtotal="1">
            <x v="37"/>
          </reference>
        </references>
      </pivotArea>
    </format>
    <format dxfId="317">
      <pivotArea dataOnly="0" labelOnly="1" outline="0" fieldPosition="0">
        <references count="1">
          <reference field="0" count="1" defaultSubtotal="1">
            <x v="37"/>
          </reference>
        </references>
      </pivotArea>
    </format>
    <format dxfId="318">
      <pivotArea outline="0" fieldPosition="0">
        <references count="1">
          <reference field="0" count="1" selected="0" defaultSubtotal="1">
            <x v="39"/>
          </reference>
        </references>
      </pivotArea>
    </format>
    <format dxfId="319">
      <pivotArea dataOnly="0" labelOnly="1" outline="0" fieldPosition="0">
        <references count="1">
          <reference field="0" count="1" defaultSubtotal="1">
            <x v="39"/>
          </reference>
        </references>
      </pivotArea>
    </format>
    <format dxfId="320">
      <pivotArea outline="0" fieldPosition="0">
        <references count="1">
          <reference field="0" count="1" selected="0" defaultSubtotal="1">
            <x v="40"/>
          </reference>
        </references>
      </pivotArea>
    </format>
    <format dxfId="321">
      <pivotArea dataOnly="0" labelOnly="1" outline="0" fieldPosition="0">
        <references count="1">
          <reference field="0" count="1" defaultSubtotal="1">
            <x v="40"/>
          </reference>
        </references>
      </pivotArea>
    </format>
    <format dxfId="322">
      <pivotArea outline="0" fieldPosition="0">
        <references count="1">
          <reference field="0" count="1" selected="0" defaultSubtotal="1">
            <x v="41"/>
          </reference>
        </references>
      </pivotArea>
    </format>
    <format dxfId="323">
      <pivotArea dataOnly="0" labelOnly="1" outline="0" fieldPosition="0">
        <references count="1">
          <reference field="0" count="1" defaultSubtotal="1">
            <x v="41"/>
          </reference>
        </references>
      </pivotArea>
    </format>
    <format dxfId="324">
      <pivotArea outline="0" fieldPosition="0">
        <references count="1">
          <reference field="0" count="1" selected="0" defaultSubtotal="1">
            <x v="42"/>
          </reference>
        </references>
      </pivotArea>
    </format>
    <format dxfId="325">
      <pivotArea dataOnly="0" labelOnly="1" outline="0" fieldPosition="0">
        <references count="1">
          <reference field="0" count="1" defaultSubtotal="1">
            <x v="42"/>
          </reference>
        </references>
      </pivotArea>
    </format>
    <format dxfId="326">
      <pivotArea outline="0" fieldPosition="0">
        <references count="1">
          <reference field="0" count="1" selected="0" defaultSubtotal="1">
            <x v="43"/>
          </reference>
        </references>
      </pivotArea>
    </format>
    <format dxfId="327">
      <pivotArea dataOnly="0" labelOnly="1" outline="0" fieldPosition="0">
        <references count="1">
          <reference field="0" count="1" defaultSubtotal="1">
            <x v="43"/>
          </reference>
        </references>
      </pivotArea>
    </format>
    <format dxfId="328">
      <pivotArea outline="0" fieldPosition="0">
        <references count="1">
          <reference field="0" count="1" selected="0" defaultSubtotal="1">
            <x v="45"/>
          </reference>
        </references>
      </pivotArea>
    </format>
    <format dxfId="329">
      <pivotArea dataOnly="0" labelOnly="1" outline="0" fieldPosition="0">
        <references count="1">
          <reference field="0" count="1" defaultSubtotal="1">
            <x v="45"/>
          </reference>
        </references>
      </pivotArea>
    </format>
    <format dxfId="330">
      <pivotArea outline="0" fieldPosition="0">
        <references count="1">
          <reference field="0" count="1" selected="0" defaultSubtotal="1">
            <x v="46"/>
          </reference>
        </references>
      </pivotArea>
    </format>
    <format dxfId="331">
      <pivotArea dataOnly="0" labelOnly="1" outline="0" fieldPosition="0">
        <references count="1">
          <reference field="0" count="1" defaultSubtotal="1">
            <x v="46"/>
          </reference>
        </references>
      </pivotArea>
    </format>
    <format dxfId="332">
      <pivotArea outline="0" fieldPosition="0">
        <references count="1">
          <reference field="0" count="1" selected="0" defaultSubtotal="1">
            <x v="45"/>
          </reference>
        </references>
      </pivotArea>
    </format>
    <format dxfId="333">
      <pivotArea dataOnly="0" labelOnly="1" outline="0" fieldPosition="0">
        <references count="1">
          <reference field="0" count="1" defaultSubtotal="1">
            <x v="45"/>
          </reference>
        </references>
      </pivotArea>
    </format>
    <format dxfId="334">
      <pivotArea outline="0" fieldPosition="0">
        <references count="1">
          <reference field="0" count="1" selected="0" defaultSubtotal="1">
            <x v="46"/>
          </reference>
        </references>
      </pivotArea>
    </format>
    <format dxfId="335">
      <pivotArea dataOnly="0" labelOnly="1" outline="0" fieldPosition="0">
        <references count="1">
          <reference field="0" count="1" defaultSubtotal="1">
            <x v="46"/>
          </reference>
        </references>
      </pivotArea>
    </format>
    <format dxfId="336">
      <pivotArea outline="0" fieldPosition="0">
        <references count="1">
          <reference field="0" count="1" selected="0" defaultSubtotal="1">
            <x v="10"/>
          </reference>
        </references>
      </pivotArea>
    </format>
    <format dxfId="337">
      <pivotArea dataOnly="0" labelOnly="1" outline="0" fieldPosition="0">
        <references count="1">
          <reference field="0" count="1" defaultSubtotal="1">
            <x v="10"/>
          </reference>
        </references>
      </pivotArea>
    </format>
    <format dxfId="338">
      <pivotArea outline="0" fieldPosition="0">
        <references count="1">
          <reference field="0" count="1" selected="0" defaultSubtotal="1">
            <x v="10"/>
          </reference>
        </references>
      </pivotArea>
    </format>
    <format dxfId="339">
      <pivotArea dataOnly="0" labelOnly="1" outline="0" fieldPosition="0">
        <references count="1">
          <reference field="0" count="1" defaultSubtotal="1">
            <x v="10"/>
          </reference>
        </references>
      </pivotArea>
    </format>
    <format dxfId="340">
      <pivotArea field="1" type="button" dataOnly="0" labelOnly="1" outline="0" axis="axisRow" fieldPosition="1"/>
    </format>
    <format dxfId="341">
      <pivotArea dataOnly="0" labelOnly="1" outline="0" axis="axisValues" fieldPosition="0"/>
    </format>
    <format dxfId="342">
      <pivotArea outline="0" collapsedLevelsAreSubtotals="1" fieldPosition="0"/>
    </format>
    <format dxfId="343">
      <pivotArea dataOnly="0" labelOnly="1" outline="0" axis="axisValues" fieldPosition="0"/>
    </format>
    <format dxfId="344">
      <pivotArea outline="0" fieldPosition="0">
        <references count="1">
          <reference field="0" count="1" selected="0" defaultSubtotal="1">
            <x v="5"/>
          </reference>
        </references>
      </pivotArea>
    </format>
    <format dxfId="345">
      <pivotArea dataOnly="0" labelOnly="1" outline="0" fieldPosition="0">
        <references count="1">
          <reference field="0" count="1" defaultSubtotal="1">
            <x v="5"/>
          </reference>
        </references>
      </pivotArea>
    </format>
    <format dxfId="346">
      <pivotArea outline="0" fieldPosition="0">
        <references count="1">
          <reference field="0" count="1" selected="0" defaultSubtotal="1">
            <x v="5"/>
          </reference>
        </references>
      </pivotArea>
    </format>
    <format dxfId="347">
      <pivotArea dataOnly="0" labelOnly="1" outline="0" fieldPosition="0">
        <references count="1">
          <reference field="0" count="1" defaultSubtotal="1">
            <x v="5"/>
          </reference>
        </references>
      </pivotArea>
    </format>
    <format dxfId="348">
      <pivotArea outline="0" fieldPosition="0">
        <references count="1">
          <reference field="0" count="1" selected="0" defaultSubtotal="1">
            <x v="3"/>
          </reference>
        </references>
      </pivotArea>
    </format>
    <format dxfId="349">
      <pivotArea dataOnly="0" labelOnly="1" outline="0" fieldPosition="0">
        <references count="1">
          <reference field="0" count="1" defaultSubtotal="1">
            <x v="3"/>
          </reference>
        </references>
      </pivotArea>
    </format>
    <format dxfId="350">
      <pivotArea outline="0" fieldPosition="0">
        <references count="1">
          <reference field="0" count="1" selected="0" defaultSubtotal="1">
            <x v="3"/>
          </reference>
        </references>
      </pivotArea>
    </format>
    <format dxfId="351">
      <pivotArea dataOnly="0" labelOnly="1" outline="0" fieldPosition="0">
        <references count="1">
          <reference field="0" count="1" defaultSubtotal="1">
            <x v="3"/>
          </reference>
        </references>
      </pivotArea>
    </format>
    <format dxfId="352">
      <pivotArea outline="0" fieldPosition="0">
        <references count="1">
          <reference field="0" count="1" selected="0" defaultSubtotal="1">
            <x v="13"/>
          </reference>
        </references>
      </pivotArea>
    </format>
    <format dxfId="353">
      <pivotArea dataOnly="0" labelOnly="1" outline="0" fieldPosition="0">
        <references count="1">
          <reference field="0" count="1" defaultSubtotal="1">
            <x v="13"/>
          </reference>
        </references>
      </pivotArea>
    </format>
    <format dxfId="354">
      <pivotArea outline="0" fieldPosition="0">
        <references count="1">
          <reference field="0" count="1" selected="0" defaultSubtotal="1">
            <x v="13"/>
          </reference>
        </references>
      </pivotArea>
    </format>
    <format dxfId="355">
      <pivotArea dataOnly="0" labelOnly="1" outline="0" fieldPosition="0">
        <references count="1">
          <reference field="0" count="1" defaultSubtotal="1">
            <x v="13"/>
          </reference>
        </references>
      </pivotArea>
    </format>
    <format dxfId="356">
      <pivotArea outline="0" fieldPosition="0">
        <references count="1">
          <reference field="0" count="1" selected="0" defaultSubtotal="1">
            <x v="4"/>
          </reference>
        </references>
      </pivotArea>
    </format>
    <format dxfId="357">
      <pivotArea dataOnly="0" labelOnly="1" outline="0" fieldPosition="0">
        <references count="1">
          <reference field="0" count="1" defaultSubtotal="1">
            <x v="4"/>
          </reference>
        </references>
      </pivotArea>
    </format>
    <format dxfId="358">
      <pivotArea outline="0" fieldPosition="0">
        <references count="1">
          <reference field="0" count="1" selected="0" defaultSubtotal="1">
            <x v="4"/>
          </reference>
        </references>
      </pivotArea>
    </format>
    <format dxfId="359">
      <pivotArea dataOnly="0" labelOnly="1" outline="0" fieldPosition="0">
        <references count="1">
          <reference field="0" count="1" defaultSubtotal="1">
            <x v="4"/>
          </reference>
        </references>
      </pivotArea>
    </format>
    <format dxfId="360">
      <pivotArea outline="0" fieldPosition="0">
        <references count="1">
          <reference field="0" count="1" selected="0" defaultSubtotal="1">
            <x v="31"/>
          </reference>
        </references>
      </pivotArea>
    </format>
    <format dxfId="361">
      <pivotArea dataOnly="0" labelOnly="1" outline="0" fieldPosition="0">
        <references count="1">
          <reference field="0" count="1" defaultSubtotal="1">
            <x v="31"/>
          </reference>
        </references>
      </pivotArea>
    </format>
    <format dxfId="362">
      <pivotArea outline="0" fieldPosition="0">
        <references count="1">
          <reference field="0" count="1" selected="0" defaultSubtotal="1">
            <x v="31"/>
          </reference>
        </references>
      </pivotArea>
    </format>
    <format dxfId="363">
      <pivotArea dataOnly="0" labelOnly="1" outline="0" fieldPosition="0">
        <references count="1">
          <reference field="0" count="1" defaultSubtotal="1">
            <x v="31"/>
          </reference>
        </references>
      </pivotArea>
    </format>
    <format dxfId="364">
      <pivotArea outline="0" fieldPosition="0">
        <references count="1">
          <reference field="0" count="1" selected="0" defaultSubtotal="1">
            <x v="2"/>
          </reference>
        </references>
      </pivotArea>
    </format>
    <format dxfId="365">
      <pivotArea dataOnly="0" labelOnly="1" outline="0" fieldPosition="0">
        <references count="1">
          <reference field="0" count="1" defaultSubtotal="1">
            <x v="2"/>
          </reference>
        </references>
      </pivotArea>
    </format>
    <format dxfId="366">
      <pivotArea outline="0" fieldPosition="0">
        <references count="1">
          <reference field="0" count="1" selected="0" defaultSubtotal="1">
            <x v="2"/>
          </reference>
        </references>
      </pivotArea>
    </format>
    <format dxfId="367">
      <pivotArea dataOnly="0" labelOnly="1" outline="0" fieldPosition="0">
        <references count="1">
          <reference field="0" count="1" defaultSubtotal="1">
            <x v="2"/>
          </reference>
        </references>
      </pivotArea>
    </format>
    <format dxfId="368">
      <pivotArea outline="0" fieldPosition="0">
        <references count="1">
          <reference field="0" count="1" selected="0" defaultSubtotal="1">
            <x v="1"/>
          </reference>
        </references>
      </pivotArea>
    </format>
    <format dxfId="369">
      <pivotArea dataOnly="0" labelOnly="1" outline="0" fieldPosition="0">
        <references count="1">
          <reference field="0" count="1" defaultSubtotal="1">
            <x v="1"/>
          </reference>
        </references>
      </pivotArea>
    </format>
    <format dxfId="370">
      <pivotArea outline="0" fieldPosition="0">
        <references count="1">
          <reference field="0" count="1" selected="0" defaultSubtotal="1">
            <x v="1"/>
          </reference>
        </references>
      </pivotArea>
    </format>
    <format dxfId="371">
      <pivotArea dataOnly="0" labelOnly="1" outline="0" fieldPosition="0">
        <references count="1">
          <reference field="0" count="1" defaultSubtotal="1">
            <x v="1"/>
          </reference>
        </references>
      </pivotArea>
    </format>
    <format dxfId="372">
      <pivotArea outline="0" fieldPosition="0">
        <references count="1">
          <reference field="0" count="1" selected="0" defaultSubtotal="1">
            <x v="27"/>
          </reference>
        </references>
      </pivotArea>
    </format>
    <format dxfId="373">
      <pivotArea dataOnly="0" labelOnly="1" outline="0" fieldPosition="0">
        <references count="1">
          <reference field="0" count="1" defaultSubtotal="1">
            <x v="27"/>
          </reference>
        </references>
      </pivotArea>
    </format>
    <format dxfId="374">
      <pivotArea outline="0" fieldPosition="0">
        <references count="1">
          <reference field="0" count="1" selected="0" defaultSubtotal="1">
            <x v="27"/>
          </reference>
        </references>
      </pivotArea>
    </format>
    <format dxfId="375">
      <pivotArea dataOnly="0" labelOnly="1" outline="0" fieldPosition="0">
        <references count="1">
          <reference field="0" count="1" defaultSubtotal="1">
            <x v="27"/>
          </reference>
        </references>
      </pivotArea>
    </format>
    <format dxfId="376">
      <pivotArea outline="0" fieldPosition="0">
        <references count="1">
          <reference field="0" count="1" selected="0" defaultSubtotal="1">
            <x v="44"/>
          </reference>
        </references>
      </pivotArea>
    </format>
    <format dxfId="377">
      <pivotArea dataOnly="0" labelOnly="1" outline="0" fieldPosition="0">
        <references count="1">
          <reference field="0" count="1" defaultSubtotal="1">
            <x v="44"/>
          </reference>
        </references>
      </pivotArea>
    </format>
    <format dxfId="378">
      <pivotArea outline="0" fieldPosition="0">
        <references count="1">
          <reference field="0" count="1" selected="0" defaultSubtotal="1">
            <x v="44"/>
          </reference>
        </references>
      </pivotArea>
    </format>
    <format dxfId="379">
      <pivotArea dataOnly="0" labelOnly="1" outline="0" fieldPosition="0">
        <references count="1">
          <reference field="0" count="1" defaultSubtotal="1">
            <x v="44"/>
          </reference>
        </references>
      </pivotArea>
    </format>
    <format dxfId="380">
      <pivotArea outline="0" fieldPosition="0">
        <references count="1">
          <reference field="0" count="1" selected="0" defaultSubtotal="1">
            <x v="11"/>
          </reference>
        </references>
      </pivotArea>
    </format>
    <format dxfId="381">
      <pivotArea dataOnly="0" labelOnly="1" outline="0" fieldPosition="0">
        <references count="1">
          <reference field="0" count="1" defaultSubtotal="1">
            <x v="11"/>
          </reference>
        </references>
      </pivotArea>
    </format>
    <format dxfId="382">
      <pivotArea outline="0" fieldPosition="0">
        <references count="1">
          <reference field="0" count="1" selected="0" defaultSubtotal="1">
            <x v="11"/>
          </reference>
        </references>
      </pivotArea>
    </format>
    <format dxfId="383">
      <pivotArea dataOnly="0" labelOnly="1" outline="0" fieldPosition="0">
        <references count="1">
          <reference field="0" count="1" defaultSubtotal="1">
            <x v="11"/>
          </reference>
        </references>
      </pivotArea>
    </format>
    <format dxfId="384">
      <pivotArea outline="0" fieldPosition="0">
        <references count="1">
          <reference field="0" count="1" selected="0" defaultSubtotal="1">
            <x v="18"/>
          </reference>
        </references>
      </pivotArea>
    </format>
    <format dxfId="385">
      <pivotArea dataOnly="0" labelOnly="1" outline="0" fieldPosition="0">
        <references count="1">
          <reference field="0" count="1" defaultSubtotal="1">
            <x v="18"/>
          </reference>
        </references>
      </pivotArea>
    </format>
    <format dxfId="386">
      <pivotArea outline="0" fieldPosition="0">
        <references count="1">
          <reference field="0" count="1" selected="0" defaultSubtotal="1">
            <x v="18"/>
          </reference>
        </references>
      </pivotArea>
    </format>
    <format dxfId="387">
      <pivotArea dataOnly="0" labelOnly="1" outline="0" fieldPosition="0">
        <references count="1">
          <reference field="0" count="1" defaultSubtotal="1">
            <x v="18"/>
          </reference>
        </references>
      </pivotArea>
    </format>
    <format dxfId="388">
      <pivotArea outline="0" fieldPosition="0">
        <references count="1">
          <reference field="0" count="1" selected="0" defaultSubtotal="1">
            <x v="8"/>
          </reference>
        </references>
      </pivotArea>
    </format>
    <format dxfId="389">
      <pivotArea dataOnly="0" labelOnly="1" outline="0" fieldPosition="0">
        <references count="1">
          <reference field="0" count="1" defaultSubtotal="1">
            <x v="8"/>
          </reference>
        </references>
      </pivotArea>
    </format>
    <format dxfId="390">
      <pivotArea outline="0" fieldPosition="0">
        <references count="1">
          <reference field="0" count="1" selected="0" defaultSubtotal="1">
            <x v="8"/>
          </reference>
        </references>
      </pivotArea>
    </format>
    <format dxfId="391">
      <pivotArea dataOnly="0" labelOnly="1" outline="0" fieldPosition="0">
        <references count="1">
          <reference field="0" count="1" defaultSubtotal="1">
            <x v="8"/>
          </reference>
        </references>
      </pivotArea>
    </format>
    <format dxfId="392">
      <pivotArea outline="0" fieldPosition="0">
        <references count="1">
          <reference field="0" count="1" selected="0" defaultSubtotal="1">
            <x v="34"/>
          </reference>
        </references>
      </pivotArea>
    </format>
    <format dxfId="393">
      <pivotArea dataOnly="0" labelOnly="1" outline="0" fieldPosition="0">
        <references count="1">
          <reference field="0" count="1" defaultSubtotal="1">
            <x v="34"/>
          </reference>
        </references>
      </pivotArea>
    </format>
    <format dxfId="394">
      <pivotArea outline="0" fieldPosition="0">
        <references count="1">
          <reference field="0" count="1" selected="0" defaultSubtotal="1">
            <x v="34"/>
          </reference>
        </references>
      </pivotArea>
    </format>
    <format dxfId="395">
      <pivotArea dataOnly="0" labelOnly="1" outline="0" fieldPosition="0">
        <references count="1">
          <reference field="0" count="1" defaultSubtotal="1">
            <x v="34"/>
          </reference>
        </references>
      </pivotArea>
    </format>
    <format dxfId="396">
      <pivotArea outline="0" fieldPosition="0">
        <references count="1">
          <reference field="0" count="1" selected="0" defaultSubtotal="1">
            <x v="35"/>
          </reference>
        </references>
      </pivotArea>
    </format>
    <format dxfId="397">
      <pivotArea dataOnly="0" labelOnly="1" outline="0" fieldPosition="0">
        <references count="1">
          <reference field="0" count="1" defaultSubtotal="1">
            <x v="35"/>
          </reference>
        </references>
      </pivotArea>
    </format>
    <format dxfId="398">
      <pivotArea outline="0" fieldPosition="0">
        <references count="1">
          <reference field="0" count="1" selected="0" defaultSubtotal="1">
            <x v="35"/>
          </reference>
        </references>
      </pivotArea>
    </format>
    <format dxfId="399">
      <pivotArea dataOnly="0" labelOnly="1" outline="0" fieldPosition="0">
        <references count="1">
          <reference field="0" count="1" defaultSubtotal="1">
            <x v="35"/>
          </reference>
        </references>
      </pivotArea>
    </format>
    <format dxfId="400">
      <pivotArea outline="0" fieldPosition="0">
        <references count="1">
          <reference field="0" count="1" selected="0" defaultSubtotal="1">
            <x v="7"/>
          </reference>
        </references>
      </pivotArea>
    </format>
    <format dxfId="401">
      <pivotArea dataOnly="0" labelOnly="1" outline="0" fieldPosition="0">
        <references count="1">
          <reference field="0" count="1" defaultSubtotal="1">
            <x v="7"/>
          </reference>
        </references>
      </pivotArea>
    </format>
    <format dxfId="402">
      <pivotArea outline="0" fieldPosition="0">
        <references count="1">
          <reference field="0" count="1" selected="0" defaultSubtotal="1">
            <x v="7"/>
          </reference>
        </references>
      </pivotArea>
    </format>
    <format dxfId="403">
      <pivotArea dataOnly="0" labelOnly="1" outline="0" fieldPosition="0">
        <references count="1">
          <reference field="0" count="1" defaultSubtotal="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31110-A679-48F4-A2AF-6B12D870F04C}" name="PivotTable4" cacheId="2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T3:T4" firstHeaderRow="1" firstDataRow="1" firstDataCol="0" rowPageCount="1" colPageCount="1"/>
  <pivotFields count="18">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01">
        <item h="1" m="1" x="149"/>
        <item h="1" m="1" x="153"/>
        <item h="1" m="1" x="147"/>
        <item h="1" m="1" x="148"/>
        <item h="1" m="1" x="151"/>
        <item h="1" m="1" x="152"/>
        <item h="1" m="1" x="150"/>
        <item h="1" m="1" x="146"/>
        <item h="1" m="1" x="185"/>
        <item h="1" m="1" x="155"/>
        <item h="1" x="4"/>
        <item h="1" m="1" x="135"/>
        <item h="1" x="35"/>
        <item h="1" m="1" x="196"/>
        <item h="1" m="1" x="197"/>
        <item h="1" m="1" x="198"/>
        <item h="1" x="106"/>
        <item h="1" m="1" x="164"/>
        <item h="1" m="1" x="158"/>
        <item h="1" m="1" x="159"/>
        <item h="1" m="1" x="160"/>
        <item h="1" m="1" x="163"/>
        <item h="1" m="1" x="162"/>
        <item h="1" m="1" x="161"/>
        <item h="1" m="1" x="166"/>
        <item h="1" x="13"/>
        <item h="1" x="68"/>
        <item h="1" x="48"/>
        <item h="1" x="67"/>
        <item h="1" x="66"/>
        <item h="1" x="21"/>
        <item h="1" x="20"/>
        <item h="1" x="108"/>
        <item h="1" x="69"/>
        <item h="1" x="70"/>
        <item h="1" m="1" x="145"/>
        <item h="1" x="32"/>
        <item h="1" x="34"/>
        <item h="1" x="18"/>
        <item h="1" x="15"/>
        <item h="1" x="1"/>
        <item h="1" x="88"/>
        <item h="1" x="94"/>
        <item h="1" x="91"/>
        <item h="1" x="27"/>
        <item h="1" x="49"/>
        <item h="1" x="29"/>
        <item h="1" x="76"/>
        <item h="1" x="75"/>
        <item h="1" x="74"/>
        <item h="1" x="77"/>
        <item h="1" x="26"/>
        <item h="1" x="63"/>
        <item h="1" x="46"/>
        <item h="1" x="42"/>
        <item h="1" x="73"/>
        <item h="1" m="1" x="132"/>
        <item h="1" x="19"/>
        <item h="1" x="92"/>
        <item h="1" m="1" x="156"/>
        <item h="1" x="33"/>
        <item h="1" m="1" x="169"/>
        <item h="1" x="107"/>
        <item h="1" x="2"/>
        <item x="5"/>
        <item h="1" x="109"/>
        <item h="1" x="43"/>
        <item h="1" x="30"/>
        <item h="1" x="65"/>
        <item h="1" m="1" x="154"/>
        <item h="1" m="1" x="141"/>
        <item h="1" m="1" x="199"/>
        <item h="1" m="1" x="191"/>
        <item h="1" m="1" x="189"/>
        <item h="1" x="16"/>
        <item h="1" x="47"/>
        <item h="1" m="1" x="190"/>
        <item h="1" m="1" x="194"/>
        <item h="1" m="1" x="193"/>
        <item h="1" m="1" x="192"/>
        <item h="1" x="28"/>
        <item h="1" x="85"/>
        <item h="1" m="1" x="195"/>
        <item h="1" x="23"/>
        <item h="1" x="96"/>
        <item h="1" x="50"/>
        <item h="1" x="45"/>
        <item h="1" x="17"/>
        <item h="1" x="14"/>
        <item h="1" x="44"/>
        <item h="1" x="90"/>
        <item h="1" x="98"/>
        <item h="1" m="1" x="143"/>
        <item h="1" m="1" x="142"/>
        <item h="1" x="101"/>
        <item h="1" x="102"/>
        <item h="1" x="3"/>
        <item h="1" x="97"/>
        <item h="1" x="105"/>
        <item h="1" x="95"/>
        <item h="1" x="22"/>
        <item h="1" m="1" x="144"/>
        <item h="1" x="0"/>
        <item h="1" x="89"/>
        <item h="1" x="12"/>
        <item h="1" x="130"/>
        <item h="1" x="78"/>
        <item h="1" x="24"/>
        <item h="1" x="25"/>
        <item h="1" m="1" x="136"/>
        <item h="1" m="1" x="137"/>
        <item h="1" m="1" x="138"/>
        <item h="1" m="1" x="140"/>
        <item h="1" m="1" x="139"/>
        <item h="1" m="1" x="165"/>
        <item h="1" m="1" x="186"/>
        <item h="1" m="1" x="172"/>
        <item h="1" m="1" x="173"/>
        <item h="1" m="1" x="187"/>
        <item h="1" m="1" x="175"/>
        <item h="1" m="1" x="176"/>
        <item h="1" m="1" x="188"/>
        <item h="1" m="1" x="182"/>
        <item h="1" m="1" x="183"/>
        <item h="1" m="1" x="184"/>
        <item h="1" m="1" x="181"/>
        <item h="1" m="1" x="171"/>
        <item h="1" m="1" x="174"/>
        <item h="1" m="1" x="177"/>
        <item h="1" m="1" x="178"/>
        <item h="1" m="1" x="179"/>
        <item h="1" m="1" x="180"/>
        <item h="1" m="1" x="170"/>
        <item h="1" x="120"/>
        <item h="1" x="121"/>
        <item h="1" x="122"/>
        <item h="1" x="123"/>
        <item h="1" x="51"/>
        <item h="1" x="52"/>
        <item h="1" x="53"/>
        <item h="1" x="54"/>
        <item h="1" x="55"/>
        <item h="1" x="56"/>
        <item h="1" x="57"/>
        <item h="1" x="58"/>
        <item h="1" x="59"/>
        <item h="1" x="60"/>
        <item h="1" x="61"/>
        <item h="1" m="1" x="168"/>
        <item h="1" x="103"/>
        <item h="1" x="117"/>
        <item h="1" x="118"/>
        <item h="1" x="119"/>
        <item h="1" x="41"/>
        <item h="1" m="1" x="167"/>
        <item h="1" x="124"/>
        <item h="1" x="93"/>
        <item h="1" m="1" x="157"/>
        <item h="1" m="1" x="134"/>
        <item h="1" x="125"/>
        <item h="1" x="126"/>
        <item h="1" x="127"/>
        <item h="1" x="72"/>
        <item h="1" x="128"/>
        <item h="1" x="79"/>
        <item h="1" x="80"/>
        <item h="1" x="81"/>
        <item h="1" x="82"/>
        <item h="1" x="83"/>
        <item h="1" x="84"/>
        <item h="1" x="104"/>
        <item h="1" x="110"/>
        <item h="1" x="111"/>
        <item h="1" x="112"/>
        <item h="1" x="113"/>
        <item h="1" x="114"/>
        <item h="1" x="115"/>
        <item h="1" x="71"/>
        <item h="1" x="36"/>
        <item h="1" x="37"/>
        <item h="1" x="38"/>
        <item h="1" x="39"/>
        <item h="1" x="40"/>
        <item h="1" x="86"/>
        <item h="1" m="1" x="133"/>
        <item h="1" x="6"/>
        <item h="1" x="7"/>
        <item h="1" x="8"/>
        <item h="1" x="9"/>
        <item h="1" x="10"/>
        <item h="1" x="11"/>
        <item h="1" x="62"/>
        <item h="1" x="87"/>
        <item h="1" x="31"/>
        <item h="1" x="99"/>
        <item h="1" x="100"/>
        <item h="1" x="129"/>
        <item h="1" m="1" x="131"/>
        <item h="1" x="64"/>
        <item h="1" x="116"/>
        <item t="default"/>
      </items>
    </pivotField>
    <pivotField compact="0" outline="0" showAll="0"/>
    <pivotField compact="0" outline="0" showAll="0"/>
    <pivotField compact="0" outline="0" showAll="0"/>
  </pivotFields>
  <rowItems count="1">
    <i/>
  </rowItems>
  <colItems count="1">
    <i/>
  </colItems>
  <pageFields count="1">
    <pageField fld="14" item="64" hier="-1"/>
  </pageFields>
  <dataFields count="1">
    <dataField name="Count of Sub-component" fld="1" subtotal="count" baseField="0" baseItem="0"/>
  </dataFields>
  <formats count="3">
    <format dxfId="205">
      <pivotArea dataOnly="0" labelOnly="1" outline="0" axis="axisValues" fieldPosition="0"/>
    </format>
    <format dxfId="206">
      <pivotArea grandRow="1" outline="0" collapsedLevelsAreSubtotals="1" fieldPosition="0"/>
    </format>
    <format dxfId="20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3CC74-404D-4586-BA15-DBF219652EA8}" name="PivotTable1" cacheId="2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K1:L40" firstHeaderRow="1" firstDataRow="1" firstDataCol="1"/>
  <pivotFields count="34">
    <pivotField axis="axisRow" compact="0" outline="0" showAll="0" sortType="ascending">
      <items count="49">
        <item x="0"/>
        <item x="1"/>
        <item x="2"/>
        <item x="3"/>
        <item x="4"/>
        <item x="5"/>
        <item m="1" x="46"/>
        <item x="6"/>
        <item x="7"/>
        <item x="8"/>
        <item x="9"/>
        <item x="10"/>
        <item x="11"/>
        <item x="12"/>
        <item x="13"/>
        <item x="14"/>
        <item m="1" x="42"/>
        <item x="15"/>
        <item m="1" x="41"/>
        <item x="16"/>
        <item m="1" x="47"/>
        <item x="17"/>
        <item m="1" x="40"/>
        <item x="18"/>
        <item x="19"/>
        <item x="20"/>
        <item x="21"/>
        <item x="22"/>
        <item x="23"/>
        <item x="24"/>
        <item m="1" x="44"/>
        <item x="25"/>
        <item x="26"/>
        <item m="1" x="43"/>
        <item x="27"/>
        <item x="28"/>
        <item x="29"/>
        <item x="30"/>
        <item x="31"/>
        <item m="1" x="45"/>
        <item m="1" x="39"/>
        <item x="32"/>
        <item x="33"/>
        <item x="34"/>
        <item x="35"/>
        <item m="1" x="38"/>
        <item x="36"/>
        <item x="37"/>
        <item t="default"/>
      </items>
    </pivotField>
    <pivotField compact="0" outline="0" showAll="0" sortType="ascending">
      <items count="220">
        <item m="1" x="195"/>
        <item m="1" x="198"/>
        <item m="1" x="155"/>
        <item m="1" x="159"/>
        <item m="1" x="153"/>
        <item m="1" x="154"/>
        <item m="1" x="215"/>
        <item m="1" x="214"/>
        <item m="1" x="157"/>
        <item m="1" x="158"/>
        <item m="1" x="156"/>
        <item m="1" x="152"/>
        <item x="57"/>
        <item x="58"/>
        <item x="6"/>
        <item x="7"/>
        <item x="8"/>
        <item x="9"/>
        <item m="1" x="173"/>
        <item x="14"/>
        <item x="18"/>
        <item x="15"/>
        <item x="16"/>
        <item m="1" x="178"/>
        <item x="17"/>
        <item x="10"/>
        <item m="1" x="197"/>
        <item m="1" x="181"/>
        <item m="1" x="180"/>
        <item m="1" x="182"/>
        <item m="1" x="179"/>
        <item x="11"/>
        <item x="12"/>
        <item x="13"/>
        <item x="19"/>
        <item x="20"/>
        <item x="28"/>
        <item x="5"/>
        <item m="1" x="160"/>
        <item x="42"/>
        <item m="1" x="140"/>
        <item x="43"/>
        <item x="96"/>
        <item x="118"/>
        <item m="1" x="187"/>
        <item m="1" x="210"/>
        <item m="1" x="145"/>
        <item m="1" x="141"/>
        <item m="1" x="211"/>
        <item m="1" x="146"/>
        <item m="1" x="138"/>
        <item m="1" x="209"/>
        <item m="1" x="144"/>
        <item x="44"/>
        <item x="29"/>
        <item x="30"/>
        <item x="59"/>
        <item x="124"/>
        <item m="1" x="167"/>
        <item m="1" x="166"/>
        <item m="1" x="163"/>
        <item m="1" x="164"/>
        <item m="1" x="171"/>
        <item m="1" x="165"/>
        <item m="1" x="168"/>
        <item m="1" x="172"/>
        <item m="1" x="170"/>
        <item m="1" x="169"/>
        <item x="23"/>
        <item x="35"/>
        <item m="1" x="216"/>
        <item x="50"/>
        <item x="49"/>
        <item m="1" x="139"/>
        <item x="51"/>
        <item m="1" x="188"/>
        <item m="1" x="192"/>
        <item m="1" x="196"/>
        <item x="107"/>
        <item x="52"/>
        <item m="1" x="191"/>
        <item x="53"/>
        <item x="125"/>
        <item x="119"/>
        <item x="120"/>
        <item x="60"/>
        <item m="1" x="217"/>
        <item m="1" x="218"/>
        <item x="54"/>
        <item x="55"/>
        <item x="56"/>
        <item m="1" x="151"/>
        <item x="61"/>
        <item x="114"/>
        <item x="31"/>
        <item x="75"/>
        <item x="36"/>
        <item x="37"/>
        <item x="38"/>
        <item x="45"/>
        <item x="77"/>
        <item x="97"/>
        <item x="74"/>
        <item x="62"/>
        <item x="78"/>
        <item x="0"/>
        <item x="116"/>
        <item x="1"/>
        <item x="70"/>
        <item x="76"/>
        <item x="71"/>
        <item x="72"/>
        <item x="73"/>
        <item x="83"/>
        <item m="1" x="176"/>
        <item x="84"/>
        <item x="85"/>
        <item x="86"/>
        <item x="87"/>
        <item x="88"/>
        <item x="89"/>
        <item x="90"/>
        <item x="91"/>
        <item x="92"/>
        <item x="93"/>
        <item x="94"/>
        <item x="2"/>
        <item x="32"/>
        <item x="21"/>
        <item x="121"/>
        <item x="108"/>
        <item m="1" x="190"/>
        <item m="1" x="194"/>
        <item x="109"/>
        <item x="95"/>
        <item m="1" x="135"/>
        <item x="82"/>
        <item x="79"/>
        <item x="98"/>
        <item m="1" x="161"/>
        <item x="115"/>
        <item x="99"/>
        <item m="1" x="177"/>
        <item x="63"/>
        <item x="46"/>
        <item x="64"/>
        <item x="65"/>
        <item x="66"/>
        <item m="1" x="136"/>
        <item x="106"/>
        <item x="105"/>
        <item m="1" x="137"/>
        <item x="110"/>
        <item x="3"/>
        <item x="22"/>
        <item m="1" x="162"/>
        <item m="1" x="149"/>
        <item m="1" x="208"/>
        <item m="1" x="143"/>
        <item m="1" x="203"/>
        <item x="126"/>
        <item m="1" x="201"/>
        <item x="39"/>
        <item x="111"/>
        <item m="1" x="202"/>
        <item m="1" x="206"/>
        <item m="1" x="205"/>
        <item m="1" x="204"/>
        <item x="4"/>
        <item x="100"/>
        <item m="1" x="207"/>
        <item m="1" x="142"/>
        <item m="1" x="189"/>
        <item m="1" x="200"/>
        <item x="122"/>
        <item x="33"/>
        <item x="24"/>
        <item x="117"/>
        <item m="1" x="184"/>
        <item m="1" x="199"/>
        <item x="112"/>
        <item x="40"/>
        <item x="41"/>
        <item x="127"/>
        <item m="1" x="185"/>
        <item x="113"/>
        <item x="80"/>
        <item x="128"/>
        <item x="101"/>
        <item x="25"/>
        <item x="67"/>
        <item x="129"/>
        <item m="1" x="148"/>
        <item m="1" x="147"/>
        <item x="102"/>
        <item x="103"/>
        <item m="1" x="212"/>
        <item m="1" x="213"/>
        <item x="130"/>
        <item x="131"/>
        <item x="47"/>
        <item x="132"/>
        <item x="104"/>
        <item x="26"/>
        <item m="1" x="183"/>
        <item m="1" x="193"/>
        <item m="1" x="186"/>
        <item x="68"/>
        <item x="27"/>
        <item x="123"/>
        <item m="1" x="150"/>
        <item x="69"/>
        <item x="48"/>
        <item x="34"/>
        <item m="1" x="174"/>
        <item m="1" x="175"/>
        <item x="81"/>
        <item x="133"/>
        <item x="13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39">
    <i>
      <x/>
    </i>
    <i>
      <x v="1"/>
    </i>
    <i>
      <x v="2"/>
    </i>
    <i>
      <x v="3"/>
    </i>
    <i>
      <x v="4"/>
    </i>
    <i>
      <x v="5"/>
    </i>
    <i>
      <x v="7"/>
    </i>
    <i>
      <x v="8"/>
    </i>
    <i>
      <x v="9"/>
    </i>
    <i>
      <x v="10"/>
    </i>
    <i>
      <x v="11"/>
    </i>
    <i>
      <x v="12"/>
    </i>
    <i>
      <x v="13"/>
    </i>
    <i>
      <x v="14"/>
    </i>
    <i>
      <x v="15"/>
    </i>
    <i>
      <x v="17"/>
    </i>
    <i>
      <x v="19"/>
    </i>
    <i>
      <x v="21"/>
    </i>
    <i>
      <x v="23"/>
    </i>
    <i>
      <x v="24"/>
    </i>
    <i>
      <x v="25"/>
    </i>
    <i>
      <x v="26"/>
    </i>
    <i>
      <x v="27"/>
    </i>
    <i>
      <x v="28"/>
    </i>
    <i>
      <x v="29"/>
    </i>
    <i>
      <x v="31"/>
    </i>
    <i>
      <x v="32"/>
    </i>
    <i>
      <x v="34"/>
    </i>
    <i>
      <x v="35"/>
    </i>
    <i>
      <x v="36"/>
    </i>
    <i>
      <x v="37"/>
    </i>
    <i>
      <x v="38"/>
    </i>
    <i>
      <x v="41"/>
    </i>
    <i>
      <x v="42"/>
    </i>
    <i>
      <x v="43"/>
    </i>
    <i>
      <x v="44"/>
    </i>
    <i>
      <x v="46"/>
    </i>
    <i>
      <x v="47"/>
    </i>
    <i t="grand">
      <x/>
    </i>
  </rowItems>
  <colItems count="1">
    <i/>
  </colItems>
  <dataFields count="1">
    <dataField name="Average of Scrum Team Completion Score" fld="26" subtotal="average" baseField="0" baseItem="0"/>
  </dataFields>
  <formats count="148">
    <format dxfId="57">
      <pivotArea type="all" dataOnly="0" outline="0" fieldPosition="0"/>
    </format>
    <format dxfId="58">
      <pivotArea outline="0" collapsedLevelsAreSubtotals="1" fieldPosition="0"/>
    </format>
    <format dxfId="59">
      <pivotArea field="1" type="button" dataOnly="0" labelOnly="1" outline="0"/>
    </format>
    <format dxfId="60">
      <pivotArea dataOnly="0" labelOnly="1" grandRow="1" outline="0" fieldPosition="0"/>
    </format>
    <format dxfId="61">
      <pivotArea dataOnly="0" labelOnly="1" outline="0" axis="axisValues" fieldPosition="0"/>
    </format>
    <format dxfId="62">
      <pivotArea outline="0" collapsedLevelsAreSubtotals="1" fieldPosition="0"/>
    </format>
    <format dxfId="63">
      <pivotArea dataOnly="0" labelOnly="1" outline="0" axis="axisValues" fieldPosition="0"/>
    </format>
    <format dxfId="64">
      <pivotArea field="0" type="button" dataOnly="0" labelOnly="1" outline="0" axis="axisRow" fieldPosition="0"/>
    </format>
    <format dxfId="65">
      <pivotArea field="1" type="button" dataOnly="0" labelOnly="1" outline="0"/>
    </format>
    <format dxfId="66">
      <pivotArea dataOnly="0" labelOnly="1" outline="0" axis="axisValues" fieldPosition="0"/>
    </format>
    <format dxfId="67">
      <pivotArea outline="0" fieldPosition="0">
        <references count="1">
          <reference field="0" count="1" selected="0" defaultSubtotal="1">
            <x v="0"/>
          </reference>
        </references>
      </pivotArea>
    </format>
    <format dxfId="68">
      <pivotArea dataOnly="0" labelOnly="1" outline="0" fieldPosition="0">
        <references count="1">
          <reference field="0" count="1" defaultSubtotal="1">
            <x v="0"/>
          </reference>
        </references>
      </pivotArea>
    </format>
    <format dxfId="69">
      <pivotArea outline="0" fieldPosition="0">
        <references count="1">
          <reference field="0" count="1" selected="0" defaultSubtotal="1">
            <x v="6"/>
          </reference>
        </references>
      </pivotArea>
    </format>
    <format dxfId="70">
      <pivotArea dataOnly="0" labelOnly="1" outline="0" fieldPosition="0">
        <references count="1">
          <reference field="0" count="1" defaultSubtotal="1">
            <x v="6"/>
          </reference>
        </references>
      </pivotArea>
    </format>
    <format dxfId="71">
      <pivotArea outline="0" fieldPosition="0">
        <references count="1">
          <reference field="0" count="1" selected="0" defaultSubtotal="1">
            <x v="9"/>
          </reference>
        </references>
      </pivotArea>
    </format>
    <format dxfId="72">
      <pivotArea dataOnly="0" labelOnly="1" outline="0" fieldPosition="0">
        <references count="1">
          <reference field="0" count="1" defaultSubtotal="1">
            <x v="9"/>
          </reference>
        </references>
      </pivotArea>
    </format>
    <format dxfId="73">
      <pivotArea outline="0" fieldPosition="0">
        <references count="1">
          <reference field="0" count="1" selected="0" defaultSubtotal="1">
            <x v="12"/>
          </reference>
        </references>
      </pivotArea>
    </format>
    <format dxfId="74">
      <pivotArea dataOnly="0" labelOnly="1" outline="0" fieldPosition="0">
        <references count="1">
          <reference field="0" count="1" defaultSubtotal="1">
            <x v="12"/>
          </reference>
        </references>
      </pivotArea>
    </format>
    <format dxfId="75">
      <pivotArea outline="0" fieldPosition="0">
        <references count="1">
          <reference field="0" count="1" selected="0" defaultSubtotal="1">
            <x v="14"/>
          </reference>
        </references>
      </pivotArea>
    </format>
    <format dxfId="76">
      <pivotArea dataOnly="0" labelOnly="1" outline="0" fieldPosition="0">
        <references count="1">
          <reference field="0" count="1" defaultSubtotal="1">
            <x v="14"/>
          </reference>
        </references>
      </pivotArea>
    </format>
    <format dxfId="77">
      <pivotArea outline="0" fieldPosition="0">
        <references count="1">
          <reference field="0" count="1" selected="0" defaultSubtotal="1">
            <x v="15"/>
          </reference>
        </references>
      </pivotArea>
    </format>
    <format dxfId="78">
      <pivotArea dataOnly="0" labelOnly="1" outline="0" fieldPosition="0">
        <references count="1">
          <reference field="0" count="1" defaultSubtotal="1">
            <x v="15"/>
          </reference>
        </references>
      </pivotArea>
    </format>
    <format dxfId="79">
      <pivotArea outline="0" fieldPosition="0">
        <references count="1">
          <reference field="0" count="1" selected="0" defaultSubtotal="1">
            <x v="0"/>
          </reference>
        </references>
      </pivotArea>
    </format>
    <format dxfId="80">
      <pivotArea dataOnly="0" labelOnly="1" outline="0" fieldPosition="0">
        <references count="1">
          <reference field="0" count="1" defaultSubtotal="1">
            <x v="0"/>
          </reference>
        </references>
      </pivotArea>
    </format>
    <format dxfId="81">
      <pivotArea outline="0" fieldPosition="0">
        <references count="1">
          <reference field="0" count="1" selected="0" defaultSubtotal="1">
            <x v="6"/>
          </reference>
        </references>
      </pivotArea>
    </format>
    <format dxfId="82">
      <pivotArea dataOnly="0" labelOnly="1" outline="0" fieldPosition="0">
        <references count="1">
          <reference field="0" count="1" defaultSubtotal="1">
            <x v="6"/>
          </reference>
        </references>
      </pivotArea>
    </format>
    <format dxfId="83">
      <pivotArea outline="0" fieldPosition="0">
        <references count="1">
          <reference field="0" count="1" selected="0" defaultSubtotal="1">
            <x v="9"/>
          </reference>
        </references>
      </pivotArea>
    </format>
    <format dxfId="84">
      <pivotArea dataOnly="0" labelOnly="1" outline="0" fieldPosition="0">
        <references count="1">
          <reference field="0" count="1" defaultSubtotal="1">
            <x v="9"/>
          </reference>
        </references>
      </pivotArea>
    </format>
    <format dxfId="85">
      <pivotArea outline="0" fieldPosition="0">
        <references count="1">
          <reference field="0" count="1" selected="0" defaultSubtotal="1">
            <x v="12"/>
          </reference>
        </references>
      </pivotArea>
    </format>
    <format dxfId="86">
      <pivotArea dataOnly="0" labelOnly="1" outline="0" fieldPosition="0">
        <references count="1">
          <reference field="0" count="1" defaultSubtotal="1">
            <x v="12"/>
          </reference>
        </references>
      </pivotArea>
    </format>
    <format dxfId="87">
      <pivotArea outline="0" fieldPosition="0">
        <references count="1">
          <reference field="0" count="1" selected="0" defaultSubtotal="1">
            <x v="14"/>
          </reference>
        </references>
      </pivotArea>
    </format>
    <format dxfId="88">
      <pivotArea dataOnly="0" labelOnly="1" outline="0" fieldPosition="0">
        <references count="1">
          <reference field="0" count="1" defaultSubtotal="1">
            <x v="14"/>
          </reference>
        </references>
      </pivotArea>
    </format>
    <format dxfId="89">
      <pivotArea outline="0" fieldPosition="0">
        <references count="1">
          <reference field="0" count="1" selected="0" defaultSubtotal="1">
            <x v="15"/>
          </reference>
        </references>
      </pivotArea>
    </format>
    <format dxfId="90">
      <pivotArea dataOnly="0" labelOnly="1" outline="0" fieldPosition="0">
        <references count="1">
          <reference field="0" count="1" defaultSubtotal="1">
            <x v="15"/>
          </reference>
        </references>
      </pivotArea>
    </format>
    <format dxfId="91">
      <pivotArea outline="0" fieldPosition="0">
        <references count="1">
          <reference field="0" count="1" selected="0" defaultSubtotal="1">
            <x v="16"/>
          </reference>
        </references>
      </pivotArea>
    </format>
    <format dxfId="92">
      <pivotArea dataOnly="0" labelOnly="1" outline="0" fieldPosition="0">
        <references count="1">
          <reference field="0" count="1" defaultSubtotal="1">
            <x v="16"/>
          </reference>
        </references>
      </pivotArea>
    </format>
    <format dxfId="93">
      <pivotArea outline="0" fieldPosition="0">
        <references count="1">
          <reference field="0" count="1" selected="0" defaultSubtotal="1">
            <x v="17"/>
          </reference>
        </references>
      </pivotArea>
    </format>
    <format dxfId="94">
      <pivotArea dataOnly="0" labelOnly="1" outline="0" fieldPosition="0">
        <references count="1">
          <reference field="0" count="1" defaultSubtotal="1">
            <x v="17"/>
          </reference>
        </references>
      </pivotArea>
    </format>
    <format dxfId="95">
      <pivotArea outline="0" fieldPosition="0">
        <references count="1">
          <reference field="0" count="1" selected="0" defaultSubtotal="1">
            <x v="19"/>
          </reference>
        </references>
      </pivotArea>
    </format>
    <format dxfId="96">
      <pivotArea dataOnly="0" labelOnly="1" outline="0" fieldPosition="0">
        <references count="1">
          <reference field="0" count="1" defaultSubtotal="1">
            <x v="19"/>
          </reference>
        </references>
      </pivotArea>
    </format>
    <format dxfId="97">
      <pivotArea outline="0" fieldPosition="0">
        <references count="1">
          <reference field="0" count="1" selected="0" defaultSubtotal="1">
            <x v="21"/>
          </reference>
        </references>
      </pivotArea>
    </format>
    <format dxfId="98">
      <pivotArea dataOnly="0" labelOnly="1" outline="0" fieldPosition="0">
        <references count="1">
          <reference field="0" count="1" defaultSubtotal="1">
            <x v="21"/>
          </reference>
        </references>
      </pivotArea>
    </format>
    <format dxfId="99">
      <pivotArea outline="0" fieldPosition="0">
        <references count="1">
          <reference field="0" count="1" selected="0" defaultSubtotal="1">
            <x v="22"/>
          </reference>
        </references>
      </pivotArea>
    </format>
    <format dxfId="100">
      <pivotArea dataOnly="0" labelOnly="1" outline="0" fieldPosition="0">
        <references count="1">
          <reference field="0" count="1" defaultSubtotal="1">
            <x v="22"/>
          </reference>
        </references>
      </pivotArea>
    </format>
    <format dxfId="101">
      <pivotArea outline="0" fieldPosition="0">
        <references count="1">
          <reference field="0" count="1" selected="0" defaultSubtotal="1">
            <x v="16"/>
          </reference>
        </references>
      </pivotArea>
    </format>
    <format dxfId="102">
      <pivotArea dataOnly="0" labelOnly="1" outline="0" fieldPosition="0">
        <references count="1">
          <reference field="0" count="1" defaultSubtotal="1">
            <x v="16"/>
          </reference>
        </references>
      </pivotArea>
    </format>
    <format dxfId="103">
      <pivotArea outline="0" fieldPosition="0">
        <references count="1">
          <reference field="0" count="1" selected="0" defaultSubtotal="1">
            <x v="17"/>
          </reference>
        </references>
      </pivotArea>
    </format>
    <format dxfId="104">
      <pivotArea dataOnly="0" labelOnly="1" outline="0" fieldPosition="0">
        <references count="1">
          <reference field="0" count="1" defaultSubtotal="1">
            <x v="17"/>
          </reference>
        </references>
      </pivotArea>
    </format>
    <format dxfId="105">
      <pivotArea outline="0" fieldPosition="0">
        <references count="1">
          <reference field="0" count="1" selected="0" defaultSubtotal="1">
            <x v="19"/>
          </reference>
        </references>
      </pivotArea>
    </format>
    <format dxfId="106">
      <pivotArea dataOnly="0" labelOnly="1" outline="0" fieldPosition="0">
        <references count="1">
          <reference field="0" count="1" defaultSubtotal="1">
            <x v="19"/>
          </reference>
        </references>
      </pivotArea>
    </format>
    <format dxfId="107">
      <pivotArea outline="0" fieldPosition="0">
        <references count="1">
          <reference field="0" count="1" selected="0" defaultSubtotal="1">
            <x v="21"/>
          </reference>
        </references>
      </pivotArea>
    </format>
    <format dxfId="108">
      <pivotArea dataOnly="0" labelOnly="1" outline="0" fieldPosition="0">
        <references count="1">
          <reference field="0" count="1" defaultSubtotal="1">
            <x v="21"/>
          </reference>
        </references>
      </pivotArea>
    </format>
    <format dxfId="109">
      <pivotArea outline="0" fieldPosition="0">
        <references count="1">
          <reference field="0" count="1" selected="0" defaultSubtotal="1">
            <x v="22"/>
          </reference>
        </references>
      </pivotArea>
    </format>
    <format dxfId="110">
      <pivotArea dataOnly="0" labelOnly="1" outline="0" fieldPosition="0">
        <references count="1">
          <reference field="0" count="1" defaultSubtotal="1">
            <x v="22"/>
          </reference>
        </references>
      </pivotArea>
    </format>
    <format dxfId="111">
      <pivotArea outline="0" fieldPosition="0">
        <references count="1">
          <reference field="0" count="1" selected="0" defaultSubtotal="1">
            <x v="23"/>
          </reference>
        </references>
      </pivotArea>
    </format>
    <format dxfId="112">
      <pivotArea dataOnly="0" labelOnly="1" outline="0" fieldPosition="0">
        <references count="1">
          <reference field="0" count="1" defaultSubtotal="1">
            <x v="23"/>
          </reference>
        </references>
      </pivotArea>
    </format>
    <format dxfId="113">
      <pivotArea outline="0" fieldPosition="0">
        <references count="1">
          <reference field="0" count="1" selected="0" defaultSubtotal="1">
            <x v="24"/>
          </reference>
        </references>
      </pivotArea>
    </format>
    <format dxfId="114">
      <pivotArea dataOnly="0" labelOnly="1" outline="0" fieldPosition="0">
        <references count="1">
          <reference field="0" count="1" defaultSubtotal="1">
            <x v="24"/>
          </reference>
        </references>
      </pivotArea>
    </format>
    <format dxfId="115">
      <pivotArea outline="0" fieldPosition="0">
        <references count="1">
          <reference field="0" count="1" selected="0" defaultSubtotal="1">
            <x v="25"/>
          </reference>
        </references>
      </pivotArea>
    </format>
    <format dxfId="116">
      <pivotArea dataOnly="0" labelOnly="1" outline="0" fieldPosition="0">
        <references count="1">
          <reference field="0" count="1" defaultSubtotal="1">
            <x v="25"/>
          </reference>
        </references>
      </pivotArea>
    </format>
    <format dxfId="117">
      <pivotArea outline="0" fieldPosition="0">
        <references count="1">
          <reference field="0" count="1" selected="0" defaultSubtotal="1">
            <x v="26"/>
          </reference>
        </references>
      </pivotArea>
    </format>
    <format dxfId="118">
      <pivotArea dataOnly="0" labelOnly="1" outline="0" fieldPosition="0">
        <references count="1">
          <reference field="0" count="1" defaultSubtotal="1">
            <x v="26"/>
          </reference>
        </references>
      </pivotArea>
    </format>
    <format dxfId="119">
      <pivotArea outline="0" fieldPosition="0">
        <references count="1">
          <reference field="0" count="1" selected="0" defaultSubtotal="1">
            <x v="28"/>
          </reference>
        </references>
      </pivotArea>
    </format>
    <format dxfId="120">
      <pivotArea dataOnly="0" labelOnly="1" outline="0" fieldPosition="0">
        <references count="1">
          <reference field="0" count="1" defaultSubtotal="1">
            <x v="28"/>
          </reference>
        </references>
      </pivotArea>
    </format>
    <format dxfId="121">
      <pivotArea outline="0" fieldPosition="0">
        <references count="1">
          <reference field="0" count="1" selected="0" defaultSubtotal="1">
            <x v="29"/>
          </reference>
        </references>
      </pivotArea>
    </format>
    <format dxfId="122">
      <pivotArea dataOnly="0" labelOnly="1" outline="0" fieldPosition="0">
        <references count="1">
          <reference field="0" count="1" defaultSubtotal="1">
            <x v="29"/>
          </reference>
        </references>
      </pivotArea>
    </format>
    <format dxfId="123">
      <pivotArea outline="0" fieldPosition="0">
        <references count="1">
          <reference field="0" count="1" selected="0" defaultSubtotal="1">
            <x v="32"/>
          </reference>
        </references>
      </pivotArea>
    </format>
    <format dxfId="124">
      <pivotArea dataOnly="0" labelOnly="1" outline="0" fieldPosition="0">
        <references count="1">
          <reference field="0" count="1" defaultSubtotal="1">
            <x v="32"/>
          </reference>
        </references>
      </pivotArea>
    </format>
    <format dxfId="125">
      <pivotArea outline="0" fieldPosition="0">
        <references count="1">
          <reference field="0" count="1" selected="0" defaultSubtotal="1">
            <x v="33"/>
          </reference>
        </references>
      </pivotArea>
    </format>
    <format dxfId="126">
      <pivotArea dataOnly="0" labelOnly="1" outline="0" fieldPosition="0">
        <references count="1">
          <reference field="0" count="1" defaultSubtotal="1">
            <x v="33"/>
          </reference>
        </references>
      </pivotArea>
    </format>
    <format dxfId="127">
      <pivotArea outline="0" fieldPosition="0">
        <references count="1">
          <reference field="0" count="1" selected="0" defaultSubtotal="1">
            <x v="36"/>
          </reference>
        </references>
      </pivotArea>
    </format>
    <format dxfId="128">
      <pivotArea dataOnly="0" labelOnly="1" outline="0" fieldPosition="0">
        <references count="1">
          <reference field="0" count="1" defaultSubtotal="1">
            <x v="36"/>
          </reference>
        </references>
      </pivotArea>
    </format>
    <format dxfId="129">
      <pivotArea outline="0" fieldPosition="0">
        <references count="1">
          <reference field="0" count="1" selected="0" defaultSubtotal="1">
            <x v="38"/>
          </reference>
        </references>
      </pivotArea>
    </format>
    <format dxfId="130">
      <pivotArea dataOnly="0" labelOnly="1" outline="0" fieldPosition="0">
        <references count="1">
          <reference field="0" count="1" defaultSubtotal="1">
            <x v="38"/>
          </reference>
        </references>
      </pivotArea>
    </format>
    <format dxfId="131">
      <pivotArea outline="0" fieldPosition="0">
        <references count="1">
          <reference field="0" count="1" selected="0" defaultSubtotal="1">
            <x v="37"/>
          </reference>
        </references>
      </pivotArea>
    </format>
    <format dxfId="132">
      <pivotArea dataOnly="0" labelOnly="1" outline="0" fieldPosition="0">
        <references count="1">
          <reference field="0" count="1" defaultSubtotal="1">
            <x v="37"/>
          </reference>
        </references>
      </pivotArea>
    </format>
    <format dxfId="133">
      <pivotArea outline="0" fieldPosition="0">
        <references count="1">
          <reference field="0" count="1" selected="0" defaultSubtotal="1">
            <x v="39"/>
          </reference>
        </references>
      </pivotArea>
    </format>
    <format dxfId="134">
      <pivotArea dataOnly="0" labelOnly="1" outline="0" fieldPosition="0">
        <references count="1">
          <reference field="0" count="1" defaultSubtotal="1">
            <x v="39"/>
          </reference>
        </references>
      </pivotArea>
    </format>
    <format dxfId="135">
      <pivotArea outline="0" fieldPosition="0">
        <references count="1">
          <reference field="0" count="1" selected="0" defaultSubtotal="1">
            <x v="40"/>
          </reference>
        </references>
      </pivotArea>
    </format>
    <format dxfId="136">
      <pivotArea dataOnly="0" labelOnly="1" outline="0" fieldPosition="0">
        <references count="1">
          <reference field="0" count="1" defaultSubtotal="1">
            <x v="40"/>
          </reference>
        </references>
      </pivotArea>
    </format>
    <format dxfId="137">
      <pivotArea outline="0" fieldPosition="0">
        <references count="1">
          <reference field="0" count="1" selected="0" defaultSubtotal="1">
            <x v="41"/>
          </reference>
        </references>
      </pivotArea>
    </format>
    <format dxfId="138">
      <pivotArea dataOnly="0" labelOnly="1" outline="0" fieldPosition="0">
        <references count="1">
          <reference field="0" count="1" defaultSubtotal="1">
            <x v="41"/>
          </reference>
        </references>
      </pivotArea>
    </format>
    <format dxfId="139">
      <pivotArea outline="0" fieldPosition="0">
        <references count="1">
          <reference field="0" count="1" selected="0" defaultSubtotal="1">
            <x v="42"/>
          </reference>
        </references>
      </pivotArea>
    </format>
    <format dxfId="140">
      <pivotArea dataOnly="0" labelOnly="1" outline="0" fieldPosition="0">
        <references count="1">
          <reference field="0" count="1" defaultSubtotal="1">
            <x v="42"/>
          </reference>
        </references>
      </pivotArea>
    </format>
    <format dxfId="141">
      <pivotArea outline="0" fieldPosition="0">
        <references count="1">
          <reference field="0" count="1" selected="0" defaultSubtotal="1">
            <x v="43"/>
          </reference>
        </references>
      </pivotArea>
    </format>
    <format dxfId="142">
      <pivotArea dataOnly="0" labelOnly="1" outline="0" fieldPosition="0">
        <references count="1">
          <reference field="0" count="1" defaultSubtotal="1">
            <x v="43"/>
          </reference>
        </references>
      </pivotArea>
    </format>
    <format dxfId="143">
      <pivotArea outline="0" fieldPosition="0">
        <references count="1">
          <reference field="0" count="1" selected="0" defaultSubtotal="1">
            <x v="23"/>
          </reference>
        </references>
      </pivotArea>
    </format>
    <format dxfId="144">
      <pivotArea dataOnly="0" labelOnly="1" outline="0" fieldPosition="0">
        <references count="1">
          <reference field="0" count="1" defaultSubtotal="1">
            <x v="23"/>
          </reference>
        </references>
      </pivotArea>
    </format>
    <format dxfId="145">
      <pivotArea outline="0" fieldPosition="0">
        <references count="1">
          <reference field="0" count="1" selected="0" defaultSubtotal="1">
            <x v="24"/>
          </reference>
        </references>
      </pivotArea>
    </format>
    <format dxfId="146">
      <pivotArea dataOnly="0" labelOnly="1" outline="0" fieldPosition="0">
        <references count="1">
          <reference field="0" count="1" defaultSubtotal="1">
            <x v="24"/>
          </reference>
        </references>
      </pivotArea>
    </format>
    <format dxfId="147">
      <pivotArea outline="0" fieldPosition="0">
        <references count="1">
          <reference field="0" count="1" selected="0" defaultSubtotal="1">
            <x v="25"/>
          </reference>
        </references>
      </pivotArea>
    </format>
    <format dxfId="148">
      <pivotArea dataOnly="0" labelOnly="1" outline="0" fieldPosition="0">
        <references count="1">
          <reference field="0" count="1" defaultSubtotal="1">
            <x v="25"/>
          </reference>
        </references>
      </pivotArea>
    </format>
    <format dxfId="149">
      <pivotArea outline="0" fieldPosition="0">
        <references count="1">
          <reference field="0" count="1" selected="0" defaultSubtotal="1">
            <x v="26"/>
          </reference>
        </references>
      </pivotArea>
    </format>
    <format dxfId="150">
      <pivotArea dataOnly="0" labelOnly="1" outline="0" fieldPosition="0">
        <references count="1">
          <reference field="0" count="1" defaultSubtotal="1">
            <x v="26"/>
          </reference>
        </references>
      </pivotArea>
    </format>
    <format dxfId="151">
      <pivotArea outline="0" fieldPosition="0">
        <references count="1">
          <reference field="0" count="1" selected="0" defaultSubtotal="1">
            <x v="28"/>
          </reference>
        </references>
      </pivotArea>
    </format>
    <format dxfId="152">
      <pivotArea dataOnly="0" labelOnly="1" outline="0" fieldPosition="0">
        <references count="1">
          <reference field="0" count="1" defaultSubtotal="1">
            <x v="28"/>
          </reference>
        </references>
      </pivotArea>
    </format>
    <format dxfId="153">
      <pivotArea outline="0" fieldPosition="0">
        <references count="1">
          <reference field="0" count="1" selected="0" defaultSubtotal="1">
            <x v="29"/>
          </reference>
        </references>
      </pivotArea>
    </format>
    <format dxfId="154">
      <pivotArea dataOnly="0" labelOnly="1" outline="0" fieldPosition="0">
        <references count="1">
          <reference field="0" count="1" defaultSubtotal="1">
            <x v="29"/>
          </reference>
        </references>
      </pivotArea>
    </format>
    <format dxfId="155">
      <pivotArea outline="0" fieldPosition="0">
        <references count="1">
          <reference field="0" count="1" selected="0" defaultSubtotal="1">
            <x v="32"/>
          </reference>
        </references>
      </pivotArea>
    </format>
    <format dxfId="156">
      <pivotArea dataOnly="0" labelOnly="1" outline="0" fieldPosition="0">
        <references count="1">
          <reference field="0" count="1" defaultSubtotal="1">
            <x v="32"/>
          </reference>
        </references>
      </pivotArea>
    </format>
    <format dxfId="157">
      <pivotArea outline="0" fieldPosition="0">
        <references count="1">
          <reference field="0" count="1" selected="0" defaultSubtotal="1">
            <x v="33"/>
          </reference>
        </references>
      </pivotArea>
    </format>
    <format dxfId="158">
      <pivotArea dataOnly="0" labelOnly="1" outline="0" fieldPosition="0">
        <references count="1">
          <reference field="0" count="1" defaultSubtotal="1">
            <x v="33"/>
          </reference>
        </references>
      </pivotArea>
    </format>
    <format dxfId="159">
      <pivotArea outline="0" fieldPosition="0">
        <references count="1">
          <reference field="0" count="1" selected="0" defaultSubtotal="1">
            <x v="36"/>
          </reference>
        </references>
      </pivotArea>
    </format>
    <format dxfId="160">
      <pivotArea dataOnly="0" labelOnly="1" outline="0" fieldPosition="0">
        <references count="1">
          <reference field="0" count="1" defaultSubtotal="1">
            <x v="36"/>
          </reference>
        </references>
      </pivotArea>
    </format>
    <format dxfId="161">
      <pivotArea outline="0" fieldPosition="0">
        <references count="1">
          <reference field="0" count="1" selected="0" defaultSubtotal="1">
            <x v="38"/>
          </reference>
        </references>
      </pivotArea>
    </format>
    <format dxfId="162">
      <pivotArea dataOnly="0" labelOnly="1" outline="0" fieldPosition="0">
        <references count="1">
          <reference field="0" count="1" defaultSubtotal="1">
            <x v="38"/>
          </reference>
        </references>
      </pivotArea>
    </format>
    <format dxfId="163">
      <pivotArea outline="0" fieldPosition="0">
        <references count="1">
          <reference field="0" count="1" selected="0" defaultSubtotal="1">
            <x v="37"/>
          </reference>
        </references>
      </pivotArea>
    </format>
    <format dxfId="164">
      <pivotArea dataOnly="0" labelOnly="1" outline="0" fieldPosition="0">
        <references count="1">
          <reference field="0" count="1" defaultSubtotal="1">
            <x v="37"/>
          </reference>
        </references>
      </pivotArea>
    </format>
    <format dxfId="165">
      <pivotArea outline="0" fieldPosition="0">
        <references count="1">
          <reference field="0" count="1" selected="0" defaultSubtotal="1">
            <x v="39"/>
          </reference>
        </references>
      </pivotArea>
    </format>
    <format dxfId="166">
      <pivotArea dataOnly="0" labelOnly="1" outline="0" fieldPosition="0">
        <references count="1">
          <reference field="0" count="1" defaultSubtotal="1">
            <x v="39"/>
          </reference>
        </references>
      </pivotArea>
    </format>
    <format dxfId="167">
      <pivotArea outline="0" fieldPosition="0">
        <references count="1">
          <reference field="0" count="1" selected="0" defaultSubtotal="1">
            <x v="40"/>
          </reference>
        </references>
      </pivotArea>
    </format>
    <format dxfId="168">
      <pivotArea dataOnly="0" labelOnly="1" outline="0" fieldPosition="0">
        <references count="1">
          <reference field="0" count="1" defaultSubtotal="1">
            <x v="40"/>
          </reference>
        </references>
      </pivotArea>
    </format>
    <format dxfId="169">
      <pivotArea outline="0" fieldPosition="0">
        <references count="1">
          <reference field="0" count="1" selected="0" defaultSubtotal="1">
            <x v="41"/>
          </reference>
        </references>
      </pivotArea>
    </format>
    <format dxfId="170">
      <pivotArea dataOnly="0" labelOnly="1" outline="0" fieldPosition="0">
        <references count="1">
          <reference field="0" count="1" defaultSubtotal="1">
            <x v="41"/>
          </reference>
        </references>
      </pivotArea>
    </format>
    <format dxfId="171">
      <pivotArea outline="0" fieldPosition="0">
        <references count="1">
          <reference field="0" count="1" selected="0" defaultSubtotal="1">
            <x v="42"/>
          </reference>
        </references>
      </pivotArea>
    </format>
    <format dxfId="172">
      <pivotArea dataOnly="0" labelOnly="1" outline="0" fieldPosition="0">
        <references count="1">
          <reference field="0" count="1" defaultSubtotal="1">
            <x v="42"/>
          </reference>
        </references>
      </pivotArea>
    </format>
    <format dxfId="173">
      <pivotArea outline="0" fieldPosition="0">
        <references count="1">
          <reference field="0" count="1" selected="0" defaultSubtotal="1">
            <x v="43"/>
          </reference>
        </references>
      </pivotArea>
    </format>
    <format dxfId="174">
      <pivotArea dataOnly="0" labelOnly="1" outline="0" fieldPosition="0">
        <references count="1">
          <reference field="0" count="1" defaultSubtotal="1">
            <x v="43"/>
          </reference>
        </references>
      </pivotArea>
    </format>
    <format dxfId="175">
      <pivotArea outline="0" fieldPosition="0">
        <references count="1">
          <reference field="0" count="1" selected="0" defaultSubtotal="1">
            <x v="45"/>
          </reference>
        </references>
      </pivotArea>
    </format>
    <format dxfId="176">
      <pivotArea dataOnly="0" labelOnly="1" outline="0" fieldPosition="0">
        <references count="1">
          <reference field="0" count="1" defaultSubtotal="1">
            <x v="45"/>
          </reference>
        </references>
      </pivotArea>
    </format>
    <format dxfId="177">
      <pivotArea outline="0" fieldPosition="0">
        <references count="1">
          <reference field="0" count="1" selected="0" defaultSubtotal="1">
            <x v="46"/>
          </reference>
        </references>
      </pivotArea>
    </format>
    <format dxfId="178">
      <pivotArea dataOnly="0" labelOnly="1" outline="0" fieldPosition="0">
        <references count="1">
          <reference field="0" count="1" defaultSubtotal="1">
            <x v="46"/>
          </reference>
        </references>
      </pivotArea>
    </format>
    <format dxfId="179">
      <pivotArea outline="0" fieldPosition="0">
        <references count="1">
          <reference field="0" count="1" selected="0" defaultSubtotal="1">
            <x v="45"/>
          </reference>
        </references>
      </pivotArea>
    </format>
    <format dxfId="180">
      <pivotArea dataOnly="0" labelOnly="1" outline="0" fieldPosition="0">
        <references count="1">
          <reference field="0" count="1" defaultSubtotal="1">
            <x v="45"/>
          </reference>
        </references>
      </pivotArea>
    </format>
    <format dxfId="181">
      <pivotArea outline="0" fieldPosition="0">
        <references count="1">
          <reference field="0" count="1" selected="0" defaultSubtotal="1">
            <x v="46"/>
          </reference>
        </references>
      </pivotArea>
    </format>
    <format dxfId="182">
      <pivotArea dataOnly="0" labelOnly="1" outline="0" fieldPosition="0">
        <references count="1">
          <reference field="0" count="1" defaultSubtotal="1">
            <x v="46"/>
          </reference>
        </references>
      </pivotArea>
    </format>
    <format dxfId="183">
      <pivotArea outline="0" fieldPosition="0">
        <references count="1">
          <reference field="0" count="1" selected="0" defaultSubtotal="1">
            <x v="10"/>
          </reference>
        </references>
      </pivotArea>
    </format>
    <format dxfId="184">
      <pivotArea dataOnly="0" labelOnly="1" outline="0" fieldPosition="0">
        <references count="1">
          <reference field="0" count="1" defaultSubtotal="1">
            <x v="10"/>
          </reference>
        </references>
      </pivotArea>
    </format>
    <format dxfId="185">
      <pivotArea outline="0" fieldPosition="0">
        <references count="1">
          <reference field="0" count="1" selected="0" defaultSubtotal="1">
            <x v="10"/>
          </reference>
        </references>
      </pivotArea>
    </format>
    <format dxfId="186">
      <pivotArea dataOnly="0" labelOnly="1" outline="0" fieldPosition="0">
        <references count="1">
          <reference field="0" count="1" defaultSubtotal="1">
            <x v="10"/>
          </reference>
        </references>
      </pivotArea>
    </format>
    <format dxfId="187">
      <pivotArea field="1" type="button" dataOnly="0" labelOnly="1" outline="0"/>
    </format>
    <format dxfId="188">
      <pivotArea dataOnly="0" labelOnly="1" outline="0" axis="axisValues" fieldPosition="0"/>
    </format>
    <format dxfId="189">
      <pivotArea outline="0" collapsedLevelsAreSubtotals="1" fieldPosition="0"/>
    </format>
    <format dxfId="190">
      <pivotArea dataOnly="0" labelOnly="1" outline="0" axis="axisValues" fieldPosition="0"/>
    </format>
    <format dxfId="191">
      <pivotArea outline="0" fieldPosition="0">
        <references count="1">
          <reference field="0" count="1" selected="0" defaultSubtotal="1">
            <x v="5"/>
          </reference>
        </references>
      </pivotArea>
    </format>
    <format dxfId="192">
      <pivotArea dataOnly="0" labelOnly="1" outline="0" fieldPosition="0">
        <references count="1">
          <reference field="0" count="1" defaultSubtotal="1">
            <x v="5"/>
          </reference>
        </references>
      </pivotArea>
    </format>
    <format dxfId="193">
      <pivotArea outline="0" fieldPosition="0">
        <references count="1">
          <reference field="0" count="1" selected="0" defaultSubtotal="1">
            <x v="5"/>
          </reference>
        </references>
      </pivotArea>
    </format>
    <format dxfId="194">
      <pivotArea dataOnly="0" labelOnly="1" outline="0" fieldPosition="0">
        <references count="1">
          <reference field="0" count="1" defaultSubtotal="1">
            <x v="5"/>
          </reference>
        </references>
      </pivotArea>
    </format>
    <format dxfId="195">
      <pivotArea outline="0" fieldPosition="0">
        <references count="1">
          <reference field="0" count="1" selected="0" defaultSubtotal="1">
            <x v="3"/>
          </reference>
        </references>
      </pivotArea>
    </format>
    <format dxfId="196">
      <pivotArea dataOnly="0" labelOnly="1" outline="0" fieldPosition="0">
        <references count="1">
          <reference field="0" count="1" defaultSubtotal="1">
            <x v="3"/>
          </reference>
        </references>
      </pivotArea>
    </format>
    <format dxfId="197">
      <pivotArea outline="0" fieldPosition="0">
        <references count="1">
          <reference field="0" count="1" selected="0" defaultSubtotal="1">
            <x v="3"/>
          </reference>
        </references>
      </pivotArea>
    </format>
    <format dxfId="198">
      <pivotArea dataOnly="0" labelOnly="1" outline="0" fieldPosition="0">
        <references count="1">
          <reference field="0" count="1" defaultSubtotal="1">
            <x v="3"/>
          </reference>
        </references>
      </pivotArea>
    </format>
    <format dxfId="199">
      <pivotArea type="all" dataOnly="0" outline="0" fieldPosition="0"/>
    </format>
    <format dxfId="200">
      <pivotArea outline="0" collapsedLevelsAreSubtotals="1" fieldPosition="0"/>
    </format>
    <format dxfId="201">
      <pivotArea field="0" type="button" dataOnly="0" labelOnly="1" outline="0" axis="axisRow" fieldPosition="0"/>
    </format>
    <format dxfId="202">
      <pivotArea dataOnly="0" labelOnly="1" outline="0" fieldPosition="0">
        <references count="1">
          <reference field="0" count="0"/>
        </references>
      </pivotArea>
    </format>
    <format dxfId="203">
      <pivotArea dataOnly="0" labelOnly="1" grandRow="1" outline="0" fieldPosition="0"/>
    </format>
    <format dxfId="2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99" dT="2026-06-25T13:52:52.61" personId="{7F83755C-57AF-3C4E-94CC-E182AC7C97B0}" id="{AAD6DF84-F41C-C240-866E-78CB56A415CC}">
    <text>To be changed as                          OP-Launch Automation, yet to be updated in JIRA</text>
  </threadedComment>
  <threadedComment ref="B200" dT="2026-06-25T13:37:43.07" personId="{7F83755C-57AF-3C4E-94CC-E182AC7C97B0}" id="{57A3641F-3DEE-2142-A105-540923C89707}">
    <text>Not relevant</text>
  </threadedComment>
  <threadedComment ref="B201" dT="2026-06-25T13:37:50.55" personId="{7F83755C-57AF-3C4E-94CC-E182AC7C97B0}" id="{E4014CD2-BA88-9E44-900A-DA0AD64D040E}">
    <text>Not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N30" dT="2026-03-24T10:43:10.16" personId="{8CE7B464-7BED-479E-9D84-F20C0D79C3B7}" id="{2E3A36B5-2C47-4977-BB30-3C848C25F41C}">
    <text>@Samarash Basak Please add this https://tekion.atlassian.net/jira/software/c/projects/AHM/boards/11843/backlog</text>
    <mentions>
      <mention mentionpersonId="{46B8700F-4C24-46DA-ADB4-2C8E68371649}" mentionId="{3B717490-92B9-467E-AD84-64909BFBB948}" startIndex="0" length="15"/>
    </mentions>
  </threadedComment>
  <threadedComment ref="O30" dT="2026-03-24T10:44:00.83" personId="{8CE7B464-7BED-479E-9D84-F20C0D79C3B7}" id="{1F8FD109-00FD-472D-83EE-E0FAA166DCEE}">
    <text>@Samarash Basak Please update thishttps://tekion.atlassian.net/jira/plans/10574/scenarios/10574/timeline?vid=12757</text>
    <mentions>
      <mention mentionpersonId="{46B8700F-4C24-46DA-ADB4-2C8E68371649}" mentionId="{778E43D1-E38E-4D73-94BA-22DFF46FE0C3}" startIndex="0" length="15"/>
    </mentions>
  </threadedComment>
  <threadedComment ref="N31" dT="2026-03-24T10:43:25.67" personId="{8CE7B464-7BED-479E-9D84-F20C0D79C3B7}" id="{0010283F-2DE5-43D9-9D7A-A3C0A6B7B1E5}">
    <text>@Samarash Basak Please add this https://tekion.atlassian.net/jira/software/c/projects/AHM/boards/11843/backlog</text>
    <mentions>
      <mention mentionpersonId="{46B8700F-4C24-46DA-ADB4-2C8E68371649}" mentionId="{2D236D7F-BB37-4655-A60B-01A02EE4D8F8}" startIndex="0" length="15"/>
    </mentions>
  </threadedComment>
  <threadedComment ref="O31" dT="2026-03-24T10:44:11.93" personId="{8CE7B464-7BED-479E-9D84-F20C0D79C3B7}" id="{534331D0-D1A1-44B3-BA5E-6231854DD475}">
    <text>@Samarash Basak Please add this https://tekion.atlassian.net/jira/plans/10574/scenarios/10574/timeline?vid=12757</text>
    <mentions>
      <mention mentionpersonId="{46B8700F-4C24-46DA-ADB4-2C8E68371649}" mentionId="{729DB5CC-D330-482F-8B01-23E1A1D7122B}" startIndex="0" length="15"/>
    </mentions>
  </threadedComment>
</ThreadedComment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2">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613" row="5">
    <wetp:webextensionref xmlns:r="http://schemas.openxmlformats.org/officeDocument/2006/relationships" r:id="rId3"/>
  </wetp:taskpane>
</wetp:taskpanes>
</file>

<file path=xl/webextensions/webextension1.xml><?xml version="1.0" encoding="utf-8"?>
<we:webextension xmlns:we="http://schemas.microsoft.com/office/webextensions/webextension/2010/11" id="{4A1C65AD-FE20-8243-905B-527687E36541}">
  <we:reference id="wa200000556" version="1.1.0.0" store="en-US" storeType="OMEX"/>
  <we:alternateReferences>
    <we:reference id="wa200000556" version="1.1.0.0" store="" storeType="OMEX"/>
  </we:alternateReferences>
  <we:properties>
    <we:property name="documentId" value="&quot;8eaa4f46-ecc7-41fa-9f28-d0c1b7c70be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ebextensions/webextension2.xml><?xml version="1.0" encoding="utf-8"?>
<we:webextension xmlns:we="http://schemas.microsoft.com/office/webextensions/webextension/2010/11" id="{D6D6254D-DB5C-4172-9DAD-C61B5009590A}">
  <we:reference id="wa200010725" version="1.0.0.1" store="en-US" storeType="omex"/>
  <we:alternateReferences>
    <we:reference id="wa200010725" version="1.0.0.1" store="en-US" storeType="omex"/>
  </we:alternateReferences>
  <we:properties>
    <we:property name="claude.fileId" value="&quot;afe4bf07-08a5-4c2c-80b7-3707de7ca83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7B023D28-8B34-457C-BBC7-FEE456BA7AC4}">
  <we:reference id="WA200009404" version="1.0.0.8" store="Omex" storeType="OMEX"/>
  <we:alternateReferences>
    <we:reference id="WA200009404" version="1.0.0.8" store="WA200009404" storeType="OMEX"/>
  </we:alternateReferences>
  <we:properties>
    <we:property name="claude.fileId" value="&quot;933dfc63-c4b1-4f16-b1be-1723f56e739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hyperlink" Target="https://tekion.atlassian.net/wiki/spaces/TW/pages/4454875476/JIRA+Component+Sub-Component+Cleanup" TargetMode="Externa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tekion.atlassian.net/jira/software/c/projects/APLT/boards/9335" TargetMode="External"/><Relationship Id="rId21" Type="http://schemas.openxmlformats.org/officeDocument/2006/relationships/hyperlink" Target="https://tekion.atlassian.net/jira/software/c/projects/FNI/boards/4856/backlog" TargetMode="External"/><Relationship Id="rId42" Type="http://schemas.openxmlformats.org/officeDocument/2006/relationships/hyperlink" Target="https://tekion.atlassian.net/issues?filter=52501" TargetMode="External"/><Relationship Id="rId63" Type="http://schemas.openxmlformats.org/officeDocument/2006/relationships/hyperlink" Target="https://tekion.atlassian.net/jira/software/c/projects/ACCT/boards/9298/backlog" TargetMode="External"/><Relationship Id="rId84" Type="http://schemas.openxmlformats.org/officeDocument/2006/relationships/hyperlink" Target="https://tekion.atlassian.net/issues/?filter=42571" TargetMode="External"/><Relationship Id="rId138" Type="http://schemas.openxmlformats.org/officeDocument/2006/relationships/hyperlink" Target="https://tekion.atlassian.net/issues/?filter=42337" TargetMode="External"/><Relationship Id="rId159" Type="http://schemas.openxmlformats.org/officeDocument/2006/relationships/hyperlink" Target="https://tekion.atlassian.net/jira/software/c/projects/PYTK/boards/9751" TargetMode="External"/><Relationship Id="rId170" Type="http://schemas.openxmlformats.org/officeDocument/2006/relationships/hyperlink" Target="https://tekion.atlassian.net/jira/software/c/projects/SIP/boards/12350" TargetMode="External"/><Relationship Id="rId191" Type="http://schemas.openxmlformats.org/officeDocument/2006/relationships/hyperlink" Target="https://tekion.atlassian.net/issues/?filter=60920" TargetMode="External"/><Relationship Id="rId205" Type="http://schemas.openxmlformats.org/officeDocument/2006/relationships/hyperlink" Target="https://tekion.atlassian.net/jira/software/c/projects/SERV/boards/9524/backlog" TargetMode="External"/><Relationship Id="rId107" Type="http://schemas.openxmlformats.org/officeDocument/2006/relationships/hyperlink" Target="https://tekion.atlassian.net/issues/?filter=38110" TargetMode="External"/><Relationship Id="rId11" Type="http://schemas.openxmlformats.org/officeDocument/2006/relationships/hyperlink" Target="https://tekion.atlassian.net/issues/?filter=42937" TargetMode="External"/><Relationship Id="rId32" Type="http://schemas.openxmlformats.org/officeDocument/2006/relationships/hyperlink" Target="https://tekion.atlassian.net/jira/software/c/projects/INTG/boards/11767/backlog" TargetMode="External"/><Relationship Id="rId53" Type="http://schemas.openxmlformats.org/officeDocument/2006/relationships/hyperlink" Target="https://tekion.atlassian.net/issues/?filter=41870" TargetMode="External"/><Relationship Id="rId74" Type="http://schemas.openxmlformats.org/officeDocument/2006/relationships/hyperlink" Target="https://tekion.atlassian.net/issues/?filter=42538" TargetMode="External"/><Relationship Id="rId128" Type="http://schemas.openxmlformats.org/officeDocument/2006/relationships/hyperlink" Target="https://tekion.atlassian.net/issues/?filter=55293" TargetMode="External"/><Relationship Id="rId149" Type="http://schemas.openxmlformats.org/officeDocument/2006/relationships/hyperlink" Target="https://tekion.atlassian.net/jira/software/c/projects/PLTF/boards/13215" TargetMode="External"/><Relationship Id="rId5" Type="http://schemas.openxmlformats.org/officeDocument/2006/relationships/hyperlink" Target="https://tekion.atlassian.net/issues/?filter=42641" TargetMode="External"/><Relationship Id="rId95" Type="http://schemas.openxmlformats.org/officeDocument/2006/relationships/hyperlink" Target="https://tekion.atlassian.net/jira/software/c/projects/SERV/boards/11415/backlog" TargetMode="External"/><Relationship Id="rId160" Type="http://schemas.openxmlformats.org/officeDocument/2006/relationships/hyperlink" Target="https://tekion.atlassian.net/issues/?filter=42346" TargetMode="External"/><Relationship Id="rId181" Type="http://schemas.openxmlformats.org/officeDocument/2006/relationships/hyperlink" Target="https://tekion.atlassian.net/jira/software/c/projects/AEP/boards/14430" TargetMode="External"/><Relationship Id="rId216" Type="http://schemas.openxmlformats.org/officeDocument/2006/relationships/hyperlink" Target="https://tekion.atlassian.net/issues/?filter=41867" TargetMode="External"/><Relationship Id="rId22" Type="http://schemas.openxmlformats.org/officeDocument/2006/relationships/hyperlink" Target="https://tekion.atlassian.net/jira/software/c/projects/FNI/boards/6583/backlog" TargetMode="External"/><Relationship Id="rId43" Type="http://schemas.openxmlformats.org/officeDocument/2006/relationships/hyperlink" Target="https://tekion.atlassian.net/jira/software/c/projects/AI/boards/13350" TargetMode="External"/><Relationship Id="rId64" Type="http://schemas.openxmlformats.org/officeDocument/2006/relationships/hyperlink" Target="https://tekion.atlassian.net/issues/?filter=41804" TargetMode="External"/><Relationship Id="rId118" Type="http://schemas.openxmlformats.org/officeDocument/2006/relationships/hyperlink" Target="https://tekion.atlassian.net/issues/?filter=41856" TargetMode="External"/><Relationship Id="rId139" Type="http://schemas.openxmlformats.org/officeDocument/2006/relationships/hyperlink" Target="https://tekion.atlassian.net/jira/software/c/projects/PLTF/boards/13211" TargetMode="External"/><Relationship Id="rId85" Type="http://schemas.openxmlformats.org/officeDocument/2006/relationships/hyperlink" Target="https://tekion.atlassian.net/jira/software/c/projects/SERV/boards/9324/backlog" TargetMode="External"/><Relationship Id="rId150" Type="http://schemas.openxmlformats.org/officeDocument/2006/relationships/hyperlink" Target="https://tekion.atlassian.net/issues/?filter=51730" TargetMode="External"/><Relationship Id="rId171" Type="http://schemas.openxmlformats.org/officeDocument/2006/relationships/hyperlink" Target="https://tekion.atlassian.net/jira/software/c/projects/APEX/boards/12147" TargetMode="External"/><Relationship Id="rId192" Type="http://schemas.openxmlformats.org/officeDocument/2006/relationships/hyperlink" Target="https://tekion.atlassian.net/jira/software/c/projects/OPLT/boards/15069" TargetMode="External"/><Relationship Id="rId206" Type="http://schemas.openxmlformats.org/officeDocument/2006/relationships/hyperlink" Target="https://tekion.atlassian.net/issues?filter=42058" TargetMode="External"/><Relationship Id="rId12" Type="http://schemas.openxmlformats.org/officeDocument/2006/relationships/hyperlink" Target="https://tekion.atlassian.net/jira/software/c/projects/DPLT/boards/10115/backlog" TargetMode="External"/><Relationship Id="rId33" Type="http://schemas.openxmlformats.org/officeDocument/2006/relationships/hyperlink" Target="https://tekion.atlassian.net/issues/?filter=45272" TargetMode="External"/><Relationship Id="rId108" Type="http://schemas.openxmlformats.org/officeDocument/2006/relationships/hyperlink" Target="https://tekion.atlassian.net/issues/?filter=37387" TargetMode="External"/><Relationship Id="rId129" Type="http://schemas.openxmlformats.org/officeDocument/2006/relationships/hyperlink" Target="https://tekion.atlassian.net/jira/software/c/projects/PLTF/boards/9722" TargetMode="External"/><Relationship Id="rId54" Type="http://schemas.openxmlformats.org/officeDocument/2006/relationships/hyperlink" Target="https://tekion.atlassian.net/jira/software/c/projects/DGRT/boards/9341/backlog" TargetMode="External"/><Relationship Id="rId75" Type="http://schemas.openxmlformats.org/officeDocument/2006/relationships/hyperlink" Target="https://tekion.atlassian.net/jira/software/c/projects/PART/boards/9983/backlog" TargetMode="External"/><Relationship Id="rId96" Type="http://schemas.openxmlformats.org/officeDocument/2006/relationships/hyperlink" Target="https://tekion.atlassian.net/issues/?filter=44438" TargetMode="External"/><Relationship Id="rId140" Type="http://schemas.openxmlformats.org/officeDocument/2006/relationships/hyperlink" Target="https://tekion.atlassian.net/issues/?filter=51725" TargetMode="External"/><Relationship Id="rId161" Type="http://schemas.openxmlformats.org/officeDocument/2006/relationships/hyperlink" Target="https://tekion.atlassian.net/jira/software/c/projects/PYTK/boards/9752" TargetMode="External"/><Relationship Id="rId182" Type="http://schemas.openxmlformats.org/officeDocument/2006/relationships/hyperlink" Target="https://tekion.atlassian.net/jira/software/c/projects/AEP/boards/14430" TargetMode="External"/><Relationship Id="rId6" Type="http://schemas.openxmlformats.org/officeDocument/2006/relationships/hyperlink" Target="https://tekion.atlassian.net/jira/software/c/projects/RETL/boards/10017" TargetMode="External"/><Relationship Id="rId23" Type="http://schemas.openxmlformats.org/officeDocument/2006/relationships/hyperlink" Target="https://tekion.atlassian.net/jira/software/c/projects/INTG/boards/11762/backlog" TargetMode="External"/><Relationship Id="rId119" Type="http://schemas.openxmlformats.org/officeDocument/2006/relationships/hyperlink" Target="https://tekion.atlassian.net/jira/software/c/projects/APLT/boards/9336" TargetMode="External"/><Relationship Id="rId44" Type="http://schemas.openxmlformats.org/officeDocument/2006/relationships/hyperlink" Target="https://tekion.atlassian.net/jira/software/c/projects/AI/boards/13349" TargetMode="External"/><Relationship Id="rId65" Type="http://schemas.openxmlformats.org/officeDocument/2006/relationships/hyperlink" Target="https://tekion.atlassian.net/jira/software/c/projects/ACCT/boards/9299/backlog" TargetMode="External"/><Relationship Id="rId86" Type="http://schemas.openxmlformats.org/officeDocument/2006/relationships/hyperlink" Target="https://tekion.atlassian.net/issues?filter=41845" TargetMode="External"/><Relationship Id="rId130" Type="http://schemas.openxmlformats.org/officeDocument/2006/relationships/hyperlink" Target="https://tekion.atlassian.net/issues/?filter=42338" TargetMode="External"/><Relationship Id="rId151" Type="http://schemas.openxmlformats.org/officeDocument/2006/relationships/hyperlink" Target="https://tekion.atlassian.net/jira/software/c/projects/ZEB/boards/9988" TargetMode="External"/><Relationship Id="rId172" Type="http://schemas.openxmlformats.org/officeDocument/2006/relationships/hyperlink" Target="https://tekion.atlassian.net/issues/?filter=46532" TargetMode="External"/><Relationship Id="rId193" Type="http://schemas.openxmlformats.org/officeDocument/2006/relationships/hyperlink" Target="https://tekion.atlassian.net/issues/?filter=60921" TargetMode="External"/><Relationship Id="rId207" Type="http://schemas.openxmlformats.org/officeDocument/2006/relationships/hyperlink" Target="https://tekion.atlassian.net/jira/software/c/projects/SERV/boards/11414/backlog" TargetMode="External"/><Relationship Id="rId13" Type="http://schemas.openxmlformats.org/officeDocument/2006/relationships/hyperlink" Target="https://tekion.atlassian.net/jira/software/c/projects/DPLT/boards/10116/backlog" TargetMode="External"/><Relationship Id="rId109" Type="http://schemas.openxmlformats.org/officeDocument/2006/relationships/hyperlink" Target="https://tekion.atlassian.net/issues?filter=38306" TargetMode="External"/><Relationship Id="rId34" Type="http://schemas.openxmlformats.org/officeDocument/2006/relationships/hyperlink" Target="https://tekion.atlassian.net/jira/software/c/projects/INTG/boards/11769/backlog" TargetMode="External"/><Relationship Id="rId55" Type="http://schemas.openxmlformats.org/officeDocument/2006/relationships/hyperlink" Target="https://tekion.atlassian.net/jira/software/c/projects/DGRT/boards/9340/backlog" TargetMode="External"/><Relationship Id="rId76" Type="http://schemas.openxmlformats.org/officeDocument/2006/relationships/hyperlink" Target="https://tekion.atlassian.net/issues/?filter=42539" TargetMode="External"/><Relationship Id="rId97" Type="http://schemas.openxmlformats.org/officeDocument/2006/relationships/hyperlink" Target="https://tekion.atlassian.net/issues?filter=38780" TargetMode="External"/><Relationship Id="rId120" Type="http://schemas.openxmlformats.org/officeDocument/2006/relationships/hyperlink" Target="https://tekion.atlassian.net/issues/?filter=41858" TargetMode="External"/><Relationship Id="rId141" Type="http://schemas.openxmlformats.org/officeDocument/2006/relationships/hyperlink" Target="https://tekion.atlassian.net/jira/software/c/projects/PLTF/boards/13212" TargetMode="External"/><Relationship Id="rId7" Type="http://schemas.openxmlformats.org/officeDocument/2006/relationships/hyperlink" Target="https://tekion.atlassian.net/issues/?filter=42642" TargetMode="External"/><Relationship Id="rId162" Type="http://schemas.openxmlformats.org/officeDocument/2006/relationships/hyperlink" Target="https://tekion.atlassian.net/issues/?filter=42347" TargetMode="External"/><Relationship Id="rId183" Type="http://schemas.openxmlformats.org/officeDocument/2006/relationships/hyperlink" Target="https://tekion.atlassian.net/jira/software/c/projects/AEP/boards/14430" TargetMode="External"/><Relationship Id="rId24" Type="http://schemas.openxmlformats.org/officeDocument/2006/relationships/hyperlink" Target="https://tekion.atlassian.net/issues/?filter=45265" TargetMode="External"/><Relationship Id="rId45" Type="http://schemas.openxmlformats.org/officeDocument/2006/relationships/hyperlink" Target="https://tekion.atlassian.net/issues?filter=52502" TargetMode="External"/><Relationship Id="rId66" Type="http://schemas.openxmlformats.org/officeDocument/2006/relationships/hyperlink" Target="https://tekion.atlassian.net/issues/?filter=41805" TargetMode="External"/><Relationship Id="rId87" Type="http://schemas.openxmlformats.org/officeDocument/2006/relationships/hyperlink" Target="https://tekion.atlassian.net/jira/software/c/projects/SERV/boards/9325/backlog" TargetMode="External"/><Relationship Id="rId110" Type="http://schemas.openxmlformats.org/officeDocument/2006/relationships/hyperlink" Target="https://tekion.atlassian.net/jira/software/c/projects/GAL/boards/6649/backlog" TargetMode="External"/><Relationship Id="rId131" Type="http://schemas.openxmlformats.org/officeDocument/2006/relationships/hyperlink" Target="https://tekion.atlassian.net/jira/software/c/projects/PLTF/boards/9720" TargetMode="External"/><Relationship Id="rId152" Type="http://schemas.openxmlformats.org/officeDocument/2006/relationships/hyperlink" Target="https://tekion.atlassian.net/issues/?filter=40386" TargetMode="External"/><Relationship Id="rId173" Type="http://schemas.openxmlformats.org/officeDocument/2006/relationships/hyperlink" Target="https://tekion.atlassian.net/jira/software/c/projects/APEX/boards/12148" TargetMode="External"/><Relationship Id="rId194" Type="http://schemas.openxmlformats.org/officeDocument/2006/relationships/hyperlink" Target="https://tekion.enterprise.slack.com/team/U0688TGNEKG" TargetMode="External"/><Relationship Id="rId208" Type="http://schemas.openxmlformats.org/officeDocument/2006/relationships/hyperlink" Target="https://tekion.atlassian.net/issues?filter=44437" TargetMode="External"/><Relationship Id="rId19" Type="http://schemas.openxmlformats.org/officeDocument/2006/relationships/hyperlink" Target="https://tekion.atlassian.net/issues/?filter=43013" TargetMode="External"/><Relationship Id="rId14" Type="http://schemas.openxmlformats.org/officeDocument/2006/relationships/hyperlink" Target="https://tekion.atlassian.net/jira/software/c/projects/DPLT/boards/10114/backlog" TargetMode="External"/><Relationship Id="rId30" Type="http://schemas.openxmlformats.org/officeDocument/2006/relationships/hyperlink" Target="https://tekion.atlassian.net/jira/software/c/projects/INTG/boards/11765/backlog" TargetMode="External"/><Relationship Id="rId35" Type="http://schemas.openxmlformats.org/officeDocument/2006/relationships/hyperlink" Target="https://tekion.atlassian.net/issues/?filter=45273" TargetMode="External"/><Relationship Id="rId56" Type="http://schemas.openxmlformats.org/officeDocument/2006/relationships/hyperlink" Target="https://tekion.atlassian.net/issues/?filter=41869" TargetMode="External"/><Relationship Id="rId77" Type="http://schemas.openxmlformats.org/officeDocument/2006/relationships/hyperlink" Target="https://tekion.atlassian.net/jira/software/c/projects/PART/boards/9984/backlog" TargetMode="External"/><Relationship Id="rId100" Type="http://schemas.openxmlformats.org/officeDocument/2006/relationships/hyperlink" Target="https://tekion.atlassian.net/issues/?filter=38772" TargetMode="External"/><Relationship Id="rId105" Type="http://schemas.openxmlformats.org/officeDocument/2006/relationships/hyperlink" Target="https://tekion.atlassian.net/jira/software/c/projects/CRM/boards/7002" TargetMode="External"/><Relationship Id="rId126" Type="http://schemas.openxmlformats.org/officeDocument/2006/relationships/hyperlink" Target="https://tekion.atlassian.net/issues/?filter=50021" TargetMode="External"/><Relationship Id="rId147" Type="http://schemas.openxmlformats.org/officeDocument/2006/relationships/hyperlink" Target="https://tekion.atlassian.net/jira/software/c/projects/PLTF/boards/13214" TargetMode="External"/><Relationship Id="rId168" Type="http://schemas.openxmlformats.org/officeDocument/2006/relationships/hyperlink" Target="https://tekion.atlassian.net/issues/?filter=47806" TargetMode="External"/><Relationship Id="rId8" Type="http://schemas.openxmlformats.org/officeDocument/2006/relationships/hyperlink" Target="https://tekion.atlassian.net/jira/software/c/projects/RETL/boards/10018" TargetMode="External"/><Relationship Id="rId51" Type="http://schemas.openxmlformats.org/officeDocument/2006/relationships/hyperlink" Target="https://tekion.atlassian.net/jira/software/c/projects/AIPL/boards/13354/backlog" TargetMode="External"/><Relationship Id="rId72" Type="http://schemas.openxmlformats.org/officeDocument/2006/relationships/hyperlink" Target="https://tekion.atlassian.net/issues/?filter=42537" TargetMode="External"/><Relationship Id="rId93" Type="http://schemas.openxmlformats.org/officeDocument/2006/relationships/hyperlink" Target="https://tekion.atlassian.net/jira/software/c/projects/SERV/boards/9328/backlog" TargetMode="External"/><Relationship Id="rId98" Type="http://schemas.openxmlformats.org/officeDocument/2006/relationships/hyperlink" Target="https://tekion.atlassian.net/issues/?filter=38783" TargetMode="External"/><Relationship Id="rId121" Type="http://schemas.openxmlformats.org/officeDocument/2006/relationships/hyperlink" Target="https://tekion.atlassian.net/jira/software/c/projects/APLT/boards/9337" TargetMode="External"/><Relationship Id="rId142" Type="http://schemas.openxmlformats.org/officeDocument/2006/relationships/hyperlink" Target="https://tekion.atlassian.net/issues/?filter=51727" TargetMode="External"/><Relationship Id="rId163" Type="http://schemas.openxmlformats.org/officeDocument/2006/relationships/hyperlink" Target="https://tekion.atlassian.net/jira/software/c/projects/APC/boards/9330" TargetMode="External"/><Relationship Id="rId184" Type="http://schemas.openxmlformats.org/officeDocument/2006/relationships/hyperlink" Target="https://tekion.atlassian.net/issues?filter=58754" TargetMode="External"/><Relationship Id="rId189" Type="http://schemas.openxmlformats.org/officeDocument/2006/relationships/hyperlink" Target="https://tekion.atlassian.net/issues/?filter=47685" TargetMode="External"/><Relationship Id="rId3" Type="http://schemas.openxmlformats.org/officeDocument/2006/relationships/hyperlink" Target="https://tekion.atlassian.net/jira/software/c/projects/RETL/boards/10016" TargetMode="External"/><Relationship Id="rId214" Type="http://schemas.openxmlformats.org/officeDocument/2006/relationships/hyperlink" Target="https://tekion.atlassian.net/issues?filter=66102" TargetMode="External"/><Relationship Id="rId25" Type="http://schemas.openxmlformats.org/officeDocument/2006/relationships/hyperlink" Target="https://tekion.atlassian.net/jira/software/c/projects/INTG/boards/11763/backlog" TargetMode="External"/><Relationship Id="rId46" Type="http://schemas.openxmlformats.org/officeDocument/2006/relationships/hyperlink" Target="https://tekion.atlassian.net/jira/software/c/projects/AIPL/boards/13351/backlog" TargetMode="External"/><Relationship Id="rId67" Type="http://schemas.openxmlformats.org/officeDocument/2006/relationships/hyperlink" Target="https://tekion.atlassian.net/jira/software/c/projects/PYRL/boards/9322/backlog" TargetMode="External"/><Relationship Id="rId116" Type="http://schemas.openxmlformats.org/officeDocument/2006/relationships/hyperlink" Target="https://tekion.atlassian.net/issues/?filter=41852" TargetMode="External"/><Relationship Id="rId137" Type="http://schemas.openxmlformats.org/officeDocument/2006/relationships/hyperlink" Target="https://tekion.atlassian.net/jira/software/c/projects/PLTF/boards/9721" TargetMode="External"/><Relationship Id="rId158" Type="http://schemas.openxmlformats.org/officeDocument/2006/relationships/hyperlink" Target="https://tekion.atlassian.net/issues/?filter=60923" TargetMode="External"/><Relationship Id="rId20" Type="http://schemas.openxmlformats.org/officeDocument/2006/relationships/hyperlink" Target="https://tekion.atlassian.net/jira/software/c/projects/FNI/boards/4922/backlog" TargetMode="External"/><Relationship Id="rId41" Type="http://schemas.openxmlformats.org/officeDocument/2006/relationships/hyperlink" Target="https://tekion.atlassian.net/issues?filter=52500" TargetMode="External"/><Relationship Id="rId62" Type="http://schemas.openxmlformats.org/officeDocument/2006/relationships/hyperlink" Target="https://tekion.atlassian.net/issues/?filter=41803" TargetMode="External"/><Relationship Id="rId83" Type="http://schemas.openxmlformats.org/officeDocument/2006/relationships/hyperlink" Target="https://tekion.atlassian.net/jira/software/c/projects/PART/boards/9987/backlog" TargetMode="External"/><Relationship Id="rId88" Type="http://schemas.openxmlformats.org/officeDocument/2006/relationships/hyperlink" Target="https://tekion.atlassian.net/issues?filter=41847" TargetMode="External"/><Relationship Id="rId111" Type="http://schemas.openxmlformats.org/officeDocument/2006/relationships/hyperlink" Target="https://tekion.atlassian.net/jira/software/c/projects/RETL/boards/12771/backlog" TargetMode="External"/><Relationship Id="rId132" Type="http://schemas.openxmlformats.org/officeDocument/2006/relationships/hyperlink" Target="https://tekion.atlassian.net/issues/?filter=42336" TargetMode="External"/><Relationship Id="rId153" Type="http://schemas.openxmlformats.org/officeDocument/2006/relationships/hyperlink" Target="https://tekion.atlassian.net/jira/software/c/projects/OPLT/boards/15071" TargetMode="External"/><Relationship Id="rId174" Type="http://schemas.openxmlformats.org/officeDocument/2006/relationships/hyperlink" Target="https://tekion.atlassian.net/issues/?filter=46533" TargetMode="External"/><Relationship Id="rId179" Type="http://schemas.openxmlformats.org/officeDocument/2006/relationships/hyperlink" Target="https://tekion.atlassian.net/jira/software/c/projects/AIB/boards/6983" TargetMode="External"/><Relationship Id="rId195" Type="http://schemas.openxmlformats.org/officeDocument/2006/relationships/hyperlink" Target="https://tekion.enterprise.slack.com/team/U0688TGNEKG" TargetMode="External"/><Relationship Id="rId209" Type="http://schemas.openxmlformats.org/officeDocument/2006/relationships/hyperlink" Target="https://tekion.atlassian.net/jira/software/c/projects/HPLT/boards/17273" TargetMode="External"/><Relationship Id="rId190" Type="http://schemas.openxmlformats.org/officeDocument/2006/relationships/hyperlink" Target="https://tekion.atlassian.net/jira/software/c/projects/OPLT/boards/15068" TargetMode="External"/><Relationship Id="rId204" Type="http://schemas.openxmlformats.org/officeDocument/2006/relationships/hyperlink" Target="https://tekion.atlassian.net/jira/software/c/projects/DGRT/boards/16128" TargetMode="External"/><Relationship Id="rId15" Type="http://schemas.openxmlformats.org/officeDocument/2006/relationships/hyperlink" Target="https://tekion.atlassian.net/issues/?filter=35848" TargetMode="External"/><Relationship Id="rId36" Type="http://schemas.openxmlformats.org/officeDocument/2006/relationships/hyperlink" Target="https://tekion.atlassian.net/jira/software/c/projects/INTG/boards/11770/backlog" TargetMode="External"/><Relationship Id="rId57" Type="http://schemas.openxmlformats.org/officeDocument/2006/relationships/hyperlink" Target="https://tekion.atlassian.net/jira/software/c/projects/ACCT/boards/9294/backlog" TargetMode="External"/><Relationship Id="rId106" Type="http://schemas.openxmlformats.org/officeDocument/2006/relationships/hyperlink" Target="https://tekion.atlassian.net/jira/software/c/projects/CRM/boards/7005" TargetMode="External"/><Relationship Id="rId127" Type="http://schemas.openxmlformats.org/officeDocument/2006/relationships/hyperlink" Target="https://tekion.atlassian.net/jira/software/c/projects/APLT/boards/13836" TargetMode="External"/><Relationship Id="rId10" Type="http://schemas.openxmlformats.org/officeDocument/2006/relationships/hyperlink" Target="https://tekion.atlassian.net/issues/?filter=42935" TargetMode="External"/><Relationship Id="rId31" Type="http://schemas.openxmlformats.org/officeDocument/2006/relationships/hyperlink" Target="https://tekion.atlassian.net/issues/?filter=45271" TargetMode="External"/><Relationship Id="rId52" Type="http://schemas.openxmlformats.org/officeDocument/2006/relationships/hyperlink" Target="https://tekion.atlassian.net/issues?filter=52505" TargetMode="External"/><Relationship Id="rId73" Type="http://schemas.openxmlformats.org/officeDocument/2006/relationships/hyperlink" Target="https://tekion.atlassian.net/jira/software/c/projects/PART/boards/9982/backlog" TargetMode="External"/><Relationship Id="rId78" Type="http://schemas.openxmlformats.org/officeDocument/2006/relationships/hyperlink" Target="https://tekion.atlassian.net/issues/?filter=42570" TargetMode="External"/><Relationship Id="rId94" Type="http://schemas.openxmlformats.org/officeDocument/2006/relationships/hyperlink" Target="https://tekion.atlassian.net/issues/?filter=41850" TargetMode="External"/><Relationship Id="rId99" Type="http://schemas.openxmlformats.org/officeDocument/2006/relationships/hyperlink" Target="https://tekion.atlassian.net/issues/?filter=38777" TargetMode="External"/><Relationship Id="rId101" Type="http://schemas.openxmlformats.org/officeDocument/2006/relationships/hyperlink" Target="https://tekion.atlassian.net/issues/?filter=52077" TargetMode="External"/><Relationship Id="rId122" Type="http://schemas.openxmlformats.org/officeDocument/2006/relationships/hyperlink" Target="https://tekion.atlassian.net/issues/?filter=51612" TargetMode="External"/><Relationship Id="rId143" Type="http://schemas.openxmlformats.org/officeDocument/2006/relationships/hyperlink" Target="https://tekion.atlassian.net/jira/software/c/projects/PLTF/boards/13178" TargetMode="External"/><Relationship Id="rId148" Type="http://schemas.openxmlformats.org/officeDocument/2006/relationships/hyperlink" Target="https://tekion.atlassian.net/issues/?filter=51729" TargetMode="External"/><Relationship Id="rId164" Type="http://schemas.openxmlformats.org/officeDocument/2006/relationships/hyperlink" Target="https://tekion.atlassian.net/issues/?filter=41867" TargetMode="External"/><Relationship Id="rId169" Type="http://schemas.openxmlformats.org/officeDocument/2006/relationships/hyperlink" Target="https://tekion.atlassian.net/issues/?filter=47808" TargetMode="External"/><Relationship Id="rId185" Type="http://schemas.openxmlformats.org/officeDocument/2006/relationships/hyperlink" Target="https://tekion.atlassian.net/issues?filter=58754" TargetMode="External"/><Relationship Id="rId4" Type="http://schemas.openxmlformats.org/officeDocument/2006/relationships/hyperlink" Target="https://tekion.atlassian.net/jira/software/c/projects/RETL/boards/10015" TargetMode="External"/><Relationship Id="rId9" Type="http://schemas.openxmlformats.org/officeDocument/2006/relationships/hyperlink" Target="https://tekion.atlassian.net/issues/?filter=42934" TargetMode="External"/><Relationship Id="rId180" Type="http://schemas.openxmlformats.org/officeDocument/2006/relationships/hyperlink" Target="https://tekion.atlassian.net/issues/?filter=38769" TargetMode="External"/><Relationship Id="rId210" Type="http://schemas.openxmlformats.org/officeDocument/2006/relationships/hyperlink" Target="https://tekion.atlassian.net/issues/?filter=66065" TargetMode="External"/><Relationship Id="rId215" Type="http://schemas.openxmlformats.org/officeDocument/2006/relationships/hyperlink" Target="https://tekion.atlassian.net/jira/software/c/projects/APC/boards/17459" TargetMode="External"/><Relationship Id="rId26" Type="http://schemas.openxmlformats.org/officeDocument/2006/relationships/hyperlink" Target="https://tekion.atlassian.net/issues/?filter=45266" TargetMode="External"/><Relationship Id="rId47" Type="http://schemas.openxmlformats.org/officeDocument/2006/relationships/hyperlink" Target="https://tekion.atlassian.net/jira/software/c/projects/AIPL/boards/13352/backlog" TargetMode="External"/><Relationship Id="rId68" Type="http://schemas.openxmlformats.org/officeDocument/2006/relationships/hyperlink" Target="https://tekion.atlassian.net/jira/software/c/projects/PYRL/boards/9323/backlog" TargetMode="External"/><Relationship Id="rId89" Type="http://schemas.openxmlformats.org/officeDocument/2006/relationships/hyperlink" Target="https://tekion.atlassian.net/jira/software/c/projects/SERV/boards/9326/backlog" TargetMode="External"/><Relationship Id="rId112" Type="http://schemas.openxmlformats.org/officeDocument/2006/relationships/hyperlink" Target="https://tekion.atlassian.net/issues/?filter=49945" TargetMode="External"/><Relationship Id="rId133" Type="http://schemas.openxmlformats.org/officeDocument/2006/relationships/hyperlink" Target="https://tekion.atlassian.net/jira/software/c/projects/PLTF/boards/9719" TargetMode="External"/><Relationship Id="rId154" Type="http://schemas.openxmlformats.org/officeDocument/2006/relationships/hyperlink" Target="https://tekion.atlassian.net/issues/?filter=60924" TargetMode="External"/><Relationship Id="rId175" Type="http://schemas.openxmlformats.org/officeDocument/2006/relationships/hyperlink" Target="https://tekion.atlassian.net/jira/software/c/projects/APEX/boards/12149" TargetMode="External"/><Relationship Id="rId196" Type="http://schemas.openxmlformats.org/officeDocument/2006/relationships/hyperlink" Target="https://tekion.enterprise.slack.com/team/U0688TGNEKG" TargetMode="External"/><Relationship Id="rId200" Type="http://schemas.openxmlformats.org/officeDocument/2006/relationships/hyperlink" Target="https://tekion.atlassian.net/jira/software/c/projects/AHM/boards/11843/backlog" TargetMode="External"/><Relationship Id="rId16" Type="http://schemas.openxmlformats.org/officeDocument/2006/relationships/hyperlink" Target="https://tekion.atlassian.net/jira/software/c/projects/FNI/boards/10181/backlog" TargetMode="External"/><Relationship Id="rId37" Type="http://schemas.openxmlformats.org/officeDocument/2006/relationships/hyperlink" Target="https://tekion.atlassian.net/jira/software/c/projects/AI/boards/13347" TargetMode="External"/><Relationship Id="rId58" Type="http://schemas.openxmlformats.org/officeDocument/2006/relationships/hyperlink" Target="https://tekion.atlassian.net/issues/?filter=41798" TargetMode="External"/><Relationship Id="rId79" Type="http://schemas.openxmlformats.org/officeDocument/2006/relationships/hyperlink" Target="https://tekion.atlassian.net/jira/software/c/projects/PART/boards/9985/backlog" TargetMode="External"/><Relationship Id="rId102" Type="http://schemas.openxmlformats.org/officeDocument/2006/relationships/hyperlink" Target="https://tekion.atlassian.net/jira/software/c/projects/CRM/boards/6997" TargetMode="External"/><Relationship Id="rId123" Type="http://schemas.openxmlformats.org/officeDocument/2006/relationships/hyperlink" Target="https://tekion.atlassian.net/jira/software/c/projects/APLT/boards/9338" TargetMode="External"/><Relationship Id="rId144" Type="http://schemas.openxmlformats.org/officeDocument/2006/relationships/hyperlink" Target="https://tekion.atlassian.net/issues/?filter=51716" TargetMode="External"/><Relationship Id="rId90" Type="http://schemas.openxmlformats.org/officeDocument/2006/relationships/hyperlink" Target="https://tekion.atlassian.net/issues?filter=41848" TargetMode="External"/><Relationship Id="rId165" Type="http://schemas.openxmlformats.org/officeDocument/2006/relationships/hyperlink" Target="https://tekion.atlassian.net/jira/software/c/projects/APC/boards/9331" TargetMode="External"/><Relationship Id="rId186" Type="http://schemas.openxmlformats.org/officeDocument/2006/relationships/hyperlink" Target="https://tekion.atlassian.net/issues?filter=58754" TargetMode="External"/><Relationship Id="rId211" Type="http://schemas.openxmlformats.org/officeDocument/2006/relationships/hyperlink" Target="https://tekion.atlassian.net/issues/?filter=44580" TargetMode="External"/><Relationship Id="rId27" Type="http://schemas.openxmlformats.org/officeDocument/2006/relationships/hyperlink" Target="https://tekion.atlassian.net/issues/?filter=45267" TargetMode="External"/><Relationship Id="rId48" Type="http://schemas.openxmlformats.org/officeDocument/2006/relationships/hyperlink" Target="https://tekion.atlassian.net/issues?filter=52503" TargetMode="External"/><Relationship Id="rId69" Type="http://schemas.openxmlformats.org/officeDocument/2006/relationships/hyperlink" Target="https://tekion.atlassian.net/issues/?filter=41842" TargetMode="External"/><Relationship Id="rId113" Type="http://schemas.openxmlformats.org/officeDocument/2006/relationships/hyperlink" Target="https://tekion.atlassian.net/jira/software/c/projects/RETL/boards/13005/backlog" TargetMode="External"/><Relationship Id="rId134" Type="http://schemas.openxmlformats.org/officeDocument/2006/relationships/hyperlink" Target="https://tekion.atlassian.net/issues/?filter=42335" TargetMode="External"/><Relationship Id="rId80" Type="http://schemas.openxmlformats.org/officeDocument/2006/relationships/hyperlink" Target="https://tekion.atlassian.net/issues/?filter=42540" TargetMode="External"/><Relationship Id="rId155" Type="http://schemas.openxmlformats.org/officeDocument/2006/relationships/hyperlink" Target="https://tekion.atlassian.net/jira/software/c/projects/DLA/boards/11522" TargetMode="External"/><Relationship Id="rId176" Type="http://schemas.openxmlformats.org/officeDocument/2006/relationships/hyperlink" Target="https://tekion.atlassian.net/issues/?filter=46534" TargetMode="External"/><Relationship Id="rId197" Type="http://schemas.openxmlformats.org/officeDocument/2006/relationships/hyperlink" Target="https://tekion.atlassian.net/projects/COMM" TargetMode="External"/><Relationship Id="rId201" Type="http://schemas.openxmlformats.org/officeDocument/2006/relationships/hyperlink" Target="https://tekion.atlassian.net/jira/software/c/projects/AHM/boards/11843/backlog" TargetMode="External"/><Relationship Id="rId17" Type="http://schemas.openxmlformats.org/officeDocument/2006/relationships/hyperlink" Target="https://tekion.atlassian.net/issues/?filter=43017" TargetMode="External"/><Relationship Id="rId38" Type="http://schemas.openxmlformats.org/officeDocument/2006/relationships/hyperlink" Target="https://tekion.atlassian.net/issues?filter=52497" TargetMode="External"/><Relationship Id="rId59" Type="http://schemas.openxmlformats.org/officeDocument/2006/relationships/hyperlink" Target="https://tekion.atlassian.net/jira/software/c/projects/ACCT/boards/9295/backlog" TargetMode="External"/><Relationship Id="rId103" Type="http://schemas.openxmlformats.org/officeDocument/2006/relationships/hyperlink" Target="https://tekion.atlassian.net/jira/software/c/projects/CRM/boards/6996" TargetMode="External"/><Relationship Id="rId124" Type="http://schemas.openxmlformats.org/officeDocument/2006/relationships/hyperlink" Target="https://tekion.atlassian.net/issues/?filter=41860" TargetMode="External"/><Relationship Id="rId70" Type="http://schemas.openxmlformats.org/officeDocument/2006/relationships/hyperlink" Target="https://tekion.atlassian.net/issues/?filter=41841" TargetMode="External"/><Relationship Id="rId91" Type="http://schemas.openxmlformats.org/officeDocument/2006/relationships/hyperlink" Target="https://tekion.atlassian.net/jira/software/c/projects/SERV/boards/9327/backlog" TargetMode="External"/><Relationship Id="rId145" Type="http://schemas.openxmlformats.org/officeDocument/2006/relationships/hyperlink" Target="https://tekion.atlassian.net/jira/software/c/projects/PLTF/boards/13213" TargetMode="External"/><Relationship Id="rId166" Type="http://schemas.openxmlformats.org/officeDocument/2006/relationships/hyperlink" Target="https://tekion.atlassian.net/issues/?filter=41868" TargetMode="External"/><Relationship Id="rId187" Type="http://schemas.openxmlformats.org/officeDocument/2006/relationships/hyperlink" Target="https://tekion.enterprise.slack.com/team/U0688TGNEKG" TargetMode="External"/><Relationship Id="rId1" Type="http://schemas.openxmlformats.org/officeDocument/2006/relationships/hyperlink" Target="https://tekion.atlassian.net/issues/?filter=42640" TargetMode="External"/><Relationship Id="rId212" Type="http://schemas.openxmlformats.org/officeDocument/2006/relationships/hyperlink" Target="https://tekion.atlassian.net/jira/software/c/projects/OPLT/boards/11523" TargetMode="External"/><Relationship Id="rId28" Type="http://schemas.openxmlformats.org/officeDocument/2006/relationships/hyperlink" Target="https://tekion.atlassian.net/jira/software/c/projects/INTG/boards/11764/backlog" TargetMode="External"/><Relationship Id="rId49" Type="http://schemas.openxmlformats.org/officeDocument/2006/relationships/hyperlink" Target="https://tekion.atlassian.net/issues?filter=52504" TargetMode="External"/><Relationship Id="rId114" Type="http://schemas.openxmlformats.org/officeDocument/2006/relationships/hyperlink" Target="https://tekion.atlassian.net/issues?filter=50042" TargetMode="External"/><Relationship Id="rId60" Type="http://schemas.openxmlformats.org/officeDocument/2006/relationships/hyperlink" Target="https://tekion.atlassian.net/issues/?filter=41802" TargetMode="External"/><Relationship Id="rId81" Type="http://schemas.openxmlformats.org/officeDocument/2006/relationships/hyperlink" Target="https://tekion.atlassian.net/jira/software/c/projects/PART/boards/9986/backlog" TargetMode="External"/><Relationship Id="rId135" Type="http://schemas.openxmlformats.org/officeDocument/2006/relationships/hyperlink" Target="https://tekion.atlassian.net/jira/software/c/projects/PLTF/boards/9718" TargetMode="External"/><Relationship Id="rId156" Type="http://schemas.openxmlformats.org/officeDocument/2006/relationships/hyperlink" Target="https://tekion.atlassian.net/issues/?filter=44579" TargetMode="External"/><Relationship Id="rId177" Type="http://schemas.openxmlformats.org/officeDocument/2006/relationships/hyperlink" Target="https://tekion.atlassian.net/jira/software/c/projects/APEX/boards/12150" TargetMode="External"/><Relationship Id="rId198" Type="http://schemas.openxmlformats.org/officeDocument/2006/relationships/hyperlink" Target="https://tekion.atlassian.net/issues?filter=51541" TargetMode="External"/><Relationship Id="rId202" Type="http://schemas.openxmlformats.org/officeDocument/2006/relationships/hyperlink" Target="https://tekion.atlassian.net/jira/software/c/projects/AHM/boards/11843/backlog" TargetMode="External"/><Relationship Id="rId18" Type="http://schemas.openxmlformats.org/officeDocument/2006/relationships/hyperlink" Target="https://tekion.atlassian.net/jira/software/c/projects/FNI/boards/10180/backlog" TargetMode="External"/><Relationship Id="rId39" Type="http://schemas.openxmlformats.org/officeDocument/2006/relationships/hyperlink" Target="https://tekion.atlassian.net/issues?filter=52499" TargetMode="External"/><Relationship Id="rId50" Type="http://schemas.openxmlformats.org/officeDocument/2006/relationships/hyperlink" Target="https://tekion.atlassian.net/jira/software/c/projects/AIPL/boards/13353/backlog" TargetMode="External"/><Relationship Id="rId104" Type="http://schemas.openxmlformats.org/officeDocument/2006/relationships/hyperlink" Target="https://tekion.atlassian.net/jira/software/c/projects/CRM/boards/6999" TargetMode="External"/><Relationship Id="rId125" Type="http://schemas.openxmlformats.org/officeDocument/2006/relationships/hyperlink" Target="https://tekion.atlassian.net/jira/software/c/projects/APLT/boards/9339" TargetMode="External"/><Relationship Id="rId146" Type="http://schemas.openxmlformats.org/officeDocument/2006/relationships/hyperlink" Target="https://tekion.atlassian.net/issues/?filter=51728" TargetMode="External"/><Relationship Id="rId167" Type="http://schemas.openxmlformats.org/officeDocument/2006/relationships/hyperlink" Target="https://tekion.atlassian.net/jira/software/c/projects/SIP/boards/12349" TargetMode="External"/><Relationship Id="rId188" Type="http://schemas.openxmlformats.org/officeDocument/2006/relationships/hyperlink" Target="https://tekion.atlassian.net/jira/software/c/projects/OPLT/boards/12316" TargetMode="External"/><Relationship Id="rId71" Type="http://schemas.openxmlformats.org/officeDocument/2006/relationships/hyperlink" Target="https://tekion.atlassian.net/jira/software/c/projects/PART/boards/9949/backlog" TargetMode="External"/><Relationship Id="rId92" Type="http://schemas.openxmlformats.org/officeDocument/2006/relationships/hyperlink" Target="https://tekion.atlassian.net/issues?filter=41849" TargetMode="External"/><Relationship Id="rId213" Type="http://schemas.openxmlformats.org/officeDocument/2006/relationships/hyperlink" Target="https://tekion.atlassian.net/jira/software/c/projects/OPLT/boards/17275" TargetMode="External"/><Relationship Id="rId2" Type="http://schemas.openxmlformats.org/officeDocument/2006/relationships/hyperlink" Target="https://tekion.atlassian.net/issues/?filter=42639" TargetMode="External"/><Relationship Id="rId29" Type="http://schemas.openxmlformats.org/officeDocument/2006/relationships/hyperlink" Target="https://tekion.atlassian.net/issues/?filter=45268" TargetMode="External"/><Relationship Id="rId40" Type="http://schemas.openxmlformats.org/officeDocument/2006/relationships/hyperlink" Target="https://tekion.atlassian.net/jira/software/c/projects/AI/boards/13348" TargetMode="External"/><Relationship Id="rId115" Type="http://schemas.openxmlformats.org/officeDocument/2006/relationships/hyperlink" Target="https://tekion.atlassian.net/jira/software/c/projects/APLT/boards/9332" TargetMode="External"/><Relationship Id="rId136" Type="http://schemas.openxmlformats.org/officeDocument/2006/relationships/hyperlink" Target="https://tekion.atlassian.net/issues/?filter=42332" TargetMode="External"/><Relationship Id="rId157" Type="http://schemas.openxmlformats.org/officeDocument/2006/relationships/hyperlink" Target="https://tekion.atlassian.net/jira/software/c/projects/OPLT/boards/15070" TargetMode="External"/><Relationship Id="rId178" Type="http://schemas.openxmlformats.org/officeDocument/2006/relationships/hyperlink" Target="https://tekion.atlassian.net/issues/?filter=46535" TargetMode="External"/><Relationship Id="rId61" Type="http://schemas.openxmlformats.org/officeDocument/2006/relationships/hyperlink" Target="https://tekion.atlassian.net/jira/software/c/projects/ACCT/boards/9296/backlog" TargetMode="External"/><Relationship Id="rId82" Type="http://schemas.openxmlformats.org/officeDocument/2006/relationships/hyperlink" Target="https://tekion.atlassian.net/issues/?filter=42541" TargetMode="External"/><Relationship Id="rId199" Type="http://schemas.openxmlformats.org/officeDocument/2006/relationships/hyperlink" Target="https://tekion.atlassian.net/jira/software/c/projects/AHM/boards/11843/backlog" TargetMode="External"/><Relationship Id="rId203" Type="http://schemas.openxmlformats.org/officeDocument/2006/relationships/hyperlink" Target="https://tekion.atlassian.net/jira/software/c/projects/AHM/boards/11843/backlog" TargetMode="Externa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6" Type="http://schemas.openxmlformats.org/officeDocument/2006/relationships/hyperlink" Target="https://tekion.atlassian.net/issues/?filter=39926" TargetMode="External"/><Relationship Id="rId21" Type="http://schemas.openxmlformats.org/officeDocument/2006/relationships/hyperlink" Target="https://tekion.atlassian.net/jira/software/c/projects/AIPL/boards/10188/backlog" TargetMode="External"/><Relationship Id="rId42" Type="http://schemas.openxmlformats.org/officeDocument/2006/relationships/hyperlink" Target="https://tekion.atlassian.net/issues/?filter=39936" TargetMode="External"/><Relationship Id="rId47" Type="http://schemas.openxmlformats.org/officeDocument/2006/relationships/hyperlink" Target="https://tekion.atlassian.net/issues/?filter=37627" TargetMode="External"/><Relationship Id="rId63" Type="http://schemas.openxmlformats.org/officeDocument/2006/relationships/hyperlink" Target="https://tekion.atlassian.net/issues/?filter=62395" TargetMode="External"/><Relationship Id="rId68" Type="http://schemas.openxmlformats.org/officeDocument/2006/relationships/hyperlink" Target="https://tekion.atlassian.net/jira/software/projects/BEA/boards/3022/backlog" TargetMode="External"/><Relationship Id="rId16" Type="http://schemas.openxmlformats.org/officeDocument/2006/relationships/hyperlink" Target="https://tekion.atlassian.net/jira/software/c/projects/APC/boards/8003/backlog" TargetMode="External"/><Relationship Id="rId11" Type="http://schemas.openxmlformats.org/officeDocument/2006/relationships/hyperlink" Target="https://tekion.atlassian.net/jira/software/c/projects/GAL/boards/6228/backlog" TargetMode="External"/><Relationship Id="rId32" Type="http://schemas.openxmlformats.org/officeDocument/2006/relationships/hyperlink" Target="https://tekion.atlassian.net/issues/?filter=40665" TargetMode="External"/><Relationship Id="rId37" Type="http://schemas.openxmlformats.org/officeDocument/2006/relationships/hyperlink" Target="https://tekion.atlassian.net/issues/?filter=39932" TargetMode="External"/><Relationship Id="rId53" Type="http://schemas.openxmlformats.org/officeDocument/2006/relationships/hyperlink" Target="https://tekion.atlassian.net/jira/software/c/projects/AEP/boards/14430/backlog" TargetMode="External"/><Relationship Id="rId58" Type="http://schemas.openxmlformats.org/officeDocument/2006/relationships/hyperlink" Target="https://tekion.atlassian.net/issues/?filter=58476" TargetMode="External"/><Relationship Id="rId74" Type="http://schemas.openxmlformats.org/officeDocument/2006/relationships/hyperlink" Target="https://tekion.atlassian.net/issues/?filter=40517" TargetMode="External"/><Relationship Id="rId79" Type="http://schemas.openxmlformats.org/officeDocument/2006/relationships/hyperlink" Target="https://tekion.atlassian.net/jira/software/c/projects/BCMS/boards/17544/backlog" TargetMode="External"/><Relationship Id="rId5" Type="http://schemas.openxmlformats.org/officeDocument/2006/relationships/hyperlink" Target="https://tekion.atlassian.net/jira/software/c/projects/INTG/boards/8147/backlog" TargetMode="External"/><Relationship Id="rId61" Type="http://schemas.openxmlformats.org/officeDocument/2006/relationships/hyperlink" Target="https://tekion.atlassian.net/jira/software/c/projects/ESGN/boards/15589/backlog" TargetMode="External"/><Relationship Id="rId82" Type="http://schemas.microsoft.com/office/2017/10/relationships/threadedComment" Target="../threadedComments/threadedComment2.xml"/><Relationship Id="rId19" Type="http://schemas.openxmlformats.org/officeDocument/2006/relationships/hyperlink" Target="https://tekion.atlassian.net/jira/software/c/projects/ORBT/boards/9526/backlog" TargetMode="External"/><Relationship Id="rId14" Type="http://schemas.openxmlformats.org/officeDocument/2006/relationships/hyperlink" Target="https://tekion.atlassian.net/jira/software/c/projects/PYRL/boards/7970/backlog" TargetMode="External"/><Relationship Id="rId22" Type="http://schemas.openxmlformats.org/officeDocument/2006/relationships/hyperlink" Target="https://tekion.atlassian.net/jira/software/c/projects/AHM/boards/11843/backlog" TargetMode="External"/><Relationship Id="rId27" Type="http://schemas.openxmlformats.org/officeDocument/2006/relationships/hyperlink" Target="https://tekion.atlassian.net/issues/?filter=40658" TargetMode="External"/><Relationship Id="rId30" Type="http://schemas.openxmlformats.org/officeDocument/2006/relationships/hyperlink" Target="https://tekion.atlassian.net/issues/?filter=40674" TargetMode="External"/><Relationship Id="rId35" Type="http://schemas.openxmlformats.org/officeDocument/2006/relationships/hyperlink" Target="https://tekion.atlassian.net/issues/?filter=39634" TargetMode="External"/><Relationship Id="rId43" Type="http://schemas.openxmlformats.org/officeDocument/2006/relationships/hyperlink" Target="https://tekion.atlassian.net/issues/?filter=39637" TargetMode="External"/><Relationship Id="rId48" Type="http://schemas.openxmlformats.org/officeDocument/2006/relationships/hyperlink" Target="https://tekion.atlassian.net/issues/?filter=40528" TargetMode="External"/><Relationship Id="rId56" Type="http://schemas.openxmlformats.org/officeDocument/2006/relationships/hyperlink" Target="https://tekion.atlassian.net/jira/software/c/projects/T1PL/boards/14042/backlog" TargetMode="External"/><Relationship Id="rId64" Type="http://schemas.openxmlformats.org/officeDocument/2006/relationships/hyperlink" Target="https://tekion.atlassian.net/issues/?filter=62857" TargetMode="External"/><Relationship Id="rId69" Type="http://schemas.openxmlformats.org/officeDocument/2006/relationships/hyperlink" Target="https://tekion.atlassian.net/jira/software/c/projects/VOC/boards/13701/backlog" TargetMode="External"/><Relationship Id="rId77" Type="http://schemas.openxmlformats.org/officeDocument/2006/relationships/hyperlink" Target="https://tekion.atlassian.net/issues/?filter=42062" TargetMode="External"/><Relationship Id="rId8" Type="http://schemas.openxmlformats.org/officeDocument/2006/relationships/hyperlink" Target="https://tekion.atlassian.net/jira/software/c/projects/AIB/boards/6983/backlog" TargetMode="External"/><Relationship Id="rId51" Type="http://schemas.openxmlformats.org/officeDocument/2006/relationships/hyperlink" Target="https://tekion.atlassian.net/issues/?filter=51541" TargetMode="External"/><Relationship Id="rId72" Type="http://schemas.openxmlformats.org/officeDocument/2006/relationships/hyperlink" Target="https://tekion.atlassian.net/jira/software/c/projects/PSEL/boards/16161/backlog" TargetMode="External"/><Relationship Id="rId80" Type="http://schemas.openxmlformats.org/officeDocument/2006/relationships/vmlDrawing" Target="../drawings/vmlDrawing2.vml"/><Relationship Id="rId3" Type="http://schemas.openxmlformats.org/officeDocument/2006/relationships/hyperlink" Target="https://tekion.atlassian.net/jira/software/c/projects/ML/boards/8168/backlog" TargetMode="External"/><Relationship Id="rId12" Type="http://schemas.openxmlformats.org/officeDocument/2006/relationships/hyperlink" Target="https://tekion.atlassian.net/jira/software/c/projects/RETL/boards/7643/backlog" TargetMode="External"/><Relationship Id="rId17" Type="http://schemas.openxmlformats.org/officeDocument/2006/relationships/hyperlink" Target="https://tekion.atlassian.net/jira/software/c/projects/TOC/boards/9291/backlog" TargetMode="External"/><Relationship Id="rId25" Type="http://schemas.openxmlformats.org/officeDocument/2006/relationships/hyperlink" Target="https://tekion.atlassian.net/issues/?filter=39633" TargetMode="External"/><Relationship Id="rId33" Type="http://schemas.openxmlformats.org/officeDocument/2006/relationships/hyperlink" Target="https://tekion.atlassian.net/issues/?filter=40666" TargetMode="External"/><Relationship Id="rId38" Type="http://schemas.openxmlformats.org/officeDocument/2006/relationships/hyperlink" Target="https://tekion.atlassian.net/issues/?filter=40651" TargetMode="External"/><Relationship Id="rId46" Type="http://schemas.openxmlformats.org/officeDocument/2006/relationships/hyperlink" Target="https://tekion.atlassian.net/issues/?filter=40530" TargetMode="External"/><Relationship Id="rId59" Type="http://schemas.openxmlformats.org/officeDocument/2006/relationships/hyperlink" Target="https://tekion.atlassian.net/jira/software/c/projects/OPLT/boards/8005/backlog" TargetMode="External"/><Relationship Id="rId67" Type="http://schemas.openxmlformats.org/officeDocument/2006/relationships/hyperlink" Target="https://tekion.atlassian.net/jira/software/c/projects/PMM/boards/12604/backlog" TargetMode="External"/><Relationship Id="rId20" Type="http://schemas.openxmlformats.org/officeDocument/2006/relationships/hyperlink" Target="https://tekion.atlassian.net/jira/software/c/projects/SIP/boards/9525/backlog" TargetMode="External"/><Relationship Id="rId41" Type="http://schemas.openxmlformats.org/officeDocument/2006/relationships/hyperlink" Target="https://tekion.atlassian.net/issues/?filter=39934" TargetMode="External"/><Relationship Id="rId54" Type="http://schemas.openxmlformats.org/officeDocument/2006/relationships/hyperlink" Target="https://tekion.atlassian.net/jira/software/c/projects/APLT/boards/8004/backlog" TargetMode="External"/><Relationship Id="rId62" Type="http://schemas.openxmlformats.org/officeDocument/2006/relationships/hyperlink" Target="https://tekion.atlassian.net/issues/?filter=62446" TargetMode="External"/><Relationship Id="rId70" Type="http://schemas.openxmlformats.org/officeDocument/2006/relationships/hyperlink" Target="https://tekion.atlassian.net/jira/software/c/projects/GM/boards/12183/backlog" TargetMode="External"/><Relationship Id="rId75" Type="http://schemas.openxmlformats.org/officeDocument/2006/relationships/hyperlink" Target="https://tekion.atlassian.net/issues/?filter=38139" TargetMode="External"/><Relationship Id="rId83" Type="http://schemas.microsoft.com/office/2019/04/relationships/namedSheetView" Target="../namedSheetViews/namedSheetView2.xml"/><Relationship Id="rId1" Type="http://schemas.openxmlformats.org/officeDocument/2006/relationships/hyperlink" Target="https://tekion.atlassian.net/jira/software/c/projects/APEX/boards/8200/backlog" TargetMode="External"/><Relationship Id="rId6" Type="http://schemas.openxmlformats.org/officeDocument/2006/relationships/hyperlink" Target="https://tekion.atlassian.net/jira/software/c/projects/SERV/boards/8002/backlog" TargetMode="External"/><Relationship Id="rId15" Type="http://schemas.openxmlformats.org/officeDocument/2006/relationships/hyperlink" Target="https://tekion.atlassian.net/jira/software/c/projects/PART/boards/7806/backlog" TargetMode="External"/><Relationship Id="rId23" Type="http://schemas.openxmlformats.org/officeDocument/2006/relationships/hyperlink" Target="https://tekion.atlassian.net/jira/software/c/projects/COMM/boards/13145/backlog" TargetMode="External"/><Relationship Id="rId28" Type="http://schemas.openxmlformats.org/officeDocument/2006/relationships/hyperlink" Target="https://tekion.atlassian.net/issues/?filter=39927" TargetMode="External"/><Relationship Id="rId36" Type="http://schemas.openxmlformats.org/officeDocument/2006/relationships/hyperlink" Target="https://tekion.atlassian.net/issues/?filter=40649" TargetMode="External"/><Relationship Id="rId49" Type="http://schemas.openxmlformats.org/officeDocument/2006/relationships/hyperlink" Target="https://tekion.atlassian.net/issues?filter=39531" TargetMode="External"/><Relationship Id="rId57" Type="http://schemas.openxmlformats.org/officeDocument/2006/relationships/hyperlink" Target="https://tekion.atlassian.net/issues/?filter=57138" TargetMode="External"/><Relationship Id="rId10" Type="http://schemas.openxmlformats.org/officeDocument/2006/relationships/hyperlink" Target="https://tekion.atlassian.net/jira/software/c/projects/FNI/boards/6287/backlog" TargetMode="External"/><Relationship Id="rId31" Type="http://schemas.openxmlformats.org/officeDocument/2006/relationships/hyperlink" Target="https://tekion.atlassian.net/issues/?filter=40664" TargetMode="External"/><Relationship Id="rId44" Type="http://schemas.openxmlformats.org/officeDocument/2006/relationships/hyperlink" Target="https://tekion.atlassian.net/issues/?filter=38769" TargetMode="External"/><Relationship Id="rId52" Type="http://schemas.openxmlformats.org/officeDocument/2006/relationships/hyperlink" Target="https://tekion.atlassian.net/issues?filter=58179" TargetMode="External"/><Relationship Id="rId60" Type="http://schemas.openxmlformats.org/officeDocument/2006/relationships/hyperlink" Target="https://tekion.atlassian.net/jira/software/c/projects/CASH/boards/15516/backlog" TargetMode="External"/><Relationship Id="rId65" Type="http://schemas.openxmlformats.org/officeDocument/2006/relationships/hyperlink" Target="https://tekion.atlassian.net/issues/?filter=62858" TargetMode="External"/><Relationship Id="rId73" Type="http://schemas.openxmlformats.org/officeDocument/2006/relationships/hyperlink" Target="https://tekion.atlassian.net/jira/software/c/projects/PYTK/boards/6223/backlog" TargetMode="External"/><Relationship Id="rId78" Type="http://schemas.openxmlformats.org/officeDocument/2006/relationships/hyperlink" Target="https://tekion.atlassian.net/jira/plans/6806/scenarios/6806/timeline?vid=8163" TargetMode="External"/><Relationship Id="rId81" Type="http://schemas.openxmlformats.org/officeDocument/2006/relationships/comments" Target="../comments2.xml"/><Relationship Id="rId4" Type="http://schemas.openxmlformats.org/officeDocument/2006/relationships/hyperlink" Target="https://tekion.atlassian.net/jira/software/c/projects/ANLY/boards/8152/backlog" TargetMode="External"/><Relationship Id="rId9" Type="http://schemas.openxmlformats.org/officeDocument/2006/relationships/hyperlink" Target="https://tekion.atlassian.net/jira/software/c/projects/CRM/boards/6517/backlog" TargetMode="External"/><Relationship Id="rId13" Type="http://schemas.openxmlformats.org/officeDocument/2006/relationships/hyperlink" Target="https://tekion.atlassian.net/jira/software/c/projects/ACCT/boards/7969/backlog" TargetMode="External"/><Relationship Id="rId18" Type="http://schemas.openxmlformats.org/officeDocument/2006/relationships/hyperlink" Target="https://tekion.atlassian.net/jira/software/c/projects/ZEB/boards/9988/backlog" TargetMode="External"/><Relationship Id="rId39" Type="http://schemas.openxmlformats.org/officeDocument/2006/relationships/hyperlink" Target="https://tekion.atlassian.net/issues/?filter=39933" TargetMode="External"/><Relationship Id="rId34" Type="http://schemas.openxmlformats.org/officeDocument/2006/relationships/hyperlink" Target="https://tekion.atlassian.net/issues/?filter=40659" TargetMode="External"/><Relationship Id="rId50" Type="http://schemas.openxmlformats.org/officeDocument/2006/relationships/hyperlink" Target="https://tekion.atlassian.net/issues?filter=37438" TargetMode="External"/><Relationship Id="rId55" Type="http://schemas.openxmlformats.org/officeDocument/2006/relationships/hyperlink" Target="https://tekion.atlassian.net/jira/software/c/projects/HPLT/boards/7807/backlog" TargetMode="External"/><Relationship Id="rId76" Type="http://schemas.openxmlformats.org/officeDocument/2006/relationships/hyperlink" Target="https://tekion.atlassian.net/jira/software/c/projects/AMC/boards/16062/backlog" TargetMode="External"/><Relationship Id="rId7" Type="http://schemas.openxmlformats.org/officeDocument/2006/relationships/hyperlink" Target="https://tekion.atlassian.net/jira/software/c/projects/DGRT/boards/7805/backlog" TargetMode="External"/><Relationship Id="rId71" Type="http://schemas.openxmlformats.org/officeDocument/2006/relationships/hyperlink" Target="https://tekion.atlassian.net/jira/software/c/projects/HYUN/boards/7181/backlog" TargetMode="External"/><Relationship Id="rId2" Type="http://schemas.openxmlformats.org/officeDocument/2006/relationships/hyperlink" Target="https://tekion.atlassian.net/jira/software/c/projects/DPLT/boards/8169/backlog" TargetMode="External"/><Relationship Id="rId29" Type="http://schemas.openxmlformats.org/officeDocument/2006/relationships/hyperlink" Target="https://tekion.atlassian.net/issues/?filter=40662" TargetMode="External"/><Relationship Id="rId24" Type="http://schemas.openxmlformats.org/officeDocument/2006/relationships/hyperlink" Target="https://tekion.atlassian.net/issues/?filter=40657" TargetMode="External"/><Relationship Id="rId40" Type="http://schemas.openxmlformats.org/officeDocument/2006/relationships/hyperlink" Target="https://tekion.atlassian.net/issues/?filter=40386" TargetMode="External"/><Relationship Id="rId45" Type="http://schemas.openxmlformats.org/officeDocument/2006/relationships/hyperlink" Target="https://tekion.atlassian.net/issues/?filter=38056" TargetMode="External"/><Relationship Id="rId66" Type="http://schemas.openxmlformats.org/officeDocument/2006/relationships/hyperlink" Target="https://tekion.atlassian.net/jira/software/c/projects/PD/boards/3252/backlo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59999389629810485"/>
  </sheetPr>
  <dimension ref="A1:G201"/>
  <sheetViews>
    <sheetView workbookViewId="0">
      <pane ySplit="1" topLeftCell="A2" activePane="bottomLeft" state="frozen"/>
      <selection pane="bottomLeft" activeCell="F10" sqref="F10"/>
    </sheetView>
  </sheetViews>
  <sheetFormatPr defaultColWidth="8.85546875" defaultRowHeight="15"/>
  <cols>
    <col min="1" max="2" width="20.140625" customWidth="1"/>
    <col min="3" max="3" width="20.140625" style="4" bestFit="1" customWidth="1"/>
    <col min="4" max="4" width="23.7109375" bestFit="1" customWidth="1"/>
    <col min="5" max="5" width="23.7109375" customWidth="1"/>
    <col min="6" max="6" width="16.42578125" customWidth="1"/>
    <col min="7" max="7" width="10" bestFit="1" customWidth="1"/>
  </cols>
  <sheetData>
    <row r="1" spans="1:7" s="5" customFormat="1">
      <c r="A1"/>
      <c r="B1"/>
      <c r="C1"/>
      <c r="D1"/>
      <c r="E1"/>
      <c r="F1" s="6" t="s">
        <v>0</v>
      </c>
      <c r="G1" s="13">
        <v>46218</v>
      </c>
    </row>
    <row r="2" spans="1:7">
      <c r="A2" s="267" t="s">
        <v>1</v>
      </c>
      <c r="B2" s="267" t="s">
        <v>2</v>
      </c>
      <c r="C2" s="267" t="s">
        <v>3</v>
      </c>
      <c r="D2" s="267" t="s">
        <v>4</v>
      </c>
    </row>
    <row r="3" spans="1:7">
      <c r="A3" s="23" t="s">
        <v>5</v>
      </c>
      <c r="B3" s="23" t="s">
        <v>6</v>
      </c>
      <c r="C3" s="23" t="s">
        <v>7</v>
      </c>
      <c r="D3" s="23">
        <v>1</v>
      </c>
      <c r="F3" s="19" t="s">
        <v>8</v>
      </c>
    </row>
    <row r="4" spans="1:7">
      <c r="A4" s="23" t="s">
        <v>9</v>
      </c>
      <c r="B4" s="23" t="s">
        <v>10</v>
      </c>
      <c r="C4" s="23" t="s">
        <v>11</v>
      </c>
      <c r="D4" s="23">
        <v>3</v>
      </c>
      <c r="F4" s="20" t="s">
        <v>12</v>
      </c>
    </row>
    <row r="5" spans="1:7">
      <c r="A5" s="23"/>
      <c r="B5" s="23"/>
      <c r="C5" s="23" t="s">
        <v>13</v>
      </c>
      <c r="D5" s="23">
        <v>10</v>
      </c>
    </row>
    <row r="6" spans="1:7">
      <c r="A6" s="23"/>
      <c r="B6" s="23" t="s">
        <v>14</v>
      </c>
      <c r="C6" s="23" t="s">
        <v>15</v>
      </c>
      <c r="D6" s="23">
        <v>9</v>
      </c>
    </row>
    <row r="7" spans="1:7">
      <c r="A7" s="23"/>
      <c r="B7" s="23"/>
      <c r="C7" s="23" t="s">
        <v>16</v>
      </c>
      <c r="D7" s="23">
        <v>3</v>
      </c>
    </row>
    <row r="8" spans="1:7">
      <c r="A8" s="23" t="s">
        <v>17</v>
      </c>
      <c r="B8" s="23" t="s">
        <v>18</v>
      </c>
      <c r="C8" s="23" t="s">
        <v>19</v>
      </c>
      <c r="D8" s="23">
        <v>5</v>
      </c>
    </row>
    <row r="9" spans="1:7">
      <c r="A9" s="23" t="s">
        <v>20</v>
      </c>
      <c r="B9" s="23" t="s">
        <v>21</v>
      </c>
      <c r="C9" s="23" t="s">
        <v>22</v>
      </c>
      <c r="D9" s="23">
        <v>1</v>
      </c>
    </row>
    <row r="10" spans="1:7">
      <c r="A10" s="23" t="s">
        <v>23</v>
      </c>
      <c r="B10" s="23" t="s">
        <v>24</v>
      </c>
      <c r="C10" s="23" t="s">
        <v>25</v>
      </c>
      <c r="D10" s="23">
        <v>7</v>
      </c>
    </row>
    <row r="11" spans="1:7">
      <c r="A11" s="23"/>
      <c r="B11" s="23"/>
      <c r="C11" s="23" t="s">
        <v>26</v>
      </c>
      <c r="D11" s="23">
        <v>3</v>
      </c>
    </row>
    <row r="12" spans="1:7">
      <c r="A12" s="23"/>
      <c r="B12" s="23" t="s">
        <v>27</v>
      </c>
      <c r="C12" s="23" t="s">
        <v>28</v>
      </c>
      <c r="D12" s="23">
        <v>12</v>
      </c>
    </row>
    <row r="13" spans="1:7">
      <c r="A13" s="23"/>
      <c r="B13" s="23" t="s">
        <v>23</v>
      </c>
      <c r="C13" s="23" t="s">
        <v>29</v>
      </c>
      <c r="D13" s="23">
        <v>1</v>
      </c>
    </row>
    <row r="14" spans="1:7">
      <c r="A14" s="23" t="s">
        <v>30</v>
      </c>
      <c r="B14" s="23" t="s">
        <v>31</v>
      </c>
      <c r="C14" s="23" t="s">
        <v>32</v>
      </c>
      <c r="D14" s="23">
        <v>12</v>
      </c>
    </row>
    <row r="15" spans="1:7">
      <c r="A15" s="23"/>
      <c r="B15" s="23"/>
      <c r="C15" s="23" t="s">
        <v>33</v>
      </c>
      <c r="D15" s="23">
        <v>1</v>
      </c>
    </row>
    <row r="16" spans="1:7">
      <c r="A16" s="23"/>
      <c r="B16" s="23" t="s">
        <v>34</v>
      </c>
      <c r="C16" s="23" t="s">
        <v>35</v>
      </c>
      <c r="D16" s="23">
        <v>16</v>
      </c>
    </row>
    <row r="17" spans="1:4">
      <c r="A17" s="23"/>
      <c r="B17" s="23"/>
      <c r="C17" s="23" t="s">
        <v>36</v>
      </c>
      <c r="D17" s="23">
        <v>4</v>
      </c>
    </row>
    <row r="18" spans="1:4">
      <c r="A18" s="23"/>
      <c r="B18" s="23"/>
      <c r="C18" s="23" t="s">
        <v>37</v>
      </c>
      <c r="D18" s="23">
        <v>10</v>
      </c>
    </row>
    <row r="19" spans="1:4">
      <c r="A19" s="23"/>
      <c r="B19" s="23"/>
      <c r="C19" s="23" t="s">
        <v>38</v>
      </c>
      <c r="D19" s="23">
        <v>4</v>
      </c>
    </row>
    <row r="20" spans="1:4">
      <c r="A20" s="23"/>
      <c r="B20" s="23" t="s">
        <v>39</v>
      </c>
      <c r="C20" s="23" t="s">
        <v>40</v>
      </c>
      <c r="D20" s="23">
        <v>37</v>
      </c>
    </row>
    <row r="21" spans="1:4">
      <c r="A21" s="23"/>
      <c r="B21" s="23" t="s">
        <v>30</v>
      </c>
      <c r="C21" s="23" t="s">
        <v>41</v>
      </c>
      <c r="D21" s="23">
        <v>3</v>
      </c>
    </row>
    <row r="22" spans="1:4">
      <c r="A22" s="23"/>
      <c r="B22" s="23"/>
      <c r="C22" s="23" t="s">
        <v>42</v>
      </c>
      <c r="D22" s="23">
        <v>3</v>
      </c>
    </row>
    <row r="23" spans="1:4">
      <c r="A23" s="23" t="s">
        <v>43</v>
      </c>
      <c r="B23" s="23" t="s">
        <v>44</v>
      </c>
      <c r="C23" s="23" t="s">
        <v>45</v>
      </c>
      <c r="D23" s="23">
        <v>3</v>
      </c>
    </row>
    <row r="24" spans="1:4">
      <c r="A24" s="23"/>
      <c r="B24" s="23" t="s">
        <v>46</v>
      </c>
      <c r="C24" s="23" t="s">
        <v>47</v>
      </c>
      <c r="D24" s="23">
        <v>18</v>
      </c>
    </row>
    <row r="25" spans="1:4">
      <c r="A25" s="23"/>
      <c r="B25" s="23" t="s">
        <v>48</v>
      </c>
      <c r="C25" s="23" t="s">
        <v>49</v>
      </c>
      <c r="D25" s="23">
        <v>8</v>
      </c>
    </row>
    <row r="26" spans="1:4">
      <c r="A26" s="23"/>
      <c r="B26" s="23"/>
      <c r="C26" s="23" t="s">
        <v>50</v>
      </c>
      <c r="D26" s="23">
        <v>1</v>
      </c>
    </row>
    <row r="27" spans="1:4">
      <c r="A27" s="23"/>
      <c r="B27" s="23"/>
      <c r="C27" s="23" t="s">
        <v>51</v>
      </c>
      <c r="D27" s="23">
        <v>1</v>
      </c>
    </row>
    <row r="28" spans="1:4">
      <c r="A28" s="23"/>
      <c r="B28" s="23"/>
      <c r="C28" s="23" t="s">
        <v>52</v>
      </c>
      <c r="D28" s="23">
        <v>4</v>
      </c>
    </row>
    <row r="29" spans="1:4">
      <c r="A29" s="23"/>
      <c r="B29" s="23" t="s">
        <v>53</v>
      </c>
      <c r="C29" s="23" t="s">
        <v>54</v>
      </c>
      <c r="D29" s="23">
        <v>15</v>
      </c>
    </row>
    <row r="30" spans="1:4">
      <c r="A30" s="23" t="s">
        <v>55</v>
      </c>
      <c r="B30" s="23" t="s">
        <v>56</v>
      </c>
      <c r="C30" s="23" t="s">
        <v>57</v>
      </c>
      <c r="D30" s="23">
        <v>5</v>
      </c>
    </row>
    <row r="31" spans="1:4">
      <c r="A31" s="23"/>
      <c r="B31" s="23" t="s">
        <v>58</v>
      </c>
      <c r="C31" s="23" t="s">
        <v>59</v>
      </c>
      <c r="D31" s="23">
        <v>5</v>
      </c>
    </row>
    <row r="32" spans="1:4">
      <c r="A32" s="23"/>
      <c r="B32" s="23" t="s">
        <v>60</v>
      </c>
      <c r="C32" s="23" t="s">
        <v>61</v>
      </c>
      <c r="D32" s="23">
        <v>4</v>
      </c>
    </row>
    <row r="33" spans="1:4">
      <c r="A33" s="23"/>
      <c r="B33" s="23" t="s">
        <v>55</v>
      </c>
      <c r="C33" s="23" t="s">
        <v>62</v>
      </c>
      <c r="D33" s="23">
        <v>12</v>
      </c>
    </row>
    <row r="34" spans="1:4">
      <c r="A34" s="23"/>
      <c r="B34" s="23"/>
      <c r="C34" s="23" t="s">
        <v>63</v>
      </c>
      <c r="D34" s="23">
        <v>10</v>
      </c>
    </row>
    <row r="35" spans="1:4">
      <c r="A35" s="23"/>
      <c r="B35" s="23" t="s">
        <v>64</v>
      </c>
      <c r="C35" s="23" t="s">
        <v>65</v>
      </c>
      <c r="D35" s="23">
        <v>9</v>
      </c>
    </row>
    <row r="36" spans="1:4">
      <c r="A36" s="23"/>
      <c r="B36" s="23" t="s">
        <v>66</v>
      </c>
      <c r="C36" s="23" t="s">
        <v>67</v>
      </c>
      <c r="D36" s="23">
        <v>12</v>
      </c>
    </row>
    <row r="37" spans="1:4">
      <c r="A37" s="23"/>
      <c r="B37" s="23"/>
      <c r="C37" s="23" t="s">
        <v>68</v>
      </c>
      <c r="D37" s="23">
        <v>10</v>
      </c>
    </row>
    <row r="38" spans="1:4">
      <c r="A38" s="23" t="s">
        <v>69</v>
      </c>
      <c r="B38" s="23" t="s">
        <v>70</v>
      </c>
      <c r="C38" s="23" t="s">
        <v>71</v>
      </c>
      <c r="D38" s="23">
        <v>3</v>
      </c>
    </row>
    <row r="39" spans="1:4">
      <c r="A39" s="23"/>
      <c r="B39" s="23" t="s">
        <v>69</v>
      </c>
      <c r="C39" s="23" t="s">
        <v>72</v>
      </c>
      <c r="D39" s="23">
        <v>1</v>
      </c>
    </row>
    <row r="40" spans="1:4">
      <c r="A40" s="23" t="s">
        <v>73</v>
      </c>
      <c r="B40" s="23" t="s">
        <v>74</v>
      </c>
      <c r="C40" s="23" t="s">
        <v>75</v>
      </c>
      <c r="D40" s="23">
        <v>7</v>
      </c>
    </row>
    <row r="41" spans="1:4">
      <c r="A41" s="23"/>
      <c r="B41" s="23" t="s">
        <v>76</v>
      </c>
      <c r="C41" s="23" t="s">
        <v>77</v>
      </c>
      <c r="D41" s="23">
        <v>1</v>
      </c>
    </row>
    <row r="42" spans="1:4">
      <c r="A42" s="23"/>
      <c r="B42" s="23"/>
      <c r="C42" s="23" t="s">
        <v>78</v>
      </c>
      <c r="D42" s="23">
        <v>22</v>
      </c>
    </row>
    <row r="43" spans="1:4">
      <c r="A43" s="23" t="s">
        <v>79</v>
      </c>
      <c r="B43" s="23" t="s">
        <v>80</v>
      </c>
      <c r="C43" s="23" t="s">
        <v>81</v>
      </c>
      <c r="D43" s="23">
        <v>1</v>
      </c>
    </row>
    <row r="44" spans="1:4">
      <c r="A44" s="23"/>
      <c r="B44" s="23"/>
      <c r="C44" s="23" t="s">
        <v>82</v>
      </c>
      <c r="D44" s="23">
        <v>13</v>
      </c>
    </row>
    <row r="45" spans="1:4">
      <c r="A45" s="23"/>
      <c r="B45" s="23" t="s">
        <v>83</v>
      </c>
      <c r="C45" s="23" t="s">
        <v>84</v>
      </c>
      <c r="D45" s="23">
        <v>8</v>
      </c>
    </row>
    <row r="46" spans="1:4">
      <c r="A46" s="23"/>
      <c r="B46" s="23"/>
      <c r="C46" s="23" t="s">
        <v>85</v>
      </c>
      <c r="D46" s="23">
        <v>6</v>
      </c>
    </row>
    <row r="47" spans="1:4">
      <c r="A47" s="23"/>
      <c r="B47" s="23"/>
      <c r="C47" s="23" t="s">
        <v>86</v>
      </c>
      <c r="D47" s="23">
        <v>1</v>
      </c>
    </row>
    <row r="48" spans="1:4">
      <c r="A48" s="23"/>
      <c r="B48" s="23" t="s">
        <v>87</v>
      </c>
      <c r="C48" s="23" t="s">
        <v>88</v>
      </c>
      <c r="D48" s="23">
        <v>7</v>
      </c>
    </row>
    <row r="49" spans="1:4">
      <c r="A49" s="23"/>
      <c r="B49" s="23" t="s">
        <v>89</v>
      </c>
      <c r="C49" s="23" t="s">
        <v>90</v>
      </c>
      <c r="D49" s="23">
        <v>6</v>
      </c>
    </row>
    <row r="50" spans="1:4">
      <c r="A50" s="23"/>
      <c r="B50" s="23"/>
      <c r="C50" s="23" t="s">
        <v>91</v>
      </c>
      <c r="D50" s="23">
        <v>5</v>
      </c>
    </row>
    <row r="51" spans="1:4">
      <c r="A51" s="23"/>
      <c r="B51" s="23"/>
      <c r="C51" s="23" t="s">
        <v>92</v>
      </c>
      <c r="D51" s="23">
        <v>5</v>
      </c>
    </row>
    <row r="52" spans="1:4">
      <c r="A52" s="23" t="s">
        <v>93</v>
      </c>
      <c r="B52" s="23" t="s">
        <v>94</v>
      </c>
      <c r="C52" s="23" t="s">
        <v>95</v>
      </c>
      <c r="D52" s="23">
        <v>3</v>
      </c>
    </row>
    <row r="53" spans="1:4">
      <c r="A53" s="23"/>
      <c r="B53" s="23"/>
      <c r="C53" s="23" t="s">
        <v>96</v>
      </c>
      <c r="D53" s="23">
        <v>1</v>
      </c>
    </row>
    <row r="54" spans="1:4">
      <c r="A54" s="23" t="s">
        <v>97</v>
      </c>
      <c r="B54" s="23" t="s">
        <v>97</v>
      </c>
      <c r="C54" s="23" t="s">
        <v>97</v>
      </c>
      <c r="D54" s="23"/>
    </row>
    <row r="55" spans="1:4">
      <c r="A55" s="23" t="s">
        <v>98</v>
      </c>
      <c r="B55" s="23" t="s">
        <v>60</v>
      </c>
      <c r="C55" s="23" t="s">
        <v>61</v>
      </c>
      <c r="D55" s="23">
        <v>9</v>
      </c>
    </row>
    <row r="56" spans="1:4">
      <c r="A56" s="23"/>
      <c r="B56" s="23"/>
      <c r="C56" s="23" t="s">
        <v>99</v>
      </c>
      <c r="D56" s="23">
        <v>4</v>
      </c>
    </row>
    <row r="57" spans="1:4">
      <c r="A57" s="23" t="s">
        <v>100</v>
      </c>
      <c r="B57" s="23" t="s">
        <v>97</v>
      </c>
      <c r="C57" s="23" t="s">
        <v>101</v>
      </c>
      <c r="D57" s="23">
        <v>1</v>
      </c>
    </row>
    <row r="58" spans="1:4">
      <c r="A58" s="23" t="s">
        <v>102</v>
      </c>
      <c r="B58" s="23"/>
      <c r="C58" s="23"/>
      <c r="D58" s="23">
        <v>366</v>
      </c>
    </row>
    <row r="59" spans="1:4">
      <c r="C59"/>
    </row>
    <row r="60" spans="1:4">
      <c r="C60"/>
    </row>
    <row r="61" spans="1:4">
      <c r="C61"/>
    </row>
    <row r="62" spans="1:4">
      <c r="C62"/>
    </row>
    <row r="63" spans="1:4">
      <c r="C63"/>
    </row>
    <row r="64" spans="1:4">
      <c r="C64"/>
    </row>
    <row r="65" spans="3:3">
      <c r="C65"/>
    </row>
    <row r="66" spans="3:3">
      <c r="C66"/>
    </row>
    <row r="67" spans="3:3">
      <c r="C67"/>
    </row>
    <row r="68" spans="3:3">
      <c r="C68"/>
    </row>
    <row r="69" spans="3:3">
      <c r="C69"/>
    </row>
    <row r="70" spans="3:3">
      <c r="C70"/>
    </row>
    <row r="71" spans="3:3">
      <c r="C71"/>
    </row>
    <row r="72" spans="3:3">
      <c r="C72"/>
    </row>
    <row r="73" spans="3:3">
      <c r="C73"/>
    </row>
    <row r="74" spans="3:3">
      <c r="C74"/>
    </row>
    <row r="75" spans="3:3">
      <c r="C75"/>
    </row>
    <row r="76" spans="3:3">
      <c r="C76"/>
    </row>
    <row r="77" spans="3:3">
      <c r="C77"/>
    </row>
    <row r="78" spans="3:3">
      <c r="C78"/>
    </row>
    <row r="79" spans="3:3">
      <c r="C79"/>
    </row>
    <row r="80" spans="3:3">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row r="91" spans="3:3">
      <c r="C91"/>
    </row>
    <row r="92" spans="3:3">
      <c r="C92"/>
    </row>
    <row r="93" spans="3:3">
      <c r="C93"/>
    </row>
    <row r="94" spans="3:3">
      <c r="C94"/>
    </row>
    <row r="95" spans="3:3">
      <c r="C95"/>
    </row>
    <row r="96" spans="3:3">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sheetData>
  <hyperlinks>
    <hyperlink ref="F4" r:id="rId2" xr:uid="{A68B6763-41FC-45CC-A975-7F8FB6B0B74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36F7-E9EA-4160-BC35-8F745926B564}">
  <dimension ref="A1:B45"/>
  <sheetViews>
    <sheetView topLeftCell="A6" workbookViewId="0">
      <selection activeCell="A47" sqref="A47"/>
    </sheetView>
  </sheetViews>
  <sheetFormatPr defaultColWidth="8.85546875" defaultRowHeight="15"/>
  <cols>
    <col min="1" max="1" width="21" customWidth="1"/>
  </cols>
  <sheetData>
    <row r="1" spans="1:2">
      <c r="A1" s="1" t="s">
        <v>3</v>
      </c>
    </row>
    <row r="2" spans="1:2">
      <c r="A2" s="3" t="s">
        <v>82</v>
      </c>
      <c r="B2" t="s">
        <v>79</v>
      </c>
    </row>
    <row r="3" spans="1:2">
      <c r="A3" s="3" t="s">
        <v>103</v>
      </c>
      <c r="B3" t="s">
        <v>104</v>
      </c>
    </row>
    <row r="4" spans="1:2">
      <c r="A4" s="3" t="s">
        <v>105</v>
      </c>
      <c r="B4" t="s">
        <v>104</v>
      </c>
    </row>
    <row r="5" spans="1:2">
      <c r="A5" s="3" t="s">
        <v>81</v>
      </c>
      <c r="B5" t="s">
        <v>79</v>
      </c>
    </row>
    <row r="6" spans="1:2">
      <c r="A6" s="3" t="s">
        <v>106</v>
      </c>
      <c r="B6" t="s">
        <v>104</v>
      </c>
    </row>
    <row r="7" spans="1:2">
      <c r="A7" s="3" t="s">
        <v>61</v>
      </c>
      <c r="B7" t="s">
        <v>107</v>
      </c>
    </row>
    <row r="8" spans="1:2">
      <c r="A8" s="3" t="s">
        <v>108</v>
      </c>
      <c r="B8" t="s">
        <v>107</v>
      </c>
    </row>
    <row r="9" spans="1:2">
      <c r="A9" s="3" t="s">
        <v>85</v>
      </c>
      <c r="B9" t="s">
        <v>79</v>
      </c>
    </row>
    <row r="10" spans="1:2">
      <c r="A10" s="3" t="s">
        <v>88</v>
      </c>
      <c r="B10" t="s">
        <v>79</v>
      </c>
    </row>
    <row r="11" spans="1:2">
      <c r="A11" s="3" t="s">
        <v>109</v>
      </c>
      <c r="B11" t="s">
        <v>107</v>
      </c>
    </row>
    <row r="12" spans="1:2">
      <c r="A12" s="3" t="s">
        <v>49</v>
      </c>
      <c r="B12" t="s">
        <v>110</v>
      </c>
    </row>
    <row r="13" spans="1:2">
      <c r="A13" s="3" t="s">
        <v>52</v>
      </c>
      <c r="B13" t="s">
        <v>110</v>
      </c>
    </row>
    <row r="14" spans="1:2">
      <c r="A14" s="3" t="s">
        <v>54</v>
      </c>
      <c r="B14" t="s">
        <v>110</v>
      </c>
    </row>
    <row r="15" spans="1:2">
      <c r="A15" s="3" t="s">
        <v>51</v>
      </c>
      <c r="B15" t="s">
        <v>110</v>
      </c>
    </row>
    <row r="16" spans="1:2">
      <c r="A16" s="3" t="s">
        <v>50</v>
      </c>
      <c r="B16" t="s">
        <v>110</v>
      </c>
    </row>
    <row r="17" spans="1:2">
      <c r="A17" s="3" t="s">
        <v>111</v>
      </c>
      <c r="B17" t="s">
        <v>110</v>
      </c>
    </row>
    <row r="18" spans="1:2">
      <c r="A18" s="3" t="s">
        <v>47</v>
      </c>
      <c r="B18" t="s">
        <v>110</v>
      </c>
    </row>
    <row r="19" spans="1:2">
      <c r="A19" s="3" t="s">
        <v>45</v>
      </c>
      <c r="B19" t="s">
        <v>104</v>
      </c>
    </row>
    <row r="20" spans="1:2">
      <c r="A20" s="3" t="s">
        <v>112</v>
      </c>
      <c r="B20" t="s">
        <v>104</v>
      </c>
    </row>
    <row r="21" spans="1:2">
      <c r="A21" s="3" t="s">
        <v>96</v>
      </c>
    </row>
    <row r="22" spans="1:2">
      <c r="A22" s="3" t="s">
        <v>11</v>
      </c>
      <c r="B22" t="s">
        <v>104</v>
      </c>
    </row>
    <row r="23" spans="1:2">
      <c r="A23" s="3" t="s">
        <v>65</v>
      </c>
      <c r="B23" t="s">
        <v>107</v>
      </c>
    </row>
    <row r="24" spans="1:2">
      <c r="A24" s="21" t="s">
        <v>113</v>
      </c>
      <c r="B24" t="s">
        <v>79</v>
      </c>
    </row>
    <row r="25" spans="1:2">
      <c r="A25" s="3" t="s">
        <v>57</v>
      </c>
      <c r="B25" t="s">
        <v>107</v>
      </c>
    </row>
    <row r="26" spans="1:2">
      <c r="A26" s="3" t="s">
        <v>114</v>
      </c>
    </row>
    <row r="27" spans="1:2">
      <c r="A27" s="3" t="s">
        <v>115</v>
      </c>
      <c r="B27" t="s">
        <v>116</v>
      </c>
    </row>
    <row r="28" spans="1:2">
      <c r="A28" s="3" t="s">
        <v>71</v>
      </c>
    </row>
    <row r="29" spans="1:2">
      <c r="A29" s="3" t="s">
        <v>95</v>
      </c>
      <c r="B29" t="s">
        <v>117</v>
      </c>
    </row>
    <row r="30" spans="1:2">
      <c r="A30" s="3" t="s">
        <v>118</v>
      </c>
    </row>
    <row r="31" spans="1:2">
      <c r="A31" s="3" t="s">
        <v>40</v>
      </c>
    </row>
    <row r="32" spans="1:2">
      <c r="A32" s="3" t="s">
        <v>42</v>
      </c>
    </row>
    <row r="33" spans="1:1">
      <c r="A33" s="3" t="s">
        <v>41</v>
      </c>
    </row>
    <row r="34" spans="1:1">
      <c r="A34" s="3" t="s">
        <v>7</v>
      </c>
    </row>
    <row r="35" spans="1:1">
      <c r="A35" s="3" t="s">
        <v>35</v>
      </c>
    </row>
    <row r="36" spans="1:1">
      <c r="A36" s="3" t="s">
        <v>119</v>
      </c>
    </row>
    <row r="37" spans="1:1">
      <c r="A37" s="3" t="s">
        <v>84</v>
      </c>
    </row>
    <row r="38" spans="1:1">
      <c r="A38" s="3" t="s">
        <v>29</v>
      </c>
    </row>
    <row r="39" spans="1:1">
      <c r="A39" s="3" t="s">
        <v>90</v>
      </c>
    </row>
    <row r="40" spans="1:1">
      <c r="A40" s="3" t="s">
        <v>36</v>
      </c>
    </row>
    <row r="41" spans="1:1">
      <c r="A41" s="3" t="s">
        <v>120</v>
      </c>
    </row>
    <row r="42" spans="1:1">
      <c r="A42" s="3" t="s">
        <v>77</v>
      </c>
    </row>
    <row r="43" spans="1:1">
      <c r="A43" s="3" t="s">
        <v>22</v>
      </c>
    </row>
    <row r="44" spans="1:1">
      <c r="A44" s="3" t="s">
        <v>19</v>
      </c>
    </row>
    <row r="45" spans="1:1">
      <c r="A45" s="3"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9E5E-4A9E-4E19-BC39-6E81AE07B7F5}">
  <sheetPr>
    <tabColor rgb="FF0070C0"/>
  </sheetPr>
  <dimension ref="A1:G69"/>
  <sheetViews>
    <sheetView workbookViewId="0">
      <selection activeCell="A26" sqref="A26"/>
    </sheetView>
  </sheetViews>
  <sheetFormatPr defaultColWidth="8.85546875" defaultRowHeight="15"/>
  <cols>
    <col min="1" max="1" width="25.140625" customWidth="1"/>
    <col min="2" max="2" width="23.42578125" customWidth="1"/>
    <col min="3" max="3" width="15.42578125" customWidth="1"/>
    <col min="4" max="4" width="12.5703125" customWidth="1"/>
    <col min="5" max="5" width="36.85546875" customWidth="1"/>
    <col min="8" max="8" width="23.42578125" customWidth="1"/>
    <col min="9" max="9" width="15.42578125" customWidth="1"/>
    <col min="10" max="10" width="12.5703125" customWidth="1"/>
  </cols>
  <sheetData>
    <row r="1" spans="1:7" s="46" customFormat="1" ht="27.75">
      <c r="A1" s="36" t="s">
        <v>122</v>
      </c>
      <c r="B1" s="36" t="s">
        <v>123</v>
      </c>
      <c r="C1" s="49" t="s">
        <v>124</v>
      </c>
      <c r="D1" s="49" t="s">
        <v>125</v>
      </c>
      <c r="F1" s="60" t="s">
        <v>124</v>
      </c>
      <c r="G1" s="60" t="s">
        <v>126</v>
      </c>
    </row>
    <row r="2" spans="1:7">
      <c r="A2" s="38" t="s">
        <v>127</v>
      </c>
      <c r="B2" s="38" t="s">
        <v>128</v>
      </c>
      <c r="C2" s="50" t="s">
        <v>129</v>
      </c>
      <c r="D2" s="50"/>
      <c r="F2" s="19" t="s">
        <v>130</v>
      </c>
      <c r="G2" t="s">
        <v>131</v>
      </c>
    </row>
    <row r="3" spans="1:7">
      <c r="A3" s="38" t="s">
        <v>132</v>
      </c>
      <c r="B3" s="38" t="s">
        <v>133</v>
      </c>
      <c r="C3" s="50" t="s">
        <v>129</v>
      </c>
      <c r="D3" s="50"/>
      <c r="F3" s="19" t="s">
        <v>134</v>
      </c>
      <c r="G3" t="s">
        <v>135</v>
      </c>
    </row>
    <row r="4" spans="1:7">
      <c r="A4" s="38" t="s">
        <v>136</v>
      </c>
      <c r="B4" s="38" t="s">
        <v>137</v>
      </c>
      <c r="C4" s="50" t="s">
        <v>129</v>
      </c>
      <c r="D4" s="50"/>
      <c r="F4" s="19" t="s">
        <v>129</v>
      </c>
      <c r="G4" t="s">
        <v>138</v>
      </c>
    </row>
    <row r="5" spans="1:7">
      <c r="A5" s="38" t="s">
        <v>11</v>
      </c>
      <c r="B5" s="38" t="s">
        <v>11</v>
      </c>
      <c r="C5" s="50" t="s">
        <v>129</v>
      </c>
      <c r="D5" s="50"/>
    </row>
    <row r="6" spans="1:7">
      <c r="A6" s="38" t="s">
        <v>139</v>
      </c>
      <c r="B6" s="38" t="s">
        <v>140</v>
      </c>
      <c r="C6" s="50" t="s">
        <v>129</v>
      </c>
      <c r="D6" s="50"/>
    </row>
    <row r="7" spans="1:7">
      <c r="A7" s="38" t="s">
        <v>82</v>
      </c>
      <c r="B7" s="38" t="s">
        <v>82</v>
      </c>
      <c r="C7" s="51" t="s">
        <v>130</v>
      </c>
      <c r="D7" s="50">
        <v>560</v>
      </c>
    </row>
    <row r="8" spans="1:7">
      <c r="A8" s="38" t="s">
        <v>45</v>
      </c>
      <c r="B8" s="38" t="s">
        <v>141</v>
      </c>
      <c r="C8" s="51" t="s">
        <v>130</v>
      </c>
      <c r="D8" s="50">
        <v>170</v>
      </c>
    </row>
    <row r="9" spans="1:7">
      <c r="A9" s="38" t="s">
        <v>103</v>
      </c>
      <c r="B9" s="38" t="s">
        <v>142</v>
      </c>
      <c r="C9" s="50" t="s">
        <v>129</v>
      </c>
      <c r="D9" s="50"/>
    </row>
    <row r="10" spans="1:7">
      <c r="A10" s="38" t="s">
        <v>143</v>
      </c>
      <c r="B10" s="38" t="s">
        <v>144</v>
      </c>
      <c r="C10" s="50" t="s">
        <v>129</v>
      </c>
      <c r="D10" s="50"/>
    </row>
    <row r="11" spans="1:7">
      <c r="A11" s="38" t="s">
        <v>84</v>
      </c>
      <c r="B11" s="38" t="s">
        <v>145</v>
      </c>
      <c r="C11" s="51" t="s">
        <v>130</v>
      </c>
      <c r="D11" s="50">
        <v>216</v>
      </c>
    </row>
    <row r="12" spans="1:7">
      <c r="A12" s="38" t="s">
        <v>85</v>
      </c>
      <c r="B12" s="38" t="s">
        <v>146</v>
      </c>
      <c r="C12" s="51" t="s">
        <v>130</v>
      </c>
      <c r="D12" s="50">
        <v>120</v>
      </c>
    </row>
    <row r="13" spans="1:7">
      <c r="A13" s="38" t="s">
        <v>147</v>
      </c>
      <c r="B13" s="38" t="s">
        <v>148</v>
      </c>
      <c r="C13" s="50" t="s">
        <v>129</v>
      </c>
      <c r="D13" s="50"/>
    </row>
    <row r="14" spans="1:7">
      <c r="A14" s="38" t="s">
        <v>47</v>
      </c>
      <c r="B14" s="38" t="s">
        <v>149</v>
      </c>
      <c r="C14" s="50" t="s">
        <v>129</v>
      </c>
      <c r="D14" s="50"/>
    </row>
    <row r="15" spans="1:7">
      <c r="A15" s="38" t="s">
        <v>112</v>
      </c>
      <c r="B15" s="38" t="s">
        <v>150</v>
      </c>
      <c r="C15" s="50" t="s">
        <v>129</v>
      </c>
      <c r="D15" s="50"/>
    </row>
    <row r="16" spans="1:7">
      <c r="A16" s="38" t="s">
        <v>88</v>
      </c>
      <c r="B16" s="38" t="s">
        <v>151</v>
      </c>
      <c r="C16" s="50" t="s">
        <v>134</v>
      </c>
      <c r="D16" s="50"/>
    </row>
    <row r="17" spans="1:6">
      <c r="A17" s="3" t="s">
        <v>54</v>
      </c>
      <c r="B17" s="3" t="s">
        <v>152</v>
      </c>
      <c r="C17" s="50" t="s">
        <v>129</v>
      </c>
      <c r="D17" s="50"/>
    </row>
    <row r="18" spans="1:6">
      <c r="A18" s="3" t="s">
        <v>153</v>
      </c>
      <c r="B18" s="3" t="s">
        <v>154</v>
      </c>
      <c r="C18" s="51" t="s">
        <v>134</v>
      </c>
      <c r="D18" s="3"/>
    </row>
    <row r="19" spans="1:6">
      <c r="A19" s="38" t="s">
        <v>90</v>
      </c>
      <c r="B19" s="38" t="s">
        <v>155</v>
      </c>
      <c r="C19" s="51" t="s">
        <v>130</v>
      </c>
      <c r="D19" s="50"/>
    </row>
    <row r="20" spans="1:6">
      <c r="A20" s="38" t="s">
        <v>156</v>
      </c>
      <c r="B20" s="38" t="s">
        <v>157</v>
      </c>
      <c r="C20" s="50" t="s">
        <v>134</v>
      </c>
      <c r="D20" s="50"/>
    </row>
    <row r="26" spans="1:6">
      <c r="A26" s="54" t="s">
        <v>3</v>
      </c>
      <c r="B26" s="54" t="s">
        <v>158</v>
      </c>
      <c r="C26" s="55" t="s">
        <v>159</v>
      </c>
      <c r="D26" s="55" t="s">
        <v>160</v>
      </c>
      <c r="E26" s="54" t="s">
        <v>161</v>
      </c>
      <c r="F26" s="5"/>
    </row>
    <row r="27" spans="1:6" ht="27.75">
      <c r="A27" s="30" t="s">
        <v>49</v>
      </c>
      <c r="B27" s="30" t="s">
        <v>48</v>
      </c>
      <c r="C27" s="56" t="s">
        <v>127</v>
      </c>
      <c r="D27" s="56" t="s">
        <v>128</v>
      </c>
      <c r="E27" s="30"/>
      <c r="F27" s="5"/>
    </row>
    <row r="28" spans="1:6">
      <c r="A28" s="30" t="s">
        <v>41</v>
      </c>
      <c r="B28" s="30" t="s">
        <v>30</v>
      </c>
      <c r="C28" s="56"/>
      <c r="D28" s="56"/>
      <c r="E28" s="30" t="s">
        <v>162</v>
      </c>
      <c r="F28" s="5"/>
    </row>
    <row r="29" spans="1:6">
      <c r="A29" s="30" t="s">
        <v>113</v>
      </c>
      <c r="B29" s="30" t="s">
        <v>24</v>
      </c>
      <c r="C29" s="56" t="s">
        <v>132</v>
      </c>
      <c r="D29" s="56" t="s">
        <v>133</v>
      </c>
      <c r="E29" s="30"/>
      <c r="F29" s="5"/>
    </row>
    <row r="30" spans="1:6">
      <c r="A30" s="30" t="s">
        <v>57</v>
      </c>
      <c r="B30" s="30" t="s">
        <v>163</v>
      </c>
      <c r="C30" s="56" t="s">
        <v>136</v>
      </c>
      <c r="D30" s="56" t="s">
        <v>137</v>
      </c>
      <c r="E30" s="30"/>
      <c r="F30" s="5"/>
    </row>
    <row r="31" spans="1:6">
      <c r="A31" s="30" t="s">
        <v>11</v>
      </c>
      <c r="B31" s="30" t="s">
        <v>10</v>
      </c>
      <c r="C31" s="56" t="s">
        <v>11</v>
      </c>
      <c r="D31" s="56" t="s">
        <v>11</v>
      </c>
      <c r="E31" s="30"/>
      <c r="F31" s="5"/>
    </row>
    <row r="32" spans="1:6">
      <c r="A32" s="30" t="s">
        <v>61</v>
      </c>
      <c r="B32" s="30" t="s">
        <v>60</v>
      </c>
      <c r="C32" s="56" t="s">
        <v>139</v>
      </c>
      <c r="D32" s="56" t="s">
        <v>140</v>
      </c>
      <c r="E32" s="30"/>
      <c r="F32" s="5"/>
    </row>
    <row r="33" spans="1:6">
      <c r="A33" s="61" t="s">
        <v>81</v>
      </c>
      <c r="B33" s="30" t="s">
        <v>164</v>
      </c>
      <c r="C33" s="56" t="s">
        <v>82</v>
      </c>
      <c r="D33" s="56" t="s">
        <v>82</v>
      </c>
      <c r="E33" s="30" t="s">
        <v>165</v>
      </c>
      <c r="F33" s="5"/>
    </row>
    <row r="34" spans="1:6" ht="27.75">
      <c r="A34" s="61" t="s">
        <v>50</v>
      </c>
      <c r="B34" s="30" t="s">
        <v>166</v>
      </c>
      <c r="C34" s="56" t="s">
        <v>45</v>
      </c>
      <c r="D34" s="56" t="s">
        <v>141</v>
      </c>
      <c r="E34" s="57" t="s">
        <v>167</v>
      </c>
      <c r="F34" s="5"/>
    </row>
    <row r="35" spans="1:6">
      <c r="A35" s="30" t="s">
        <v>108</v>
      </c>
      <c r="B35" s="30" t="s">
        <v>55</v>
      </c>
      <c r="C35" s="56" t="s">
        <v>136</v>
      </c>
      <c r="D35" s="56" t="s">
        <v>137</v>
      </c>
      <c r="E35" s="30"/>
      <c r="F35" s="5"/>
    </row>
    <row r="36" spans="1:6">
      <c r="A36" s="30" t="s">
        <v>103</v>
      </c>
      <c r="B36" s="30" t="s">
        <v>168</v>
      </c>
      <c r="C36" s="56" t="s">
        <v>103</v>
      </c>
      <c r="D36" s="56" t="s">
        <v>142</v>
      </c>
      <c r="E36" s="30"/>
      <c r="F36" s="5"/>
    </row>
    <row r="37" spans="1:6">
      <c r="A37" s="30" t="s">
        <v>82</v>
      </c>
      <c r="B37" s="30" t="s">
        <v>164</v>
      </c>
      <c r="C37" s="56" t="s">
        <v>82</v>
      </c>
      <c r="D37" s="56" t="s">
        <v>82</v>
      </c>
      <c r="E37" s="30"/>
      <c r="F37" s="5"/>
    </row>
    <row r="38" spans="1:6" ht="27.75">
      <c r="A38" s="30" t="s">
        <v>71</v>
      </c>
      <c r="B38" s="30" t="s">
        <v>70</v>
      </c>
      <c r="C38" s="56" t="s">
        <v>143</v>
      </c>
      <c r="D38" s="56" t="s">
        <v>144</v>
      </c>
      <c r="E38" s="30"/>
      <c r="F38" s="5"/>
    </row>
    <row r="39" spans="1:6">
      <c r="A39" s="30" t="s">
        <v>65</v>
      </c>
      <c r="B39" s="30" t="s">
        <v>169</v>
      </c>
      <c r="C39" s="56" t="s">
        <v>136</v>
      </c>
      <c r="D39" s="56" t="s">
        <v>137</v>
      </c>
      <c r="E39" s="30"/>
      <c r="F39" s="5"/>
    </row>
    <row r="40" spans="1:6">
      <c r="A40" s="30" t="s">
        <v>119</v>
      </c>
      <c r="B40" s="30" t="s">
        <v>168</v>
      </c>
      <c r="C40" s="56"/>
      <c r="D40" s="56"/>
      <c r="E40" s="30" t="s">
        <v>162</v>
      </c>
      <c r="F40" s="5"/>
    </row>
    <row r="41" spans="1:6">
      <c r="A41" s="30" t="s">
        <v>42</v>
      </c>
      <c r="B41" s="30" t="s">
        <v>30</v>
      </c>
      <c r="C41" s="56"/>
      <c r="D41" s="56"/>
      <c r="E41" s="30" t="s">
        <v>162</v>
      </c>
      <c r="F41" s="5"/>
    </row>
    <row r="42" spans="1:6">
      <c r="A42" s="30" t="s">
        <v>40</v>
      </c>
      <c r="B42" s="30" t="s">
        <v>30</v>
      </c>
      <c r="C42" s="56"/>
      <c r="D42" s="56"/>
      <c r="E42" s="30" t="s">
        <v>162</v>
      </c>
      <c r="F42" s="5"/>
    </row>
    <row r="43" spans="1:6">
      <c r="A43" s="30" t="s">
        <v>35</v>
      </c>
      <c r="B43" s="30" t="s">
        <v>30</v>
      </c>
      <c r="C43" s="56"/>
      <c r="D43" s="56"/>
      <c r="E43" s="30" t="s">
        <v>162</v>
      </c>
      <c r="F43" s="5"/>
    </row>
    <row r="44" spans="1:6" ht="27.75">
      <c r="A44" s="61" t="s">
        <v>51</v>
      </c>
      <c r="B44" s="30" t="s">
        <v>166</v>
      </c>
      <c r="C44" s="56" t="s">
        <v>84</v>
      </c>
      <c r="D44" s="56" t="s">
        <v>145</v>
      </c>
      <c r="E44" s="57" t="s">
        <v>167</v>
      </c>
      <c r="F44" s="5"/>
    </row>
    <row r="45" spans="1:6">
      <c r="A45" s="30" t="s">
        <v>84</v>
      </c>
      <c r="B45" s="30" t="s">
        <v>164</v>
      </c>
      <c r="C45" s="56" t="s">
        <v>84</v>
      </c>
      <c r="D45" s="56" t="s">
        <v>145</v>
      </c>
      <c r="E45" s="30"/>
      <c r="F45" s="5"/>
    </row>
    <row r="46" spans="1:6">
      <c r="A46" s="30" t="s">
        <v>85</v>
      </c>
      <c r="B46" s="30" t="s">
        <v>83</v>
      </c>
      <c r="C46" s="56" t="s">
        <v>85</v>
      </c>
      <c r="D46" s="56" t="s">
        <v>146</v>
      </c>
      <c r="E46" s="30"/>
      <c r="F46" s="5"/>
    </row>
    <row r="47" spans="1:6">
      <c r="A47" s="30" t="s">
        <v>95</v>
      </c>
      <c r="B47" s="30" t="s">
        <v>94</v>
      </c>
      <c r="C47" s="56" t="s">
        <v>156</v>
      </c>
      <c r="D47" s="56" t="s">
        <v>157</v>
      </c>
      <c r="E47" s="30"/>
      <c r="F47" s="5"/>
    </row>
    <row r="48" spans="1:6">
      <c r="A48" s="30" t="s">
        <v>114</v>
      </c>
      <c r="B48" s="30" t="s">
        <v>169</v>
      </c>
      <c r="C48" s="56" t="s">
        <v>136</v>
      </c>
      <c r="D48" s="56" t="s">
        <v>137</v>
      </c>
      <c r="E48" s="30"/>
      <c r="F48" s="5"/>
    </row>
    <row r="49" spans="1:6">
      <c r="A49" s="58" t="s">
        <v>118</v>
      </c>
      <c r="B49" s="30" t="s">
        <v>170</v>
      </c>
      <c r="C49" s="56"/>
      <c r="D49" s="56"/>
      <c r="E49" s="30"/>
      <c r="F49" s="5"/>
    </row>
    <row r="50" spans="1:6">
      <c r="A50" s="58" t="s">
        <v>7</v>
      </c>
      <c r="B50" s="30" t="s">
        <v>5</v>
      </c>
      <c r="C50" s="56"/>
      <c r="D50" s="56"/>
      <c r="E50" s="30"/>
      <c r="F50" s="5"/>
    </row>
    <row r="51" spans="1:6">
      <c r="A51" s="30" t="s">
        <v>109</v>
      </c>
      <c r="B51" s="30" t="s">
        <v>171</v>
      </c>
      <c r="C51" s="56" t="s">
        <v>136</v>
      </c>
      <c r="D51" s="56" t="s">
        <v>137</v>
      </c>
      <c r="E51" s="30"/>
      <c r="F51" s="5"/>
    </row>
    <row r="52" spans="1:6">
      <c r="A52" s="61" t="s">
        <v>111</v>
      </c>
      <c r="B52" s="30" t="s">
        <v>166</v>
      </c>
      <c r="C52" s="56" t="s">
        <v>147</v>
      </c>
      <c r="D52" s="56" t="s">
        <v>148</v>
      </c>
      <c r="E52" s="57" t="s">
        <v>172</v>
      </c>
      <c r="F52" s="5"/>
    </row>
    <row r="53" spans="1:6">
      <c r="A53" s="58" t="s">
        <v>106</v>
      </c>
      <c r="B53" s="30" t="s">
        <v>168</v>
      </c>
      <c r="C53" s="56"/>
      <c r="D53" s="56"/>
      <c r="E53" s="57" t="s">
        <v>173</v>
      </c>
      <c r="F53" s="5"/>
    </row>
    <row r="54" spans="1:6">
      <c r="A54" s="30" t="s">
        <v>47</v>
      </c>
      <c r="B54" s="30" t="s">
        <v>174</v>
      </c>
      <c r="C54" s="56" t="s">
        <v>47</v>
      </c>
      <c r="D54" s="56" t="s">
        <v>149</v>
      </c>
      <c r="E54" s="30"/>
      <c r="F54" s="5"/>
    </row>
    <row r="55" spans="1:6" ht="27.75">
      <c r="A55" s="61" t="s">
        <v>52</v>
      </c>
      <c r="B55" s="30" t="s">
        <v>48</v>
      </c>
      <c r="C55" s="56" t="s">
        <v>127</v>
      </c>
      <c r="D55" s="56" t="s">
        <v>128</v>
      </c>
      <c r="E55" s="30"/>
      <c r="F55" s="5"/>
    </row>
    <row r="56" spans="1:6">
      <c r="A56" s="30" t="s">
        <v>45</v>
      </c>
      <c r="B56" s="30" t="s">
        <v>175</v>
      </c>
      <c r="C56" s="56" t="s">
        <v>45</v>
      </c>
      <c r="D56" s="56" t="s">
        <v>141</v>
      </c>
      <c r="E56" s="30"/>
      <c r="F56" s="5"/>
    </row>
    <row r="57" spans="1:6">
      <c r="A57" s="30" t="s">
        <v>96</v>
      </c>
      <c r="B57" s="30" t="s">
        <v>27</v>
      </c>
      <c r="C57" s="56"/>
      <c r="D57" s="56"/>
      <c r="E57" s="57" t="s">
        <v>176</v>
      </c>
      <c r="F57" s="5"/>
    </row>
    <row r="58" spans="1:6">
      <c r="A58" s="30" t="s">
        <v>112</v>
      </c>
      <c r="B58" s="30" t="s">
        <v>27</v>
      </c>
      <c r="C58" s="56" t="s">
        <v>112</v>
      </c>
      <c r="D58" s="56" t="s">
        <v>150</v>
      </c>
      <c r="E58" s="30"/>
      <c r="F58" s="5"/>
    </row>
    <row r="59" spans="1:6">
      <c r="A59" s="30" t="s">
        <v>88</v>
      </c>
      <c r="B59" s="30" t="s">
        <v>164</v>
      </c>
      <c r="C59" s="56" t="s">
        <v>88</v>
      </c>
      <c r="D59" s="56" t="s">
        <v>151</v>
      </c>
      <c r="E59" s="30"/>
      <c r="F59" s="5"/>
    </row>
    <row r="60" spans="1:6">
      <c r="A60" s="61" t="s">
        <v>105</v>
      </c>
      <c r="B60" s="30" t="s">
        <v>168</v>
      </c>
      <c r="C60" s="56" t="s">
        <v>103</v>
      </c>
      <c r="D60" s="56" t="s">
        <v>142</v>
      </c>
      <c r="E60" s="30"/>
      <c r="F60" s="5"/>
    </row>
    <row r="61" spans="1:6">
      <c r="A61" s="30" t="s">
        <v>54</v>
      </c>
      <c r="B61" s="30" t="s">
        <v>166</v>
      </c>
      <c r="C61" s="56" t="s">
        <v>54</v>
      </c>
      <c r="D61" s="56" t="s">
        <v>152</v>
      </c>
      <c r="E61" s="30"/>
      <c r="F61" s="5"/>
    </row>
    <row r="62" spans="1:6">
      <c r="A62" s="58" t="s">
        <v>115</v>
      </c>
      <c r="B62" s="30" t="s">
        <v>76</v>
      </c>
      <c r="C62" s="56"/>
      <c r="D62" s="56"/>
      <c r="E62" s="30" t="s">
        <v>177</v>
      </c>
      <c r="F62" s="5"/>
    </row>
    <row r="63" spans="1:6">
      <c r="A63" s="30" t="s">
        <v>36</v>
      </c>
      <c r="B63" s="30" t="s">
        <v>30</v>
      </c>
      <c r="C63" s="56" t="s">
        <v>153</v>
      </c>
      <c r="D63" s="56" t="s">
        <v>154</v>
      </c>
      <c r="E63" s="30"/>
      <c r="F63" s="5"/>
    </row>
    <row r="64" spans="1:6">
      <c r="A64" s="61" t="s">
        <v>120</v>
      </c>
      <c r="B64" s="30" t="s">
        <v>169</v>
      </c>
      <c r="C64" s="56" t="s">
        <v>136</v>
      </c>
      <c r="D64" s="56" t="s">
        <v>137</v>
      </c>
      <c r="E64" s="30"/>
      <c r="F64" s="5"/>
    </row>
    <row r="65" spans="1:6">
      <c r="A65" s="30" t="s">
        <v>90</v>
      </c>
      <c r="B65" s="30" t="s">
        <v>79</v>
      </c>
      <c r="C65" s="56" t="s">
        <v>90</v>
      </c>
      <c r="D65" s="56" t="s">
        <v>155</v>
      </c>
      <c r="E65" s="30"/>
      <c r="F65" s="5"/>
    </row>
    <row r="66" spans="1:6">
      <c r="A66" s="23" t="s">
        <v>22</v>
      </c>
      <c r="B66" s="23" t="s">
        <v>21</v>
      </c>
      <c r="C66" s="23"/>
      <c r="D66" s="23"/>
      <c r="E66" s="57" t="s">
        <v>172</v>
      </c>
    </row>
    <row r="68" spans="1:6">
      <c r="A68" s="62"/>
      <c r="B68" t="s">
        <v>178</v>
      </c>
    </row>
    <row r="69" spans="1:6">
      <c r="A69" s="44"/>
      <c r="B69" t="s">
        <v>179</v>
      </c>
    </row>
  </sheetData>
  <sheetProtection sheet="1" objects="1" scenarios="1"/>
  <autoFilter ref="A26:E26" xr:uid="{C80E9E5E-4A9E-4E19-BC39-6E81AE07B7F5}"/>
  <conditionalFormatting sqref="C2:C20">
    <cfRule type="containsText" dxfId="56" priority="1" operator="containsText" text="Pilot">
      <formula>NOT(ISERROR(SEARCH("Pilot",C2)))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B4D05-F3F9-4532-A905-E455FF3FF2CF}">
  <dimension ref="A1:Q16"/>
  <sheetViews>
    <sheetView workbookViewId="0">
      <selection activeCell="D13" sqref="D13"/>
    </sheetView>
  </sheetViews>
  <sheetFormatPr defaultColWidth="8.85546875" defaultRowHeight="15"/>
  <cols>
    <col min="1" max="1" width="9.140625" style="7"/>
    <col min="2" max="2" width="13.85546875" style="7" customWidth="1"/>
    <col min="3" max="6" width="9.140625" style="7"/>
    <col min="7" max="8" width="11" style="7" customWidth="1"/>
    <col min="9" max="10" width="9.140625" style="7"/>
    <col min="11" max="11" width="12.28515625" style="7" customWidth="1"/>
    <col min="12" max="15" width="9.140625" style="7"/>
    <col min="16" max="17" width="10.7109375" style="7" customWidth="1"/>
  </cols>
  <sheetData>
    <row r="1" spans="1:17">
      <c r="A1" s="8" t="s">
        <v>180</v>
      </c>
      <c r="B1" s="9"/>
      <c r="J1" s="8" t="s">
        <v>181</v>
      </c>
      <c r="K1" s="9"/>
      <c r="L1" s="10"/>
    </row>
    <row r="3" spans="1:17" s="2" customFormat="1" ht="27.75">
      <c r="A3" s="11" t="s">
        <v>159</v>
      </c>
      <c r="B3" s="11" t="s">
        <v>182</v>
      </c>
      <c r="C3" s="11" t="s">
        <v>183</v>
      </c>
      <c r="D3" s="11" t="s">
        <v>184</v>
      </c>
      <c r="E3" s="11" t="s">
        <v>185</v>
      </c>
      <c r="F3" s="11" t="s">
        <v>186</v>
      </c>
      <c r="G3" s="11" t="s">
        <v>187</v>
      </c>
      <c r="H3" s="11" t="s">
        <v>161</v>
      </c>
      <c r="I3" s="6"/>
      <c r="J3" s="11" t="s">
        <v>159</v>
      </c>
      <c r="K3" s="11" t="s">
        <v>182</v>
      </c>
      <c r="L3" s="11" t="s">
        <v>183</v>
      </c>
      <c r="M3" s="11" t="s">
        <v>184</v>
      </c>
      <c r="N3" s="11" t="s">
        <v>185</v>
      </c>
      <c r="O3" s="11" t="s">
        <v>186</v>
      </c>
      <c r="P3" s="11" t="s">
        <v>187</v>
      </c>
      <c r="Q3" s="11" t="s">
        <v>161</v>
      </c>
    </row>
    <row r="4" spans="1:17">
      <c r="A4" s="12" t="s">
        <v>188</v>
      </c>
      <c r="B4" s="14" t="s">
        <v>189</v>
      </c>
      <c r="C4" s="12" t="s">
        <v>190</v>
      </c>
      <c r="D4" s="12" t="s">
        <v>190</v>
      </c>
      <c r="E4" s="12" t="s">
        <v>190</v>
      </c>
      <c r="F4" s="12" t="s">
        <v>190</v>
      </c>
      <c r="G4" s="12" t="s">
        <v>190</v>
      </c>
      <c r="H4" s="12"/>
      <c r="J4" s="12" t="s">
        <v>188</v>
      </c>
      <c r="K4" s="14" t="s">
        <v>189</v>
      </c>
      <c r="L4" s="12" t="s">
        <v>190</v>
      </c>
      <c r="M4" s="12" t="s">
        <v>190</v>
      </c>
      <c r="N4" s="12" t="s">
        <v>190</v>
      </c>
      <c r="O4" s="12" t="s">
        <v>190</v>
      </c>
      <c r="P4" s="12" t="s">
        <v>190</v>
      </c>
      <c r="Q4" s="12"/>
    </row>
    <row r="5" spans="1:17">
      <c r="A5" s="12" t="s">
        <v>188</v>
      </c>
      <c r="B5" s="14" t="s">
        <v>191</v>
      </c>
      <c r="C5" s="12" t="s">
        <v>190</v>
      </c>
      <c r="D5" s="12" t="s">
        <v>190</v>
      </c>
      <c r="E5" s="12" t="s">
        <v>190</v>
      </c>
      <c r="F5" s="12" t="s">
        <v>190</v>
      </c>
      <c r="G5" s="12" t="s">
        <v>190</v>
      </c>
      <c r="H5" s="12"/>
      <c r="J5" s="12" t="s">
        <v>188</v>
      </c>
      <c r="K5" s="14" t="s">
        <v>191</v>
      </c>
      <c r="L5" s="12" t="s">
        <v>190</v>
      </c>
      <c r="M5" s="12" t="s">
        <v>190</v>
      </c>
      <c r="N5" s="12" t="s">
        <v>190</v>
      </c>
      <c r="O5" s="12" t="s">
        <v>190</v>
      </c>
      <c r="P5" s="12" t="s">
        <v>192</v>
      </c>
      <c r="Q5" s="12" t="s">
        <v>193</v>
      </c>
    </row>
    <row r="6" spans="1:17">
      <c r="A6" s="12" t="s">
        <v>188</v>
      </c>
      <c r="B6" s="14" t="s">
        <v>194</v>
      </c>
      <c r="C6" s="12" t="s">
        <v>190</v>
      </c>
      <c r="D6" s="12" t="s">
        <v>190</v>
      </c>
      <c r="E6" s="12" t="s">
        <v>190</v>
      </c>
      <c r="F6" s="12" t="s">
        <v>190</v>
      </c>
      <c r="G6" s="12" t="s">
        <v>190</v>
      </c>
      <c r="H6" s="12"/>
      <c r="J6" s="12" t="s">
        <v>188</v>
      </c>
      <c r="K6" s="14" t="s">
        <v>194</v>
      </c>
      <c r="L6" s="12" t="s">
        <v>190</v>
      </c>
      <c r="M6" s="12" t="s">
        <v>190</v>
      </c>
      <c r="N6" s="12" t="s">
        <v>190</v>
      </c>
      <c r="O6" s="12" t="s">
        <v>190</v>
      </c>
      <c r="P6" s="12" t="s">
        <v>192</v>
      </c>
      <c r="Q6" s="12"/>
    </row>
    <row r="7" spans="1:17">
      <c r="A7" s="12" t="s">
        <v>188</v>
      </c>
      <c r="B7" s="14" t="s">
        <v>195</v>
      </c>
      <c r="C7" s="12" t="s">
        <v>190</v>
      </c>
      <c r="D7" s="12" t="s">
        <v>190</v>
      </c>
      <c r="E7" s="12" t="s">
        <v>190</v>
      </c>
      <c r="F7" s="12" t="s">
        <v>190</v>
      </c>
      <c r="G7" s="12" t="s">
        <v>190</v>
      </c>
      <c r="H7" s="12"/>
      <c r="J7" s="12" t="s">
        <v>188</v>
      </c>
      <c r="K7" s="15" t="s">
        <v>195</v>
      </c>
      <c r="L7" s="12" t="s">
        <v>192</v>
      </c>
      <c r="M7" s="12" t="s">
        <v>192</v>
      </c>
      <c r="N7" s="12" t="s">
        <v>192</v>
      </c>
      <c r="O7" s="12" t="s">
        <v>192</v>
      </c>
      <c r="P7" s="12" t="s">
        <v>192</v>
      </c>
      <c r="Q7" s="12"/>
    </row>
    <row r="8" spans="1:17">
      <c r="A8" s="12" t="s">
        <v>188</v>
      </c>
      <c r="B8" s="14" t="s">
        <v>196</v>
      </c>
      <c r="C8" s="12" t="s">
        <v>190</v>
      </c>
      <c r="D8" s="12" t="s">
        <v>190</v>
      </c>
      <c r="E8" s="12" t="s">
        <v>190</v>
      </c>
      <c r="F8" s="12" t="s">
        <v>190</v>
      </c>
      <c r="G8" s="12" t="s">
        <v>190</v>
      </c>
      <c r="H8" s="12"/>
      <c r="J8" s="12" t="s">
        <v>188</v>
      </c>
      <c r="K8" s="15" t="s">
        <v>196</v>
      </c>
      <c r="L8" s="12" t="s">
        <v>192</v>
      </c>
      <c r="M8" s="12" t="s">
        <v>192</v>
      </c>
      <c r="N8" s="12" t="s">
        <v>192</v>
      </c>
      <c r="O8" s="12" t="s">
        <v>192</v>
      </c>
      <c r="P8" s="12" t="s">
        <v>192</v>
      </c>
      <c r="Q8" s="12"/>
    </row>
    <row r="9" spans="1:17">
      <c r="A9" s="12" t="s">
        <v>188</v>
      </c>
      <c r="B9" s="14" t="s">
        <v>197</v>
      </c>
      <c r="C9" s="12" t="s">
        <v>190</v>
      </c>
      <c r="D9" s="12" t="s">
        <v>190</v>
      </c>
      <c r="E9" s="12" t="s">
        <v>190</v>
      </c>
      <c r="F9" s="12" t="s">
        <v>190</v>
      </c>
      <c r="G9" s="12" t="s">
        <v>190</v>
      </c>
      <c r="H9" s="12"/>
      <c r="J9" s="12" t="s">
        <v>188</v>
      </c>
      <c r="K9" s="14" t="s">
        <v>197</v>
      </c>
      <c r="L9" s="12" t="s">
        <v>190</v>
      </c>
      <c r="M9" s="12" t="s">
        <v>190</v>
      </c>
      <c r="N9" s="12" t="s">
        <v>190</v>
      </c>
      <c r="O9" s="12" t="s">
        <v>190</v>
      </c>
      <c r="P9" s="12" t="s">
        <v>192</v>
      </c>
      <c r="Q9" s="12" t="s">
        <v>193</v>
      </c>
    </row>
    <row r="10" spans="1:17">
      <c r="A10" s="12" t="s">
        <v>188</v>
      </c>
      <c r="B10" s="14" t="s">
        <v>198</v>
      </c>
      <c r="C10" s="12" t="s">
        <v>190</v>
      </c>
      <c r="D10" s="12" t="s">
        <v>190</v>
      </c>
      <c r="E10" s="12" t="s">
        <v>190</v>
      </c>
      <c r="F10" s="12" t="s">
        <v>190</v>
      </c>
      <c r="G10" s="12" t="s">
        <v>192</v>
      </c>
      <c r="H10" s="12" t="s">
        <v>199</v>
      </c>
      <c r="J10" s="12" t="s">
        <v>188</v>
      </c>
      <c r="K10" s="14" t="s">
        <v>198</v>
      </c>
      <c r="L10" s="12" t="s">
        <v>190</v>
      </c>
      <c r="M10" s="12" t="s">
        <v>190</v>
      </c>
      <c r="N10" s="12" t="s">
        <v>190</v>
      </c>
      <c r="O10" s="12" t="s">
        <v>190</v>
      </c>
      <c r="P10" s="12" t="s">
        <v>192</v>
      </c>
      <c r="Q10" s="12" t="s">
        <v>199</v>
      </c>
    </row>
    <row r="11" spans="1:17">
      <c r="A11" s="12" t="s">
        <v>188</v>
      </c>
      <c r="B11" s="14" t="s">
        <v>200</v>
      </c>
      <c r="C11" s="12" t="s">
        <v>190</v>
      </c>
      <c r="D11" s="12" t="s">
        <v>190</v>
      </c>
      <c r="E11" s="12" t="s">
        <v>190</v>
      </c>
      <c r="F11" s="12" t="s">
        <v>190</v>
      </c>
      <c r="G11" s="12" t="s">
        <v>192</v>
      </c>
      <c r="H11" s="12" t="s">
        <v>199</v>
      </c>
      <c r="J11" s="12" t="s">
        <v>188</v>
      </c>
      <c r="K11" s="14" t="s">
        <v>200</v>
      </c>
      <c r="L11" s="12" t="s">
        <v>190</v>
      </c>
      <c r="M11" s="12" t="s">
        <v>190</v>
      </c>
      <c r="N11" s="12" t="s">
        <v>190</v>
      </c>
      <c r="O11" s="12" t="s">
        <v>190</v>
      </c>
      <c r="P11" s="12" t="s">
        <v>192</v>
      </c>
      <c r="Q11" s="12" t="s">
        <v>199</v>
      </c>
    </row>
    <row r="12" spans="1:17">
      <c r="A12" s="12" t="s">
        <v>188</v>
      </c>
      <c r="B12" s="14" t="s">
        <v>201</v>
      </c>
      <c r="C12" s="12" t="s">
        <v>190</v>
      </c>
      <c r="D12" s="12" t="s">
        <v>190</v>
      </c>
      <c r="E12" s="12" t="s">
        <v>190</v>
      </c>
      <c r="F12" s="12" t="s">
        <v>190</v>
      </c>
      <c r="G12" s="12" t="s">
        <v>192</v>
      </c>
      <c r="H12" s="12" t="s">
        <v>193</v>
      </c>
      <c r="J12" s="12" t="s">
        <v>188</v>
      </c>
      <c r="K12" s="14" t="s">
        <v>201</v>
      </c>
      <c r="L12" s="12" t="s">
        <v>190</v>
      </c>
      <c r="M12" s="12" t="s">
        <v>190</v>
      </c>
      <c r="N12" s="12" t="s">
        <v>190</v>
      </c>
      <c r="O12" s="12" t="s">
        <v>190</v>
      </c>
      <c r="P12" s="12" t="s">
        <v>192</v>
      </c>
      <c r="Q12" s="12" t="s">
        <v>193</v>
      </c>
    </row>
    <row r="13" spans="1:17">
      <c r="A13" s="17" t="s">
        <v>202</v>
      </c>
      <c r="B13" s="14" t="s">
        <v>194</v>
      </c>
      <c r="C13" s="12" t="s">
        <v>190</v>
      </c>
      <c r="D13" s="12" t="s">
        <v>190</v>
      </c>
      <c r="E13" s="12" t="s">
        <v>190</v>
      </c>
      <c r="F13" s="12" t="s">
        <v>190</v>
      </c>
      <c r="G13" s="12" t="s">
        <v>190</v>
      </c>
      <c r="H13" s="12"/>
      <c r="J13" s="17" t="s">
        <v>202</v>
      </c>
      <c r="K13" s="14" t="s">
        <v>194</v>
      </c>
      <c r="L13" s="12" t="s">
        <v>190</v>
      </c>
      <c r="M13" s="12" t="s">
        <v>190</v>
      </c>
      <c r="N13" s="12" t="s">
        <v>190</v>
      </c>
      <c r="O13" s="12" t="s">
        <v>190</v>
      </c>
      <c r="P13" s="12" t="s">
        <v>192</v>
      </c>
      <c r="Q13" s="12"/>
    </row>
    <row r="14" spans="1:17">
      <c r="A14" s="17" t="s">
        <v>202</v>
      </c>
      <c r="B14" s="14" t="s">
        <v>195</v>
      </c>
      <c r="C14" s="12" t="s">
        <v>190</v>
      </c>
      <c r="D14" s="12" t="s">
        <v>190</v>
      </c>
      <c r="E14" s="12" t="s">
        <v>190</v>
      </c>
      <c r="F14" s="12" t="s">
        <v>190</v>
      </c>
      <c r="G14" s="12" t="s">
        <v>190</v>
      </c>
      <c r="H14" s="12"/>
      <c r="J14" s="17" t="s">
        <v>202</v>
      </c>
      <c r="K14" s="15" t="s">
        <v>195</v>
      </c>
      <c r="L14" s="12" t="s">
        <v>192</v>
      </c>
      <c r="M14" s="12" t="s">
        <v>192</v>
      </c>
      <c r="N14" s="12" t="s">
        <v>192</v>
      </c>
      <c r="O14" s="12" t="s">
        <v>192</v>
      </c>
      <c r="P14" s="12" t="s">
        <v>192</v>
      </c>
      <c r="Q14" s="12"/>
    </row>
    <row r="15" spans="1:17">
      <c r="A15" s="17" t="s">
        <v>202</v>
      </c>
      <c r="B15" s="16" t="s">
        <v>203</v>
      </c>
      <c r="C15" s="12" t="s">
        <v>192</v>
      </c>
      <c r="D15" s="12" t="s">
        <v>192</v>
      </c>
      <c r="E15" s="12" t="s">
        <v>192</v>
      </c>
      <c r="F15" s="12" t="s">
        <v>192</v>
      </c>
      <c r="G15" s="12" t="s">
        <v>192</v>
      </c>
      <c r="H15" s="12"/>
      <c r="J15" s="17" t="s">
        <v>202</v>
      </c>
      <c r="K15" s="15" t="s">
        <v>203</v>
      </c>
      <c r="L15" s="12" t="s">
        <v>192</v>
      </c>
      <c r="M15" s="12" t="s">
        <v>192</v>
      </c>
      <c r="N15" s="12" t="s">
        <v>192</v>
      </c>
      <c r="O15" s="12" t="s">
        <v>192</v>
      </c>
      <c r="P15" s="12" t="s">
        <v>192</v>
      </c>
      <c r="Q15" s="12"/>
    </row>
    <row r="16" spans="1:17">
      <c r="A16" s="17" t="s">
        <v>202</v>
      </c>
      <c r="B16" s="14" t="s">
        <v>204</v>
      </c>
      <c r="C16" s="12" t="s">
        <v>190</v>
      </c>
      <c r="D16" s="12" t="s">
        <v>190</v>
      </c>
      <c r="E16" s="12" t="s">
        <v>190</v>
      </c>
      <c r="F16" s="12" t="s">
        <v>192</v>
      </c>
      <c r="G16" s="12" t="s">
        <v>190</v>
      </c>
      <c r="H16" s="12"/>
      <c r="J16" s="17" t="s">
        <v>202</v>
      </c>
      <c r="K16" s="15" t="s">
        <v>204</v>
      </c>
      <c r="L16" s="12" t="s">
        <v>192</v>
      </c>
      <c r="M16" s="12" t="s">
        <v>192</v>
      </c>
      <c r="N16" s="12" t="s">
        <v>192</v>
      </c>
      <c r="O16" s="12" t="s">
        <v>192</v>
      </c>
      <c r="P16" s="12" t="s">
        <v>192</v>
      </c>
      <c r="Q16" s="12"/>
    </row>
  </sheetData>
  <sheetProtection sheet="1" objects="1" scenarios="1"/>
  <conditionalFormatting sqref="C1:Q1048576">
    <cfRule type="beginsWith" dxfId="55" priority="1" operator="beginsWith" text="Y">
      <formula>LEFT(C1,LEN("Y"))="Y"</formula>
    </cfRule>
    <cfRule type="beginsWith" dxfId="54" priority="2" operator="beginsWith" text="N">
      <formula>LEFT(C1,LEN("N"))="N"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CC6A-46EC-4217-BB41-37F9EB4EEEFB}">
  <sheetPr filterMode="1">
    <tabColor theme="6" tint="0.79998168889431442"/>
  </sheetPr>
  <dimension ref="A1:R381"/>
  <sheetViews>
    <sheetView zoomScale="120" zoomScaleNormal="120" workbookViewId="0">
      <pane ySplit="1" topLeftCell="A447" activePane="bottomLeft" state="frozen"/>
      <selection pane="bottomLeft"/>
      <selection activeCell="A14" sqref="A14"/>
    </sheetView>
  </sheetViews>
  <sheetFormatPr defaultColWidth="18.28515625" defaultRowHeight="15"/>
  <cols>
    <col min="1" max="1" width="17.28515625" bestFit="1" customWidth="1"/>
    <col min="2" max="2" width="35" customWidth="1"/>
    <col min="3" max="3" width="25.85546875" bestFit="1" customWidth="1"/>
    <col min="7" max="7" width="18.28515625" style="4"/>
    <col min="8" max="8" width="22.85546875" style="266" bestFit="1" customWidth="1"/>
    <col min="9" max="9" width="28" style="266" bestFit="1" customWidth="1"/>
    <col min="10" max="10" width="21.42578125" style="266" bestFit="1" customWidth="1"/>
    <col min="11" max="11" width="19.7109375" style="266" bestFit="1" customWidth="1"/>
    <col min="12" max="13" width="18.28515625" style="266"/>
    <col min="15" max="15" width="18.28515625" style="138"/>
    <col min="16" max="17" width="18.28515625" style="4"/>
  </cols>
  <sheetData>
    <row r="1" spans="1:18" s="2" customFormat="1" ht="27.75">
      <c r="A1" s="1" t="s">
        <v>3</v>
      </c>
      <c r="B1" s="1" t="s">
        <v>205</v>
      </c>
      <c r="C1" s="36" t="s">
        <v>206</v>
      </c>
      <c r="D1" s="236" t="s">
        <v>207</v>
      </c>
      <c r="E1" s="36" t="s">
        <v>2</v>
      </c>
      <c r="F1" s="236" t="s">
        <v>208</v>
      </c>
      <c r="G1" s="36" t="s">
        <v>1</v>
      </c>
      <c r="H1" s="286" t="s">
        <v>202</v>
      </c>
      <c r="I1" s="286" t="s">
        <v>209</v>
      </c>
      <c r="J1" s="287" t="s">
        <v>210</v>
      </c>
      <c r="K1" s="288" t="s">
        <v>211</v>
      </c>
      <c r="L1" s="289" t="s">
        <v>212</v>
      </c>
      <c r="M1" s="288" t="s">
        <v>213</v>
      </c>
      <c r="N1" s="1" t="s">
        <v>214</v>
      </c>
      <c r="O1" s="234" t="s">
        <v>215</v>
      </c>
      <c r="P1" s="235" t="s">
        <v>216</v>
      </c>
      <c r="Q1" s="36" t="s">
        <v>217</v>
      </c>
      <c r="R1" s="2" t="s">
        <v>218</v>
      </c>
    </row>
    <row r="2" spans="1:18" hidden="1">
      <c r="A2" s="3" t="s">
        <v>82</v>
      </c>
      <c r="B2" s="18" t="s">
        <v>219</v>
      </c>
      <c r="C2" s="3" t="s">
        <v>220</v>
      </c>
      <c r="D2" s="3"/>
      <c r="E2" s="3" t="s">
        <v>80</v>
      </c>
      <c r="F2" s="3"/>
      <c r="G2" s="3" t="s">
        <v>79</v>
      </c>
      <c r="H2" s="290" t="s">
        <v>221</v>
      </c>
      <c r="I2" s="291" t="s">
        <v>222</v>
      </c>
      <c r="J2" s="291"/>
      <c r="K2" s="291" t="s">
        <v>223</v>
      </c>
      <c r="L2" s="290" t="s">
        <v>224</v>
      </c>
      <c r="M2" s="291" t="s">
        <v>225</v>
      </c>
      <c r="N2" s="3" t="s">
        <v>226</v>
      </c>
      <c r="O2" s="137" t="str" cm="1">
        <f t="array" ref="O2">IFERROR(
  INDEX('Scrum Teams'!B$2:B$1010,
    MATCH(1,
      (B2='Scrum Teams'!F$2:F$1010) +
      (B2='Scrum Teams'!G$2:G$1010) +
      (B2='Scrum Teams'!H$2:H$1010) +
      (B2='Scrum Teams'!I$2:I$1010) +
      (B2='Scrum Teams'!J$2:J$1010) +
      (B2='Scrum Teams'!K$2:K$1010) +
      (B2='Scrum Teams'!L$2:L$1010) +
      (B2='Scrum Teams'!M$2:M$1010) +
      (B2='Scrum Teams'!N$2:N$1010) +
      (B2='Scrum Teams'!O$2:O$1010) +
      (B2='Scrum Teams'!P$2:P$1010) +
      (B2='Scrum Teams'!Q$2:Q$1010),
    0)
  ),
  "Not found"
)</f>
        <v>Wolverine</v>
      </c>
      <c r="P2" s="194" t="s">
        <v>82</v>
      </c>
      <c r="Q2" s="37" t="s">
        <v>227</v>
      </c>
    </row>
    <row r="3" spans="1:18" hidden="1">
      <c r="A3" s="3" t="s">
        <v>82</v>
      </c>
      <c r="B3" s="18" t="s">
        <v>228</v>
      </c>
      <c r="C3" s="3" t="s">
        <v>220</v>
      </c>
      <c r="D3" s="3"/>
      <c r="E3" s="3" t="s">
        <v>80</v>
      </c>
      <c r="F3" s="3"/>
      <c r="G3" s="3" t="s">
        <v>79</v>
      </c>
      <c r="H3" s="290" t="s">
        <v>229</v>
      </c>
      <c r="I3" s="291" t="s">
        <v>222</v>
      </c>
      <c r="J3" s="291"/>
      <c r="K3" s="291" t="s">
        <v>223</v>
      </c>
      <c r="L3" s="290" t="s">
        <v>224</v>
      </c>
      <c r="M3" s="291" t="s">
        <v>225</v>
      </c>
      <c r="N3" s="3" t="s">
        <v>226</v>
      </c>
      <c r="O3" s="137" t="str" cm="1">
        <f t="array" ref="O3">IFERROR(
  INDEX('Scrum Teams'!B$2:B$1010,
    MATCH(1,
      (B3='Scrum Teams'!F$2:F$1010) +
      (B3='Scrum Teams'!G$2:G$1010) +
      (B3='Scrum Teams'!H$2:H$1010) +
      (B3='Scrum Teams'!I$2:I$1010) +
      (B3='Scrum Teams'!J$2:J$1010) +
      (B3='Scrum Teams'!K$2:K$1010) +
      (B3='Scrum Teams'!L$2:L$1010) +
      (B3='Scrum Teams'!M$2:M$1010) +
      (B3='Scrum Teams'!N$2:N$1010) +
      (B3='Scrum Teams'!O$2:O$1010) +
      (B3='Scrum Teams'!P$2:P$1010) +
      (B3='Scrum Teams'!Q$2:Q$1010),
    0)
  ),
  "Not found"
)</f>
        <v>Wolverine</v>
      </c>
      <c r="P3" s="194" t="s">
        <v>82</v>
      </c>
      <c r="Q3" s="37" t="s">
        <v>227</v>
      </c>
    </row>
    <row r="4" spans="1:18" hidden="1">
      <c r="A4" s="3" t="s">
        <v>82</v>
      </c>
      <c r="B4" s="18" t="s">
        <v>230</v>
      </c>
      <c r="C4" s="3" t="s">
        <v>231</v>
      </c>
      <c r="D4" s="3"/>
      <c r="E4" s="3" t="s">
        <v>80</v>
      </c>
      <c r="F4" s="3"/>
      <c r="G4" s="3" t="s">
        <v>79</v>
      </c>
      <c r="H4" s="290" t="s">
        <v>222</v>
      </c>
      <c r="I4" s="291"/>
      <c r="J4" s="291"/>
      <c r="K4" s="291" t="s">
        <v>223</v>
      </c>
      <c r="L4" s="290" t="s">
        <v>224</v>
      </c>
      <c r="M4" s="291" t="s">
        <v>225</v>
      </c>
      <c r="N4" s="3" t="s">
        <v>226</v>
      </c>
      <c r="O4" s="137" t="str" cm="1">
        <f t="array" ref="O4">IFERROR(
  INDEX('Scrum Teams'!B$2:B$1010,
    MATCH(1,
      (B4='Scrum Teams'!F$2:F$1010) +
      (B4='Scrum Teams'!G$2:G$1010) +
      (B4='Scrum Teams'!H$2:H$1010) +
      (B4='Scrum Teams'!I$2:I$1010) +
      (B4='Scrum Teams'!J$2:J$1010) +
      (B4='Scrum Teams'!K$2:K$1010) +
      (B4='Scrum Teams'!L$2:L$1010) +
      (B4='Scrum Teams'!M$2:M$1010) +
      (B4='Scrum Teams'!N$2:N$1010) +
      (B4='Scrum Teams'!O$2:O$1010) +
      (B4='Scrum Teams'!P$2:P$1010) +
      (B4='Scrum Teams'!Q$2:Q$1010),
    0)
  ),
  "Not found"
)</f>
        <v>Gambit</v>
      </c>
      <c r="P4" s="194" t="s">
        <v>82</v>
      </c>
      <c r="Q4" s="37" t="s">
        <v>227</v>
      </c>
    </row>
    <row r="5" spans="1:18" hidden="1">
      <c r="A5" s="3" t="s">
        <v>82</v>
      </c>
      <c r="B5" s="18" t="s">
        <v>232</v>
      </c>
      <c r="C5" s="3" t="s">
        <v>231</v>
      </c>
      <c r="D5" s="3"/>
      <c r="E5" s="3" t="s">
        <v>80</v>
      </c>
      <c r="F5" s="3"/>
      <c r="G5" s="3" t="s">
        <v>79</v>
      </c>
      <c r="H5" s="290" t="s">
        <v>221</v>
      </c>
      <c r="I5" s="291" t="s">
        <v>222</v>
      </c>
      <c r="J5" s="291"/>
      <c r="K5" s="291" t="s">
        <v>223</v>
      </c>
      <c r="L5" s="290" t="s">
        <v>224</v>
      </c>
      <c r="M5" s="291" t="s">
        <v>225</v>
      </c>
      <c r="N5" s="3" t="s">
        <v>226</v>
      </c>
      <c r="O5" s="137" t="str" cm="1">
        <f t="array" ref="O5">IFERROR(
  INDEX('Scrum Teams'!B$2:B$1010,
    MATCH(1,
      (B5='Scrum Teams'!F$2:F$1010) +
      (B5='Scrum Teams'!G$2:G$1010) +
      (B5='Scrum Teams'!H$2:H$1010) +
      (B5='Scrum Teams'!I$2:I$1010) +
      (B5='Scrum Teams'!J$2:J$1010) +
      (B5='Scrum Teams'!K$2:K$1010) +
      (B5='Scrum Teams'!L$2:L$1010) +
      (B5='Scrum Teams'!M$2:M$1010) +
      (B5='Scrum Teams'!N$2:N$1010) +
      (B5='Scrum Teams'!O$2:O$1010) +
      (B5='Scrum Teams'!P$2:P$1010) +
      (B5='Scrum Teams'!Q$2:Q$1010),
    0)
  ),
  "Not found"
)</f>
        <v>Mystique</v>
      </c>
      <c r="P5" s="194" t="s">
        <v>82</v>
      </c>
      <c r="Q5" s="37" t="s">
        <v>227</v>
      </c>
    </row>
    <row r="6" spans="1:18" hidden="1">
      <c r="A6" s="3" t="s">
        <v>82</v>
      </c>
      <c r="B6" s="18" t="s">
        <v>233</v>
      </c>
      <c r="C6" s="3" t="s">
        <v>234</v>
      </c>
      <c r="D6" s="3"/>
      <c r="E6" s="3" t="s">
        <v>80</v>
      </c>
      <c r="F6" s="3"/>
      <c r="G6" s="3" t="s">
        <v>79</v>
      </c>
      <c r="H6" s="290" t="s">
        <v>229</v>
      </c>
      <c r="I6" s="291" t="s">
        <v>222</v>
      </c>
      <c r="J6" s="291"/>
      <c r="K6" s="291" t="s">
        <v>223</v>
      </c>
      <c r="L6" s="290" t="s">
        <v>224</v>
      </c>
      <c r="M6" s="291" t="s">
        <v>225</v>
      </c>
      <c r="N6" s="3" t="s">
        <v>226</v>
      </c>
      <c r="O6" s="137" t="str" cm="1">
        <f t="array" ref="O6">IFERROR(
  INDEX('Scrum Teams'!B$2:B$1010,
    MATCH(1,
      (B6='Scrum Teams'!F$2:F$1010) +
      (B6='Scrum Teams'!G$2:G$1010) +
      (B6='Scrum Teams'!H$2:H$1010) +
      (B6='Scrum Teams'!I$2:I$1010) +
      (B6='Scrum Teams'!J$2:J$1010) +
      (B6='Scrum Teams'!K$2:K$1010) +
      (B6='Scrum Teams'!L$2:L$1010) +
      (B6='Scrum Teams'!M$2:M$1010) +
      (B6='Scrum Teams'!N$2:N$1010) +
      (B6='Scrum Teams'!O$2:O$1010) +
      (B6='Scrum Teams'!P$2:P$1010) +
      (B6='Scrum Teams'!Q$2:Q$1010),
    0)
  ),
  "Not found"
)</f>
        <v>Storm</v>
      </c>
      <c r="P6" s="194" t="s">
        <v>82</v>
      </c>
      <c r="Q6" s="37" t="s">
        <v>227</v>
      </c>
    </row>
    <row r="7" spans="1:18" hidden="1">
      <c r="A7" s="3" t="s">
        <v>82</v>
      </c>
      <c r="B7" s="18" t="s">
        <v>235</v>
      </c>
      <c r="C7" s="3" t="s">
        <v>234</v>
      </c>
      <c r="D7" s="3"/>
      <c r="E7" s="3" t="s">
        <v>80</v>
      </c>
      <c r="F7" s="3"/>
      <c r="G7" s="3" t="s">
        <v>79</v>
      </c>
      <c r="H7" s="290" t="s">
        <v>229</v>
      </c>
      <c r="I7" s="291" t="s">
        <v>222</v>
      </c>
      <c r="J7" s="291"/>
      <c r="K7" s="291" t="s">
        <v>223</v>
      </c>
      <c r="L7" s="290" t="s">
        <v>224</v>
      </c>
      <c r="M7" s="291" t="s">
        <v>225</v>
      </c>
      <c r="N7" s="3" t="s">
        <v>226</v>
      </c>
      <c r="O7" s="137" t="str" cm="1">
        <f t="array" ref="O7">IFERROR(
  INDEX('Scrum Teams'!B$2:B$1010,
    MATCH(1,
      (B7='Scrum Teams'!F$2:F$1010) +
      (B7='Scrum Teams'!G$2:G$1010) +
      (B7='Scrum Teams'!H$2:H$1010) +
      (B7='Scrum Teams'!I$2:I$1010) +
      (B7='Scrum Teams'!J$2:J$1010) +
      (B7='Scrum Teams'!K$2:K$1010) +
      (B7='Scrum Teams'!L$2:L$1010) +
      (B7='Scrum Teams'!M$2:M$1010) +
      (B7='Scrum Teams'!N$2:N$1010) +
      (B7='Scrum Teams'!O$2:O$1010) +
      (B7='Scrum Teams'!P$2:P$1010) +
      (B7='Scrum Teams'!Q$2:Q$1010),
    0)
  ),
  "Not found"
)</f>
        <v>Storm</v>
      </c>
      <c r="P7" s="194" t="s">
        <v>82</v>
      </c>
      <c r="Q7" s="37" t="s">
        <v>227</v>
      </c>
    </row>
    <row r="8" spans="1:18" hidden="1">
      <c r="A8" s="3" t="s">
        <v>82</v>
      </c>
      <c r="B8" s="18" t="s">
        <v>236</v>
      </c>
      <c r="C8" s="3" t="s">
        <v>237</v>
      </c>
      <c r="D8" s="3"/>
      <c r="E8" s="3" t="s">
        <v>80</v>
      </c>
      <c r="F8" s="3"/>
      <c r="G8" s="3" t="s">
        <v>79</v>
      </c>
      <c r="H8" s="290" t="s">
        <v>229</v>
      </c>
      <c r="I8" s="291" t="s">
        <v>222</v>
      </c>
      <c r="J8" s="291"/>
      <c r="K8" s="291" t="s">
        <v>223</v>
      </c>
      <c r="L8" s="290" t="s">
        <v>224</v>
      </c>
      <c r="M8" s="291" t="s">
        <v>225</v>
      </c>
      <c r="N8" s="3" t="s">
        <v>226</v>
      </c>
      <c r="O8" s="137" t="str" cm="1">
        <f t="array" ref="O8">IFERROR(
  INDEX('Scrum Teams'!B$2:B$1010,
    MATCH(1,
      (B8='Scrum Teams'!F$2:F$1010) +
      (B8='Scrum Teams'!G$2:G$1010) +
      (B8='Scrum Teams'!H$2:H$1010) +
      (B8='Scrum Teams'!I$2:I$1010) +
      (B8='Scrum Teams'!J$2:J$1010) +
      (B8='Scrum Teams'!K$2:K$1010) +
      (B8='Scrum Teams'!L$2:L$1010) +
      (B8='Scrum Teams'!M$2:M$1010) +
      (B8='Scrum Teams'!N$2:N$1010) +
      (B8='Scrum Teams'!O$2:O$1010) +
      (B8='Scrum Teams'!P$2:P$1010) +
      (B8='Scrum Teams'!Q$2:Q$1010),
    0)
  ),
  "Not found"
)</f>
        <v>Bishop</v>
      </c>
      <c r="P8" s="194" t="s">
        <v>82</v>
      </c>
      <c r="Q8" s="37" t="s">
        <v>227</v>
      </c>
    </row>
    <row r="9" spans="1:18" hidden="1">
      <c r="A9" s="3" t="s">
        <v>82</v>
      </c>
      <c r="B9" s="18" t="s">
        <v>238</v>
      </c>
      <c r="C9" s="3" t="s">
        <v>237</v>
      </c>
      <c r="D9" s="3"/>
      <c r="E9" s="3" t="s">
        <v>80</v>
      </c>
      <c r="F9" s="3"/>
      <c r="G9" s="3" t="s">
        <v>79</v>
      </c>
      <c r="H9" s="290" t="s">
        <v>229</v>
      </c>
      <c r="I9" s="291" t="s">
        <v>222</v>
      </c>
      <c r="J9" s="291"/>
      <c r="K9" s="291" t="s">
        <v>223</v>
      </c>
      <c r="L9" s="290" t="s">
        <v>224</v>
      </c>
      <c r="M9" s="291" t="s">
        <v>225</v>
      </c>
      <c r="N9" s="3" t="s">
        <v>226</v>
      </c>
      <c r="O9" s="137" t="str" cm="1">
        <f t="array" ref="O9">IFERROR(
  INDEX('Scrum Teams'!B$2:B$1010,
    MATCH(1,
      (B9='Scrum Teams'!F$2:F$1010) +
      (B9='Scrum Teams'!G$2:G$1010) +
      (B9='Scrum Teams'!H$2:H$1010) +
      (B9='Scrum Teams'!I$2:I$1010) +
      (B9='Scrum Teams'!J$2:J$1010) +
      (B9='Scrum Teams'!K$2:K$1010) +
      (B9='Scrum Teams'!L$2:L$1010) +
      (B9='Scrum Teams'!M$2:M$1010) +
      (B9='Scrum Teams'!N$2:N$1010) +
      (B9='Scrum Teams'!O$2:O$1010) +
      (B9='Scrum Teams'!P$2:P$1010) +
      (B9='Scrum Teams'!Q$2:Q$1010),
    0)
  ),
  "Not found"
)</f>
        <v>Bishop</v>
      </c>
      <c r="P9" s="194" t="s">
        <v>82</v>
      </c>
      <c r="Q9" s="37" t="s">
        <v>227</v>
      </c>
    </row>
    <row r="10" spans="1:18" hidden="1">
      <c r="A10" s="3" t="s">
        <v>82</v>
      </c>
      <c r="B10" s="22" t="s">
        <v>239</v>
      </c>
      <c r="C10" s="3" t="s">
        <v>231</v>
      </c>
      <c r="D10" s="3"/>
      <c r="E10" s="3" t="s">
        <v>80</v>
      </c>
      <c r="F10" s="3"/>
      <c r="G10" s="3" t="s">
        <v>79</v>
      </c>
      <c r="H10" s="290" t="s">
        <v>221</v>
      </c>
      <c r="I10" s="291" t="s">
        <v>222</v>
      </c>
      <c r="J10" s="291"/>
      <c r="K10" s="291" t="s">
        <v>223</v>
      </c>
      <c r="L10" s="290" t="s">
        <v>224</v>
      </c>
      <c r="M10" s="291" t="s">
        <v>225</v>
      </c>
      <c r="N10" s="3" t="s">
        <v>226</v>
      </c>
      <c r="O10" s="137" t="str" cm="1">
        <f t="array" ref="O10">IFERROR(
  INDEX('Scrum Teams'!B$2:B$1010,
    MATCH(1,
      (B10='Scrum Teams'!F$2:F$1010) +
      (B10='Scrum Teams'!G$2:G$1010) +
      (B10='Scrum Teams'!H$2:H$1010) +
      (B10='Scrum Teams'!I$2:I$1010) +
      (B10='Scrum Teams'!J$2:J$1010) +
      (B10='Scrum Teams'!K$2:K$1010) +
      (B10='Scrum Teams'!L$2:L$1010) +
      (B10='Scrum Teams'!M$2:M$1010) +
      (B10='Scrum Teams'!N$2:N$1010) +
      (B10='Scrum Teams'!O$2:O$1010) +
      (B10='Scrum Teams'!P$2:P$1010) +
      (B10='Scrum Teams'!Q$2:Q$1010),
    0)
  ),
  "Not found"
)</f>
        <v>Mystique</v>
      </c>
      <c r="P10" s="194" t="s">
        <v>82</v>
      </c>
      <c r="Q10" s="37" t="s">
        <v>227</v>
      </c>
    </row>
    <row r="11" spans="1:18" hidden="1">
      <c r="A11" s="3" t="s">
        <v>82</v>
      </c>
      <c r="B11" s="22" t="s">
        <v>240</v>
      </c>
      <c r="C11" s="3" t="s">
        <v>231</v>
      </c>
      <c r="D11" s="3"/>
      <c r="E11" s="3" t="s">
        <v>80</v>
      </c>
      <c r="F11" s="3"/>
      <c r="G11" s="3" t="s">
        <v>79</v>
      </c>
      <c r="H11" s="290" t="s">
        <v>241</v>
      </c>
      <c r="I11" s="291" t="s">
        <v>242</v>
      </c>
      <c r="J11" s="291" t="s">
        <v>242</v>
      </c>
      <c r="K11" s="290" t="s">
        <v>224</v>
      </c>
      <c r="L11" s="290" t="s">
        <v>224</v>
      </c>
      <c r="M11" s="291" t="s">
        <v>225</v>
      </c>
      <c r="N11" s="3" t="s">
        <v>226</v>
      </c>
      <c r="O11" s="137" t="str" cm="1">
        <f t="array" ref="O11">IFERROR(
  INDEX('Scrum Teams'!B$2:B$1010,
    MATCH(1,
      (B11='Scrum Teams'!F$2:F$1010) +
      (B11='Scrum Teams'!G$2:G$1010) +
      (B11='Scrum Teams'!H$2:H$1010) +
      (B11='Scrum Teams'!I$2:I$1010) +
      (B11='Scrum Teams'!J$2:J$1010) +
      (B11='Scrum Teams'!K$2:K$1010) +
      (B11='Scrum Teams'!L$2:L$1010) +
      (B11='Scrum Teams'!M$2:M$1010) +
      (B11='Scrum Teams'!N$2:N$1010) +
      (B11='Scrum Teams'!O$2:O$1010) +
      (B11='Scrum Teams'!P$2:P$1010) +
      (B11='Scrum Teams'!Q$2:Q$1010),
    0)
  ),
  "Not found"
)</f>
        <v>Mystique</v>
      </c>
      <c r="P11" s="194" t="s">
        <v>82</v>
      </c>
      <c r="Q11" s="37" t="s">
        <v>227</v>
      </c>
    </row>
    <row r="12" spans="1:18" hidden="1">
      <c r="A12" s="3" t="s">
        <v>82</v>
      </c>
      <c r="B12" s="18" t="s">
        <v>243</v>
      </c>
      <c r="C12" s="3" t="s">
        <v>231</v>
      </c>
      <c r="D12" s="3"/>
      <c r="E12" s="3" t="s">
        <v>80</v>
      </c>
      <c r="F12" s="3"/>
      <c r="G12" s="3" t="s">
        <v>79</v>
      </c>
      <c r="H12" s="249" t="s">
        <v>244</v>
      </c>
      <c r="I12" s="250"/>
      <c r="J12" s="250"/>
      <c r="K12" s="291" t="s">
        <v>223</v>
      </c>
      <c r="L12" s="291" t="s">
        <v>224</v>
      </c>
      <c r="M12" s="291" t="s">
        <v>225</v>
      </c>
      <c r="N12" s="3" t="s">
        <v>226</v>
      </c>
      <c r="O12" s="137" t="str" cm="1">
        <f t="array" ref="O12">IFERROR(
  INDEX('Scrum Teams'!B$2:B$1010,
    MATCH(1,
      (B12='Scrum Teams'!F$2:F$1010) +
      (B12='Scrum Teams'!G$2:G$1010) +
      (B12='Scrum Teams'!H$2:H$1010) +
      (B12='Scrum Teams'!I$2:I$1010) +
      (B12='Scrum Teams'!J$2:J$1010) +
      (B12='Scrum Teams'!K$2:K$1010) +
      (B12='Scrum Teams'!L$2:L$1010) +
      (B12='Scrum Teams'!M$2:M$1010) +
      (B12='Scrum Teams'!N$2:N$1010) +
      (B12='Scrum Teams'!O$2:O$1010) +
      (B12='Scrum Teams'!P$2:P$1010) +
      (B12='Scrum Teams'!Q$2:Q$1010),
    0)
  ),
  "Not found"
)</f>
        <v>Mystique</v>
      </c>
      <c r="P12" s="194" t="s">
        <v>82</v>
      </c>
      <c r="Q12" s="37" t="s">
        <v>227</v>
      </c>
    </row>
    <row r="13" spans="1:18" hidden="1">
      <c r="A13" s="3" t="s">
        <v>82</v>
      </c>
      <c r="B13" s="18" t="s">
        <v>245</v>
      </c>
      <c r="C13" s="3" t="s">
        <v>231</v>
      </c>
      <c r="D13" s="3"/>
      <c r="E13" s="3" t="s">
        <v>80</v>
      </c>
      <c r="F13" s="3"/>
      <c r="G13" s="3" t="s">
        <v>79</v>
      </c>
      <c r="H13" s="249" t="s">
        <v>244</v>
      </c>
      <c r="I13" s="250"/>
      <c r="J13" s="250"/>
      <c r="K13" s="291" t="s">
        <v>223</v>
      </c>
      <c r="L13" s="291" t="s">
        <v>224</v>
      </c>
      <c r="M13" s="291" t="s">
        <v>225</v>
      </c>
      <c r="N13" s="3" t="s">
        <v>226</v>
      </c>
      <c r="O13" s="137" t="str" cm="1">
        <f t="array" ref="O13">IFERROR(
  INDEX('Scrum Teams'!B$2:B$1010,
    MATCH(1,
      (B13='Scrum Teams'!F$2:F$1010) +
      (B13='Scrum Teams'!G$2:G$1010) +
      (B13='Scrum Teams'!H$2:H$1010) +
      (B13='Scrum Teams'!I$2:I$1010) +
      (B13='Scrum Teams'!J$2:J$1010) +
      (B13='Scrum Teams'!K$2:K$1010) +
      (B13='Scrum Teams'!L$2:L$1010) +
      (B13='Scrum Teams'!M$2:M$1010) +
      (B13='Scrum Teams'!N$2:N$1010) +
      (B13='Scrum Teams'!O$2:O$1010) +
      (B13='Scrum Teams'!P$2:P$1010) +
      (B13='Scrum Teams'!Q$2:Q$1010),
    0)
  ),
  "Not found"
)</f>
        <v>Mystique</v>
      </c>
      <c r="P13" s="194" t="s">
        <v>82</v>
      </c>
      <c r="Q13" s="37" t="s">
        <v>227</v>
      </c>
    </row>
    <row r="14" spans="1:18" hidden="1">
      <c r="A14" s="3" t="s">
        <v>82</v>
      </c>
      <c r="B14" s="22" t="s">
        <v>246</v>
      </c>
      <c r="C14" s="3" t="s">
        <v>234</v>
      </c>
      <c r="D14" s="3"/>
      <c r="E14" s="3" t="s">
        <v>80</v>
      </c>
      <c r="F14" s="3"/>
      <c r="G14" s="3" t="s">
        <v>79</v>
      </c>
      <c r="H14" s="291" t="s">
        <v>247</v>
      </c>
      <c r="I14" s="291" t="s">
        <v>248</v>
      </c>
      <c r="J14" s="291"/>
      <c r="K14" s="291" t="s">
        <v>249</v>
      </c>
      <c r="L14" s="291"/>
      <c r="M14" s="291" t="s">
        <v>250</v>
      </c>
      <c r="N14" s="3" t="s">
        <v>226</v>
      </c>
      <c r="O14" s="137" t="str" cm="1">
        <f t="array" ref="O14">IFERROR(
  INDEX('Scrum Teams'!B$2:B$1010,
    MATCH(1,
      (B14='Scrum Teams'!F$2:F$1010) +
      (B14='Scrum Teams'!G$2:G$1010) +
      (B14='Scrum Teams'!H$2:H$1010) +
      (B14='Scrum Teams'!I$2:I$1010) +
      (B14='Scrum Teams'!J$2:J$1010) +
      (B14='Scrum Teams'!K$2:K$1010) +
      (B14='Scrum Teams'!L$2:L$1010) +
      (B14='Scrum Teams'!M$2:M$1010) +
      (B14='Scrum Teams'!N$2:N$1010) +
      (B14='Scrum Teams'!O$2:O$1010) +
      (B14='Scrum Teams'!P$2:P$1010) +
      (B14='Scrum Teams'!Q$2:Q$1010),
    0)
  ),
  "Not found"
)</f>
        <v>Storm</v>
      </c>
      <c r="P14" s="194" t="s">
        <v>82</v>
      </c>
      <c r="Q14" s="37" t="s">
        <v>227</v>
      </c>
      <c r="R14" t="s">
        <v>251</v>
      </c>
    </row>
    <row r="15" spans="1:18" hidden="1">
      <c r="A15" s="3" t="s">
        <v>82</v>
      </c>
      <c r="B15" s="22" t="s">
        <v>252</v>
      </c>
      <c r="C15" s="3" t="s">
        <v>253</v>
      </c>
      <c r="D15" s="3"/>
      <c r="E15" s="3" t="s">
        <v>80</v>
      </c>
      <c r="F15" s="3"/>
      <c r="G15" s="3" t="s">
        <v>79</v>
      </c>
      <c r="H15" s="349"/>
      <c r="I15" s="350"/>
      <c r="J15" s="350"/>
      <c r="K15" s="291"/>
      <c r="L15" s="291"/>
      <c r="M15" s="291"/>
      <c r="N15" s="3"/>
      <c r="O15" s="137"/>
      <c r="P15" s="194" t="s">
        <v>82</v>
      </c>
      <c r="Q15" s="37" t="s">
        <v>227</v>
      </c>
    </row>
    <row r="16" spans="1:18" hidden="1">
      <c r="A16" s="3" t="s">
        <v>82</v>
      </c>
      <c r="B16" s="22" t="s">
        <v>254</v>
      </c>
      <c r="C16" s="3" t="s">
        <v>253</v>
      </c>
      <c r="D16" s="3"/>
      <c r="E16" s="3" t="s">
        <v>80</v>
      </c>
      <c r="F16" s="3"/>
      <c r="G16" s="3" t="s">
        <v>79</v>
      </c>
      <c r="H16" s="349"/>
      <c r="I16" s="350"/>
      <c r="J16" s="350"/>
      <c r="K16" s="291"/>
      <c r="L16" s="291"/>
      <c r="M16" s="291"/>
      <c r="N16" s="3"/>
      <c r="O16" s="137"/>
      <c r="P16" s="194" t="s">
        <v>82</v>
      </c>
      <c r="Q16" s="37" t="s">
        <v>227</v>
      </c>
    </row>
    <row r="17" spans="1:18" hidden="1">
      <c r="A17" s="3" t="s">
        <v>81</v>
      </c>
      <c r="B17" s="18" t="s">
        <v>255</v>
      </c>
      <c r="C17" s="3" t="s">
        <v>237</v>
      </c>
      <c r="D17" s="3"/>
      <c r="E17" s="3" t="s">
        <v>80</v>
      </c>
      <c r="F17" s="3"/>
      <c r="G17" s="3" t="s">
        <v>79</v>
      </c>
      <c r="H17" s="249" t="s">
        <v>256</v>
      </c>
      <c r="I17" s="250"/>
      <c r="J17" s="250"/>
      <c r="K17" s="291" t="s">
        <v>223</v>
      </c>
      <c r="L17" s="291" t="s">
        <v>224</v>
      </c>
      <c r="M17" s="291" t="s">
        <v>225</v>
      </c>
      <c r="N17" s="3" t="s">
        <v>226</v>
      </c>
      <c r="O17" s="137" t="str" cm="1">
        <f t="array" ref="O17">IFERROR(
  INDEX('Scrum Teams'!B$2:B$1010,
    MATCH(1,
      (B17='Scrum Teams'!F$2:F$1010) +
      (B17='Scrum Teams'!G$2:G$1010) +
      (B17='Scrum Teams'!H$2:H$1010) +
      (B17='Scrum Teams'!I$2:I$1010) +
      (B17='Scrum Teams'!J$2:J$1010) +
      (B17='Scrum Teams'!K$2:K$1010) +
      (B17='Scrum Teams'!L$2:L$1010) +
      (B17='Scrum Teams'!M$2:M$1010) +
      (B17='Scrum Teams'!N$2:N$1010) +
      (B17='Scrum Teams'!O$2:O$1010) +
      (B17='Scrum Teams'!P$2:P$1010) +
      (B17='Scrum Teams'!Q$2:Q$1010),
    0)
  ),
  "Not found"
)</f>
        <v>Bishop</v>
      </c>
      <c r="P17" s="194" t="s">
        <v>82</v>
      </c>
      <c r="Q17" s="37" t="s">
        <v>227</v>
      </c>
    </row>
    <row r="18" spans="1:18" hidden="1">
      <c r="A18" s="3" t="s">
        <v>91</v>
      </c>
      <c r="B18" s="22" t="s">
        <v>257</v>
      </c>
      <c r="C18" s="3" t="s">
        <v>258</v>
      </c>
      <c r="D18" s="3"/>
      <c r="E18" s="3" t="s">
        <v>89</v>
      </c>
      <c r="F18" s="3"/>
      <c r="G18" s="3" t="s">
        <v>79</v>
      </c>
      <c r="H18" s="291" t="s">
        <v>259</v>
      </c>
      <c r="I18" s="291" t="s">
        <v>248</v>
      </c>
      <c r="J18" s="291"/>
      <c r="K18" s="291" t="s">
        <v>249</v>
      </c>
      <c r="L18" s="291"/>
      <c r="M18" s="291" t="s">
        <v>250</v>
      </c>
      <c r="N18" s="3"/>
      <c r="O18" s="137" t="str" cm="1">
        <f t="array" ref="O18">IFERROR(
  INDEX('Scrum Teams'!B$2:B$1010,
    MATCH(1,
      (B18='Scrum Teams'!F$2:F$1010) +
      (B18='Scrum Teams'!G$2:G$1010) +
      (B18='Scrum Teams'!H$2:H$1010) +
      (B18='Scrum Teams'!I$2:I$1010) +
      (B18='Scrum Teams'!J$2:J$1010) +
      (B18='Scrum Teams'!K$2:K$1010) +
      (B18='Scrum Teams'!L$2:L$1010) +
      (B18='Scrum Teams'!M$2:M$1010) +
      (B18='Scrum Teams'!N$2:N$1010) +
      (B18='Scrum Teams'!O$2:O$1010) +
      (B18='Scrum Teams'!P$2:P$1010) +
      (B18='Scrum Teams'!Q$2:Q$1010),
    0)
  ),
  "Not found"
)</f>
        <v>Not found</v>
      </c>
      <c r="P18" s="194" t="s">
        <v>260</v>
      </c>
      <c r="Q18" s="37" t="s">
        <v>227</v>
      </c>
      <c r="R18" t="s">
        <v>261</v>
      </c>
    </row>
    <row r="19" spans="1:18" hidden="1">
      <c r="A19" s="3" t="s">
        <v>91</v>
      </c>
      <c r="B19" s="22" t="s">
        <v>262</v>
      </c>
      <c r="C19" s="3"/>
      <c r="D19" s="3"/>
      <c r="E19" s="3" t="s">
        <v>89</v>
      </c>
      <c r="F19" s="3"/>
      <c r="G19" s="3" t="s">
        <v>79</v>
      </c>
      <c r="H19" s="291" t="s">
        <v>247</v>
      </c>
      <c r="I19" s="291" t="s">
        <v>248</v>
      </c>
      <c r="J19" s="291"/>
      <c r="K19" s="291" t="s">
        <v>249</v>
      </c>
      <c r="L19" s="291"/>
      <c r="M19" s="291" t="s">
        <v>250</v>
      </c>
      <c r="N19" s="3"/>
      <c r="O19" s="137" t="str" cm="1">
        <f t="array" ref="O19">IFERROR(
  INDEX('Scrum Teams'!B$2:B$1010,
    MATCH(1,
      (B19='Scrum Teams'!F$2:F$1010) +
      (B19='Scrum Teams'!G$2:G$1010) +
      (B19='Scrum Teams'!H$2:H$1010) +
      (B19='Scrum Teams'!I$2:I$1010) +
      (B19='Scrum Teams'!J$2:J$1010) +
      (B19='Scrum Teams'!K$2:K$1010) +
      (B19='Scrum Teams'!L$2:L$1010) +
      (B19='Scrum Teams'!M$2:M$1010) +
      (B19='Scrum Teams'!N$2:N$1010) +
      (B19='Scrum Teams'!O$2:O$1010) +
      (B19='Scrum Teams'!P$2:P$1010) +
      (B19='Scrum Teams'!Q$2:Q$1010),
    0)
  ),
  "Not found"
)</f>
        <v>Not found</v>
      </c>
      <c r="P19" s="194" t="s">
        <v>260</v>
      </c>
      <c r="Q19" s="37" t="s">
        <v>227</v>
      </c>
    </row>
    <row r="20" spans="1:18" hidden="1">
      <c r="A20" s="3" t="s">
        <v>91</v>
      </c>
      <c r="B20" s="22" t="s">
        <v>263</v>
      </c>
      <c r="C20" s="3"/>
      <c r="D20" s="3"/>
      <c r="E20" s="3" t="s">
        <v>89</v>
      </c>
      <c r="F20" s="3"/>
      <c r="G20" s="3" t="s">
        <v>79</v>
      </c>
      <c r="H20" s="291" t="s">
        <v>264</v>
      </c>
      <c r="I20" s="291"/>
      <c r="J20" s="291"/>
      <c r="K20" s="291" t="s">
        <v>249</v>
      </c>
      <c r="L20" s="291"/>
      <c r="M20" s="291" t="s">
        <v>250</v>
      </c>
      <c r="N20" s="3"/>
      <c r="O20" s="137" t="str" cm="1">
        <f t="array" ref="O20">IFERROR(
  INDEX('Scrum Teams'!B$2:B$1010,
    MATCH(1,
      (B20='Scrum Teams'!F$2:F$1010) +
      (B20='Scrum Teams'!G$2:G$1010) +
      (B20='Scrum Teams'!H$2:H$1010) +
      (B20='Scrum Teams'!I$2:I$1010) +
      (B20='Scrum Teams'!J$2:J$1010) +
      (B20='Scrum Teams'!K$2:K$1010) +
      (B20='Scrum Teams'!L$2:L$1010) +
      (B20='Scrum Teams'!M$2:M$1010) +
      (B20='Scrum Teams'!N$2:N$1010) +
      (B20='Scrum Teams'!O$2:O$1010) +
      (B20='Scrum Teams'!P$2:P$1010) +
      (B20='Scrum Teams'!Q$2:Q$1010),
    0)
  ),
  "Not found"
)</f>
        <v>Not found</v>
      </c>
      <c r="P20" s="194" t="s">
        <v>260</v>
      </c>
      <c r="Q20" s="37" t="s">
        <v>227</v>
      </c>
    </row>
    <row r="21" spans="1:18" hidden="1">
      <c r="A21" s="3" t="s">
        <v>91</v>
      </c>
      <c r="B21" s="22" t="s">
        <v>265</v>
      </c>
      <c r="C21" s="3"/>
      <c r="D21" s="3"/>
      <c r="E21" s="3" t="s">
        <v>89</v>
      </c>
      <c r="F21" s="3"/>
      <c r="G21" s="3" t="s">
        <v>79</v>
      </c>
      <c r="H21" s="291" t="s">
        <v>264</v>
      </c>
      <c r="I21" s="291"/>
      <c r="J21" s="291"/>
      <c r="K21" s="291" t="s">
        <v>249</v>
      </c>
      <c r="L21" s="291"/>
      <c r="M21" s="291" t="s">
        <v>250</v>
      </c>
      <c r="N21" s="3"/>
      <c r="O21" s="137" t="str" cm="1">
        <f t="array" ref="O21">IFERROR(
  INDEX('Scrum Teams'!B$2:B$1010,
    MATCH(1,
      (B21='Scrum Teams'!F$2:F$1010) +
      (B21='Scrum Teams'!G$2:G$1010) +
      (B21='Scrum Teams'!H$2:H$1010) +
      (B21='Scrum Teams'!I$2:I$1010) +
      (B21='Scrum Teams'!J$2:J$1010) +
      (B21='Scrum Teams'!K$2:K$1010) +
      (B21='Scrum Teams'!L$2:L$1010) +
      (B21='Scrum Teams'!M$2:M$1010) +
      (B21='Scrum Teams'!N$2:N$1010) +
      (B21='Scrum Teams'!O$2:O$1010) +
      (B21='Scrum Teams'!P$2:P$1010) +
      (B21='Scrum Teams'!Q$2:Q$1010),
    0)
  ),
  "Not found"
)</f>
        <v>Not found</v>
      </c>
      <c r="P21" s="194" t="s">
        <v>260</v>
      </c>
      <c r="Q21" s="37" t="s">
        <v>227</v>
      </c>
    </row>
    <row r="22" spans="1:18" hidden="1">
      <c r="A22" s="3" t="s">
        <v>91</v>
      </c>
      <c r="B22" s="22" t="s">
        <v>266</v>
      </c>
      <c r="C22" s="3" t="s">
        <v>258</v>
      </c>
      <c r="D22" s="3"/>
      <c r="E22" s="3" t="s">
        <v>89</v>
      </c>
      <c r="F22" s="3"/>
      <c r="G22" s="3" t="s">
        <v>79</v>
      </c>
      <c r="H22" s="291" t="s">
        <v>259</v>
      </c>
      <c r="I22" s="291" t="s">
        <v>248</v>
      </c>
      <c r="J22" s="291"/>
      <c r="K22" s="291" t="s">
        <v>249</v>
      </c>
      <c r="L22" s="291"/>
      <c r="M22" s="291" t="s">
        <v>250</v>
      </c>
      <c r="N22" s="3"/>
      <c r="O22" s="137" t="str" cm="1">
        <f t="array" ref="O22">IFERROR(
  INDEX('Scrum Teams'!B$2:B$1010,
    MATCH(1,
      (B22='Scrum Teams'!F$2:F$1010) +
      (B22='Scrum Teams'!G$2:G$1010) +
      (B22='Scrum Teams'!H$2:H$1010) +
      (B22='Scrum Teams'!I$2:I$1010) +
      (B22='Scrum Teams'!J$2:J$1010) +
      (B22='Scrum Teams'!K$2:K$1010) +
      (B22='Scrum Teams'!L$2:L$1010) +
      (B22='Scrum Teams'!M$2:M$1010) +
      (B22='Scrum Teams'!N$2:N$1010) +
      (B22='Scrum Teams'!O$2:O$1010) +
      (B22='Scrum Teams'!P$2:P$1010) +
      (B22='Scrum Teams'!Q$2:Q$1010),
    0)
  ),
  "Not found"
)</f>
        <v>Not found</v>
      </c>
      <c r="P22" s="194" t="s">
        <v>260</v>
      </c>
      <c r="Q22" s="37" t="s">
        <v>227</v>
      </c>
      <c r="R22" t="s">
        <v>267</v>
      </c>
    </row>
    <row r="23" spans="1:18" hidden="1">
      <c r="A23" s="3" t="s">
        <v>13</v>
      </c>
      <c r="B23" s="18" t="s">
        <v>268</v>
      </c>
      <c r="C23" s="3" t="s">
        <v>269</v>
      </c>
      <c r="D23" s="3"/>
      <c r="E23" s="3" t="s">
        <v>10</v>
      </c>
      <c r="F23" s="3" t="s">
        <v>168</v>
      </c>
      <c r="G23" s="3" t="s">
        <v>9</v>
      </c>
      <c r="H23" s="251" t="s">
        <v>270</v>
      </c>
      <c r="I23" s="290" t="s">
        <v>271</v>
      </c>
      <c r="J23" s="252" t="s">
        <v>271</v>
      </c>
      <c r="K23" s="252" t="s">
        <v>272</v>
      </c>
      <c r="L23" s="290"/>
      <c r="M23" s="252" t="s">
        <v>250</v>
      </c>
      <c r="N23" s="3" t="s">
        <v>273</v>
      </c>
      <c r="O23" s="137" t="str" cm="1">
        <f t="array" ref="O23">IFERROR(
  INDEX('Scrum Teams'!B$2:B$1010,
    MATCH(1,
      (B23='Scrum Teams'!F$2:F$1010) +
      (B23='Scrum Teams'!G$2:G$1010) +
      (B23='Scrum Teams'!H$2:H$1010) +
      (B23='Scrum Teams'!I$2:I$1010) +
      (B23='Scrum Teams'!J$2:J$1010) +
      (B23='Scrum Teams'!K$2:K$1010) +
      (B23='Scrum Teams'!L$2:L$1010) +
      (B23='Scrum Teams'!M$2:M$1010) +
      (B23='Scrum Teams'!N$2:N$1010) +
      (B23='Scrum Teams'!O$2:O$1010) +
      (B23='Scrum Teams'!P$2:P$1010) +
      (B23='Scrum Teams'!Q$2:Q$1010),
    0)
  ),
  "Not found"
)</f>
        <v>Compliance</v>
      </c>
      <c r="P23" s="194" t="s">
        <v>274</v>
      </c>
      <c r="Q23" s="37" t="s">
        <v>275</v>
      </c>
      <c r="R23" t="s">
        <v>276</v>
      </c>
    </row>
    <row r="24" spans="1:18" hidden="1">
      <c r="A24" s="3" t="s">
        <v>13</v>
      </c>
      <c r="B24" s="18" t="s">
        <v>277</v>
      </c>
      <c r="C24" s="3" t="s">
        <v>278</v>
      </c>
      <c r="D24" s="3"/>
      <c r="E24" s="3" t="s">
        <v>10</v>
      </c>
      <c r="F24" s="3" t="s">
        <v>168</v>
      </c>
      <c r="G24" s="3" t="s">
        <v>9</v>
      </c>
      <c r="H24" s="249" t="s">
        <v>270</v>
      </c>
      <c r="I24" s="290" t="s">
        <v>271</v>
      </c>
      <c r="J24" s="253" t="s">
        <v>271</v>
      </c>
      <c r="K24" s="253" t="s">
        <v>272</v>
      </c>
      <c r="L24" s="290"/>
      <c r="M24" s="253" t="s">
        <v>250</v>
      </c>
      <c r="N24" s="3" t="s">
        <v>273</v>
      </c>
      <c r="O24" s="137" t="str" cm="1">
        <f t="array" ref="O24">IFERROR(
  INDEX('Scrum Teams'!B$2:B$1010,
    MATCH(1,
      (B24='Scrum Teams'!F$2:F$1010) +
      (B24='Scrum Teams'!G$2:G$1010) +
      (B24='Scrum Teams'!H$2:H$1010) +
      (B24='Scrum Teams'!I$2:I$1010) +
      (B24='Scrum Teams'!J$2:J$1010) +
      (B24='Scrum Teams'!K$2:K$1010) +
      (B24='Scrum Teams'!L$2:L$1010) +
      (B24='Scrum Teams'!M$2:M$1010) +
      (B24='Scrum Teams'!N$2:N$1010) +
      (B24='Scrum Teams'!O$2:O$1010) +
      (B24='Scrum Teams'!P$2:P$1010) +
      (B24='Scrum Teams'!Q$2:Q$1010),
    0)
  ),
  "Not found"
)</f>
        <v>Not found</v>
      </c>
      <c r="P24" s="194" t="s">
        <v>274</v>
      </c>
      <c r="Q24" s="37" t="s">
        <v>275</v>
      </c>
      <c r="R24" t="s">
        <v>279</v>
      </c>
    </row>
    <row r="25" spans="1:18" hidden="1">
      <c r="A25" s="3" t="s">
        <v>13</v>
      </c>
      <c r="B25" s="18" t="s">
        <v>280</v>
      </c>
      <c r="C25" s="3" t="s">
        <v>281</v>
      </c>
      <c r="D25" s="3"/>
      <c r="E25" s="3" t="s">
        <v>10</v>
      </c>
      <c r="F25" s="3" t="s">
        <v>168</v>
      </c>
      <c r="G25" s="3" t="s">
        <v>9</v>
      </c>
      <c r="H25" s="249" t="s">
        <v>282</v>
      </c>
      <c r="I25" s="290"/>
      <c r="J25" s="290"/>
      <c r="K25" s="253" t="s">
        <v>272</v>
      </c>
      <c r="L25" s="290"/>
      <c r="M25" s="253" t="s">
        <v>250</v>
      </c>
      <c r="N25" s="3" t="s">
        <v>273</v>
      </c>
      <c r="O25" s="137" t="str" cm="1">
        <f t="array" ref="O25">IFERROR(
  INDEX('Scrum Teams'!B$2:B$1010,
    MATCH(1,
      (B25='Scrum Teams'!F$2:F$1010) +
      (B25='Scrum Teams'!G$2:G$1010) +
      (B25='Scrum Teams'!H$2:H$1010) +
      (B25='Scrum Teams'!I$2:I$1010) +
      (B25='Scrum Teams'!J$2:J$1010) +
      (B25='Scrum Teams'!K$2:K$1010) +
      (B25='Scrum Teams'!L$2:L$1010) +
      (B25='Scrum Teams'!M$2:M$1010) +
      (B25='Scrum Teams'!N$2:N$1010) +
      (B25='Scrum Teams'!O$2:O$1010) +
      (B25='Scrum Teams'!P$2:P$1010) +
      (B25='Scrum Teams'!Q$2:Q$1010),
    0)
  ),
  "Not found"
)</f>
        <v>Enterprise</v>
      </c>
      <c r="P25" s="194" t="s">
        <v>274</v>
      </c>
      <c r="Q25" s="37" t="s">
        <v>275</v>
      </c>
      <c r="R25" t="s">
        <v>283</v>
      </c>
    </row>
    <row r="26" spans="1:18" hidden="1">
      <c r="A26" s="3" t="s">
        <v>13</v>
      </c>
      <c r="B26" s="22" t="s">
        <v>284</v>
      </c>
      <c r="C26" s="3" t="s">
        <v>278</v>
      </c>
      <c r="D26" s="3"/>
      <c r="E26" s="3" t="s">
        <v>10</v>
      </c>
      <c r="F26" s="3" t="s">
        <v>168</v>
      </c>
      <c r="G26" s="3" t="s">
        <v>9</v>
      </c>
      <c r="H26" s="249" t="s">
        <v>285</v>
      </c>
      <c r="I26" s="253" t="s">
        <v>271</v>
      </c>
      <c r="J26" s="253" t="s">
        <v>271</v>
      </c>
      <c r="K26" s="253" t="s">
        <v>272</v>
      </c>
      <c r="L26" s="290"/>
      <c r="M26" s="253" t="s">
        <v>250</v>
      </c>
      <c r="N26" s="3" t="s">
        <v>273</v>
      </c>
      <c r="O26" s="137" t="str" cm="1">
        <f t="array" ref="O26">IFERROR(
  INDEX('Scrum Teams'!B$2:B$1010,
    MATCH(1,
      (B26='Scrum Teams'!F$2:F$1010) +
      (B26='Scrum Teams'!G$2:G$1010) +
      (B26='Scrum Teams'!H$2:H$1010) +
      (B26='Scrum Teams'!I$2:I$1010) +
      (B26='Scrum Teams'!J$2:J$1010) +
      (B26='Scrum Teams'!K$2:K$1010) +
      (B26='Scrum Teams'!L$2:L$1010) +
      (B26='Scrum Teams'!M$2:M$1010) +
      (B26='Scrum Teams'!N$2:N$1010) +
      (B26='Scrum Teams'!O$2:O$1010) +
      (B26='Scrum Teams'!P$2:P$1010) +
      (B26='Scrum Teams'!Q$2:Q$1010),
    0)
  ),
  "Not found"
)</f>
        <v>Configuration Studio</v>
      </c>
      <c r="P26" s="194" t="s">
        <v>274</v>
      </c>
      <c r="Q26" s="37" t="s">
        <v>275</v>
      </c>
      <c r="R26" t="s">
        <v>286</v>
      </c>
    </row>
    <row r="27" spans="1:18" hidden="1">
      <c r="A27" s="3" t="s">
        <v>13</v>
      </c>
      <c r="B27" s="18" t="s">
        <v>287</v>
      </c>
      <c r="C27" s="3" t="s">
        <v>278</v>
      </c>
      <c r="D27" s="3"/>
      <c r="E27" s="3" t="s">
        <v>10</v>
      </c>
      <c r="F27" s="3" t="s">
        <v>168</v>
      </c>
      <c r="G27" s="3" t="s">
        <v>9</v>
      </c>
      <c r="H27" s="249" t="s">
        <v>288</v>
      </c>
      <c r="I27" s="253" t="s">
        <v>222</v>
      </c>
      <c r="J27" s="290"/>
      <c r="K27" s="291" t="s">
        <v>223</v>
      </c>
      <c r="L27" s="290" t="s">
        <v>224</v>
      </c>
      <c r="M27" s="291" t="s">
        <v>225</v>
      </c>
      <c r="N27" s="3" t="s">
        <v>273</v>
      </c>
      <c r="O27" s="137" t="str" cm="1">
        <f t="array" ref="O27">IFERROR(
  INDEX('Scrum Teams'!B$2:B$1010,
    MATCH(1,
      (B27='Scrum Teams'!F$2:F$1010) +
      (B27='Scrum Teams'!G$2:G$1010) +
      (B27='Scrum Teams'!H$2:H$1010) +
      (B27='Scrum Teams'!I$2:I$1010) +
      (B27='Scrum Teams'!J$2:J$1010) +
      (B27='Scrum Teams'!K$2:K$1010) +
      (B27='Scrum Teams'!L$2:L$1010) +
      (B27='Scrum Teams'!M$2:M$1010) +
      (B27='Scrum Teams'!N$2:N$1010) +
      (B27='Scrum Teams'!O$2:O$1010) +
      (B27='Scrum Teams'!P$2:P$1010) +
      (B27='Scrum Teams'!Q$2:Q$1010),
    0)
  ),
  "Not found"
)</f>
        <v>Workflow Engine</v>
      </c>
      <c r="P27" s="194" t="s">
        <v>274</v>
      </c>
      <c r="Q27" s="37" t="s">
        <v>275</v>
      </c>
      <c r="R27" t="s">
        <v>289</v>
      </c>
    </row>
    <row r="28" spans="1:18" hidden="1">
      <c r="A28" s="3" t="s">
        <v>13</v>
      </c>
      <c r="B28" s="18" t="s">
        <v>290</v>
      </c>
      <c r="C28" s="3" t="s">
        <v>269</v>
      </c>
      <c r="D28" s="3"/>
      <c r="E28" s="3" t="s">
        <v>10</v>
      </c>
      <c r="F28" s="3" t="s">
        <v>168</v>
      </c>
      <c r="G28" s="3" t="s">
        <v>9</v>
      </c>
      <c r="H28" s="249" t="s">
        <v>291</v>
      </c>
      <c r="I28" s="253" t="s">
        <v>271</v>
      </c>
      <c r="J28" s="253" t="s">
        <v>271</v>
      </c>
      <c r="K28" s="253" t="s">
        <v>272</v>
      </c>
      <c r="L28" s="290"/>
      <c r="M28" s="253" t="s">
        <v>250</v>
      </c>
      <c r="N28" s="3" t="s">
        <v>273</v>
      </c>
      <c r="O28" s="137" t="str" cm="1">
        <f t="array" ref="O28">IFERROR(
  INDEX('Scrum Teams'!B$2:B$1010,
    MATCH(1,
      (B28='Scrum Teams'!F$2:F$1010) +
      (B28='Scrum Teams'!G$2:G$1010) +
      (B28='Scrum Teams'!H$2:H$1010) +
      (B28='Scrum Teams'!I$2:I$1010) +
      (B28='Scrum Teams'!J$2:J$1010) +
      (B28='Scrum Teams'!K$2:K$1010) +
      (B28='Scrum Teams'!L$2:L$1010) +
      (B28='Scrum Teams'!M$2:M$1010) +
      (B28='Scrum Teams'!N$2:N$1010) +
      (B28='Scrum Teams'!O$2:O$1010) +
      (B28='Scrum Teams'!P$2:P$1010) +
      (B28='Scrum Teams'!Q$2:Q$1010),
    0)
  ),
  "Not found"
)</f>
        <v>Identity Management</v>
      </c>
      <c r="P28" s="194" t="s">
        <v>274</v>
      </c>
      <c r="Q28" s="37" t="s">
        <v>275</v>
      </c>
      <c r="R28" t="s">
        <v>292</v>
      </c>
    </row>
    <row r="29" spans="1:18" hidden="1">
      <c r="A29" s="3" t="s">
        <v>13</v>
      </c>
      <c r="B29" s="18" t="s">
        <v>293</v>
      </c>
      <c r="C29" s="3" t="s">
        <v>281</v>
      </c>
      <c r="D29" s="3"/>
      <c r="E29" s="3" t="s">
        <v>10</v>
      </c>
      <c r="F29" s="3" t="s">
        <v>168</v>
      </c>
      <c r="G29" s="3" t="s">
        <v>9</v>
      </c>
      <c r="H29" s="249" t="s">
        <v>282</v>
      </c>
      <c r="I29" s="290"/>
      <c r="J29" s="290"/>
      <c r="K29" s="253" t="s">
        <v>272</v>
      </c>
      <c r="L29" s="290"/>
      <c r="M29" s="253" t="s">
        <v>250</v>
      </c>
      <c r="N29" s="292" t="s">
        <v>273</v>
      </c>
      <c r="O29" s="137" t="str" cm="1">
        <f t="array" ref="O29">IFERROR(
  INDEX('Scrum Teams'!B$2:B$1010,
    MATCH(1,
      (B29='Scrum Teams'!F$2:F$1010) +
      (B29='Scrum Teams'!G$2:G$1010) +
      (B29='Scrum Teams'!H$2:H$1010) +
      (B29='Scrum Teams'!I$2:I$1010) +
      (B29='Scrum Teams'!J$2:J$1010) +
      (B29='Scrum Teams'!K$2:K$1010) +
      (B29='Scrum Teams'!L$2:L$1010) +
      (B29='Scrum Teams'!M$2:M$1010) +
      (B29='Scrum Teams'!N$2:N$1010) +
      (B29='Scrum Teams'!O$2:O$1010) +
      (B29='Scrum Teams'!P$2:P$1010) +
      (B29='Scrum Teams'!Q$2:Q$1010),
    0)
  ),
  "Not found"
)</f>
        <v>Audit &amp; Approval</v>
      </c>
      <c r="P29" s="194" t="s">
        <v>274</v>
      </c>
      <c r="Q29" s="37" t="s">
        <v>275</v>
      </c>
    </row>
    <row r="30" spans="1:18" hidden="1">
      <c r="A30" s="3" t="s">
        <v>16</v>
      </c>
      <c r="B30" s="22" t="s">
        <v>294</v>
      </c>
      <c r="C30" s="3" t="s">
        <v>295</v>
      </c>
      <c r="D30" s="3"/>
      <c r="E30" s="3" t="s">
        <v>14</v>
      </c>
      <c r="F30" s="3" t="s">
        <v>168</v>
      </c>
      <c r="G30" s="3" t="s">
        <v>9</v>
      </c>
      <c r="H30" s="290" t="s">
        <v>296</v>
      </c>
      <c r="I30" s="293" t="s">
        <v>296</v>
      </c>
      <c r="J30" s="293" t="s">
        <v>296</v>
      </c>
      <c r="K30" s="293" t="s">
        <v>296</v>
      </c>
      <c r="L30" s="293" t="s">
        <v>296</v>
      </c>
      <c r="M30" s="291" t="s">
        <v>250</v>
      </c>
      <c r="N30" s="244"/>
      <c r="O30" s="137" t="str" cm="1">
        <f t="array" ref="O30">IFERROR(
  INDEX('Scrum Teams'!B$2:B$1010,
    MATCH(1,
      (B30='Scrum Teams'!F$2:F$1010) +
      (B30='Scrum Teams'!G$2:G$1010) +
      (B30='Scrum Teams'!H$2:H$1010) +
      (B30='Scrum Teams'!I$2:I$1010) +
      (B30='Scrum Teams'!J$2:J$1010) +
      (B30='Scrum Teams'!K$2:K$1010) +
      (B30='Scrum Teams'!L$2:L$1010) +
      (B30='Scrum Teams'!M$2:M$1010) +
      (B30='Scrum Teams'!N$2:N$1010) +
      (B30='Scrum Teams'!O$2:O$1010) +
      (B30='Scrum Teams'!P$2:P$1010) +
      (B30='Scrum Teams'!Q$2:Q$1010),
    0)
  ),
  "Not found"
)</f>
        <v>Zebra</v>
      </c>
      <c r="P30" s="194" t="s">
        <v>297</v>
      </c>
      <c r="Q30" s="37" t="s">
        <v>275</v>
      </c>
    </row>
    <row r="31" spans="1:18" hidden="1">
      <c r="A31" s="3" t="s">
        <v>16</v>
      </c>
      <c r="B31" s="22" t="s">
        <v>298</v>
      </c>
      <c r="C31" s="3" t="s">
        <v>295</v>
      </c>
      <c r="D31" s="3"/>
      <c r="E31" s="3" t="s">
        <v>14</v>
      </c>
      <c r="F31" s="3" t="s">
        <v>168</v>
      </c>
      <c r="G31" s="3" t="s">
        <v>9</v>
      </c>
      <c r="H31" s="290" t="s">
        <v>296</v>
      </c>
      <c r="I31" s="293" t="s">
        <v>296</v>
      </c>
      <c r="J31" s="293" t="s">
        <v>296</v>
      </c>
      <c r="K31" s="293" t="s">
        <v>296</v>
      </c>
      <c r="L31" s="293" t="s">
        <v>296</v>
      </c>
      <c r="M31" s="291" t="s">
        <v>250</v>
      </c>
      <c r="N31" s="3"/>
      <c r="O31" s="137" t="str" cm="1">
        <f t="array" ref="O31">IFERROR(
  INDEX('Scrum Teams'!B$2:B$1010,
    MATCH(1,
      (B31='Scrum Teams'!F$2:F$1010) +
      (B31='Scrum Teams'!G$2:G$1010) +
      (B31='Scrum Teams'!H$2:H$1010) +
      (B31='Scrum Teams'!I$2:I$1010) +
      (B31='Scrum Teams'!J$2:J$1010) +
      (B31='Scrum Teams'!K$2:K$1010) +
      (B31='Scrum Teams'!L$2:L$1010) +
      (B31='Scrum Teams'!M$2:M$1010) +
      (B31='Scrum Teams'!N$2:N$1010) +
      (B31='Scrum Teams'!O$2:O$1010) +
      (B31='Scrum Teams'!P$2:P$1010) +
      (B31='Scrum Teams'!Q$2:Q$1010),
    0)
  ),
  "Not found"
)</f>
        <v>Zebra</v>
      </c>
      <c r="P31" s="194" t="s">
        <v>297</v>
      </c>
      <c r="Q31" s="37" t="s">
        <v>275</v>
      </c>
    </row>
    <row r="32" spans="1:18" hidden="1">
      <c r="A32" s="3" t="s">
        <v>16</v>
      </c>
      <c r="B32" s="22" t="s">
        <v>299</v>
      </c>
      <c r="C32" s="3" t="s">
        <v>295</v>
      </c>
      <c r="D32" s="3"/>
      <c r="E32" s="3" t="s">
        <v>14</v>
      </c>
      <c r="F32" s="3" t="s">
        <v>168</v>
      </c>
      <c r="G32" s="3" t="s">
        <v>9</v>
      </c>
      <c r="H32" s="290" t="s">
        <v>296</v>
      </c>
      <c r="I32" s="293" t="s">
        <v>296</v>
      </c>
      <c r="J32" s="293" t="s">
        <v>296</v>
      </c>
      <c r="K32" s="293" t="s">
        <v>296</v>
      </c>
      <c r="L32" s="293" t="s">
        <v>296</v>
      </c>
      <c r="M32" s="291" t="s">
        <v>250</v>
      </c>
      <c r="N32" s="3"/>
      <c r="O32" s="137" t="str" cm="1">
        <f t="array" ref="O32">IFERROR(
  INDEX('Scrum Teams'!B$2:B$1010,
    MATCH(1,
      (B32='Scrum Teams'!F$2:F$1010) +
      (B32='Scrum Teams'!G$2:G$1010) +
      (B32='Scrum Teams'!H$2:H$1010) +
      (B32='Scrum Teams'!I$2:I$1010) +
      (B32='Scrum Teams'!J$2:J$1010) +
      (B32='Scrum Teams'!K$2:K$1010) +
      (B32='Scrum Teams'!L$2:L$1010) +
      (B32='Scrum Teams'!M$2:M$1010) +
      (B32='Scrum Teams'!N$2:N$1010) +
      (B32='Scrum Teams'!O$2:O$1010) +
      (B32='Scrum Teams'!P$2:P$1010) +
      (B32='Scrum Teams'!Q$2:Q$1010),
    0)
  ),
  "Not found"
)</f>
        <v>Not found</v>
      </c>
      <c r="P32" s="194" t="s">
        <v>297</v>
      </c>
      <c r="Q32" s="37" t="s">
        <v>275</v>
      </c>
      <c r="R32" t="s">
        <v>300</v>
      </c>
    </row>
    <row r="33" spans="1:17" hidden="1">
      <c r="A33" s="3" t="s">
        <v>61</v>
      </c>
      <c r="B33" s="22" t="s">
        <v>301</v>
      </c>
      <c r="C33" s="3" t="s">
        <v>302</v>
      </c>
      <c r="D33" s="3"/>
      <c r="E33" s="3" t="s">
        <v>60</v>
      </c>
      <c r="F33" s="3" t="s">
        <v>60</v>
      </c>
      <c r="G33" s="3" t="s">
        <v>98</v>
      </c>
      <c r="H33" s="291" t="s">
        <v>303</v>
      </c>
      <c r="I33" s="291" t="s">
        <v>304</v>
      </c>
      <c r="J33" s="291" t="s">
        <v>304</v>
      </c>
      <c r="K33" s="290"/>
      <c r="L33" s="290"/>
      <c r="M33" s="291" t="s">
        <v>225</v>
      </c>
      <c r="N33" s="3" t="s">
        <v>305</v>
      </c>
      <c r="O33" s="137" t="str" cm="1">
        <f t="array" ref="O33">IFERROR(
  INDEX('Scrum Teams'!B$2:B$1010,
    MATCH(1,
      (B33='Scrum Teams'!F$2:F$1010) +
      (B33='Scrum Teams'!G$2:G$1010) +
      (B33='Scrum Teams'!H$2:H$1010) +
      (B33='Scrum Teams'!I$2:I$1010) +
      (B33='Scrum Teams'!J$2:J$1010) +
      (B33='Scrum Teams'!K$2:K$1010) +
      (B33='Scrum Teams'!L$2:L$1010) +
      (B33='Scrum Teams'!M$2:M$1010) +
      (B33='Scrum Teams'!N$2:N$1010) +
      (B33='Scrum Teams'!O$2:O$1010) +
      (B33='Scrum Teams'!P$2:P$1010) +
      (B33='Scrum Teams'!Q$2:Q$1010),
    0)
  ),
  "Not found"
)</f>
        <v>Credit &amp; FNI Integrations</v>
      </c>
      <c r="P33" s="194" t="s">
        <v>306</v>
      </c>
      <c r="Q33" s="37" t="s">
        <v>307</v>
      </c>
    </row>
    <row r="34" spans="1:17" hidden="1">
      <c r="A34" s="3" t="s">
        <v>61</v>
      </c>
      <c r="B34" s="22" t="s">
        <v>308</v>
      </c>
      <c r="C34" s="3" t="s">
        <v>302</v>
      </c>
      <c r="D34" s="3"/>
      <c r="E34" s="3" t="s">
        <v>60</v>
      </c>
      <c r="F34" s="3" t="s">
        <v>60</v>
      </c>
      <c r="G34" s="3" t="s">
        <v>98</v>
      </c>
      <c r="H34" s="290" t="s">
        <v>296</v>
      </c>
      <c r="I34" s="290"/>
      <c r="J34" s="290"/>
      <c r="K34" s="291" t="s">
        <v>309</v>
      </c>
      <c r="L34" s="290"/>
      <c r="M34" s="291" t="s">
        <v>98</v>
      </c>
      <c r="N34" s="3" t="s">
        <v>305</v>
      </c>
      <c r="O34" s="137" t="str" cm="1">
        <f t="array" ref="O34">IFERROR(
  INDEX('Scrum Teams'!B$2:B$1010,
    MATCH(1,
      (B34='Scrum Teams'!F$2:F$1010) +
      (B34='Scrum Teams'!G$2:G$1010) +
      (B34='Scrum Teams'!H$2:H$1010) +
      (B34='Scrum Teams'!I$2:I$1010) +
      (B34='Scrum Teams'!J$2:J$1010) +
      (B34='Scrum Teams'!K$2:K$1010) +
      (B34='Scrum Teams'!L$2:L$1010) +
      (B34='Scrum Teams'!M$2:M$1010) +
      (B34='Scrum Teams'!N$2:N$1010) +
      (B34='Scrum Teams'!O$2:O$1010) +
      (B34='Scrum Teams'!P$2:P$1010) +
      (B34='Scrum Teams'!Q$2:Q$1010),
    0)
  ),
  "Not found"
)</f>
        <v>Credit &amp; FNI Integrations</v>
      </c>
      <c r="P34" s="194" t="s">
        <v>306</v>
      </c>
      <c r="Q34" s="37" t="s">
        <v>307</v>
      </c>
    </row>
    <row r="35" spans="1:17" hidden="1">
      <c r="A35" s="3" t="s">
        <v>61</v>
      </c>
      <c r="B35" s="22" t="s">
        <v>310</v>
      </c>
      <c r="C35" s="3" t="s">
        <v>302</v>
      </c>
      <c r="D35" s="3"/>
      <c r="E35" s="3" t="s">
        <v>60</v>
      </c>
      <c r="F35" s="3" t="s">
        <v>60</v>
      </c>
      <c r="G35" s="3" t="s">
        <v>98</v>
      </c>
      <c r="H35" s="291" t="s">
        <v>311</v>
      </c>
      <c r="I35" s="291" t="s">
        <v>312</v>
      </c>
      <c r="J35" s="291" t="s">
        <v>312</v>
      </c>
      <c r="K35" s="291" t="s">
        <v>313</v>
      </c>
      <c r="L35" s="291" t="s">
        <v>313</v>
      </c>
      <c r="M35" s="291" t="s">
        <v>225</v>
      </c>
      <c r="N35" s="3" t="s">
        <v>305</v>
      </c>
      <c r="O35" s="137" t="str" cm="1">
        <f t="array" ref="O35">IFERROR(
  INDEX('Scrum Teams'!B$2:B$1010,
    MATCH(1,
      (B35='Scrum Teams'!F$2:F$1010) +
      (B35='Scrum Teams'!G$2:G$1010) +
      (B35='Scrum Teams'!H$2:H$1010) +
      (B35='Scrum Teams'!I$2:I$1010) +
      (B35='Scrum Teams'!J$2:J$1010) +
      (B35='Scrum Teams'!K$2:K$1010) +
      (B35='Scrum Teams'!L$2:L$1010) +
      (B35='Scrum Teams'!M$2:M$1010) +
      (B35='Scrum Teams'!N$2:N$1010) +
      (B35='Scrum Teams'!O$2:O$1010) +
      (B35='Scrum Teams'!P$2:P$1010) +
      (B35='Scrum Teams'!Q$2:Q$1010),
    0)
  ),
  "Not found"
)</f>
        <v>Credit &amp; FNI Integrations</v>
      </c>
      <c r="P35" s="194" t="s">
        <v>306</v>
      </c>
      <c r="Q35" s="37" t="s">
        <v>307</v>
      </c>
    </row>
    <row r="36" spans="1:17" hidden="1">
      <c r="A36" s="3" t="s">
        <v>61</v>
      </c>
      <c r="B36" s="22" t="s">
        <v>314</v>
      </c>
      <c r="C36" s="3" t="s">
        <v>302</v>
      </c>
      <c r="D36" s="3"/>
      <c r="E36" s="3" t="s">
        <v>60</v>
      </c>
      <c r="F36" s="3" t="s">
        <v>60</v>
      </c>
      <c r="G36" s="3" t="s">
        <v>98</v>
      </c>
      <c r="H36" s="291" t="s">
        <v>315</v>
      </c>
      <c r="I36" s="290"/>
      <c r="J36" s="290"/>
      <c r="K36" s="291" t="s">
        <v>309</v>
      </c>
      <c r="L36" s="290"/>
      <c r="M36" s="291" t="s">
        <v>98</v>
      </c>
      <c r="N36" s="3" t="s">
        <v>305</v>
      </c>
      <c r="O36" s="137" t="str" cm="1">
        <f t="array" ref="O36">IFERROR(
  INDEX('Scrum Teams'!B$2:B$1010,
    MATCH(1,
      (B36='Scrum Teams'!F$2:F$1010) +
      (B36='Scrum Teams'!G$2:G$1010) +
      (B36='Scrum Teams'!H$2:H$1010) +
      (B36='Scrum Teams'!I$2:I$1010) +
      (B36='Scrum Teams'!J$2:J$1010) +
      (B36='Scrum Teams'!K$2:K$1010) +
      (B36='Scrum Teams'!L$2:L$1010) +
      (B36='Scrum Teams'!M$2:M$1010) +
      (B36='Scrum Teams'!N$2:N$1010) +
      (B36='Scrum Teams'!O$2:O$1010) +
      (B36='Scrum Teams'!P$2:P$1010) +
      (B36='Scrum Teams'!Q$2:Q$1010),
    0)
  ),
  "Not found"
)</f>
        <v>Retail Integration 2</v>
      </c>
      <c r="P36" s="194" t="s">
        <v>306</v>
      </c>
      <c r="Q36" s="37" t="s">
        <v>307</v>
      </c>
    </row>
    <row r="37" spans="1:17" hidden="1">
      <c r="A37" s="3" t="s">
        <v>61</v>
      </c>
      <c r="B37" s="22" t="s">
        <v>316</v>
      </c>
      <c r="C37" s="3" t="s">
        <v>302</v>
      </c>
      <c r="D37" s="3"/>
      <c r="E37" s="3" t="s">
        <v>60</v>
      </c>
      <c r="F37" s="3" t="s">
        <v>60</v>
      </c>
      <c r="G37" s="3" t="s">
        <v>98</v>
      </c>
      <c r="H37" s="291" t="s">
        <v>317</v>
      </c>
      <c r="I37" s="290"/>
      <c r="J37" s="290"/>
      <c r="K37" s="291" t="s">
        <v>318</v>
      </c>
      <c r="L37" s="291" t="s">
        <v>224</v>
      </c>
      <c r="M37" s="291" t="s">
        <v>225</v>
      </c>
      <c r="N37" s="3" t="s">
        <v>305</v>
      </c>
      <c r="O37" s="137" t="str" cm="1">
        <f t="array" ref="O37">IFERROR(
  INDEX('Scrum Teams'!B$2:B$1010,
    MATCH(1,
      (B37='Scrum Teams'!F$2:F$1010) +
      (B37='Scrum Teams'!G$2:G$1010) +
      (B37='Scrum Teams'!H$2:H$1010) +
      (B37='Scrum Teams'!I$2:I$1010) +
      (B37='Scrum Teams'!J$2:J$1010) +
      (B37='Scrum Teams'!K$2:K$1010) +
      (B37='Scrum Teams'!L$2:L$1010) +
      (B37='Scrum Teams'!M$2:M$1010) +
      (B37='Scrum Teams'!N$2:N$1010) +
      (B37='Scrum Teams'!O$2:O$1010) +
      (B37='Scrum Teams'!P$2:P$1010) +
      (B37='Scrum Teams'!Q$2:Q$1010),
    0)
  ),
  "Not found"
)</f>
        <v>Retail Integration 2</v>
      </c>
      <c r="P37" s="194" t="s">
        <v>306</v>
      </c>
      <c r="Q37" s="37" t="s">
        <v>307</v>
      </c>
    </row>
    <row r="38" spans="1:17" hidden="1">
      <c r="A38" s="3" t="s">
        <v>61</v>
      </c>
      <c r="B38" s="22" t="s">
        <v>319</v>
      </c>
      <c r="C38" s="3" t="s">
        <v>302</v>
      </c>
      <c r="D38" s="3"/>
      <c r="E38" s="3" t="s">
        <v>60</v>
      </c>
      <c r="F38" s="3" t="s">
        <v>60</v>
      </c>
      <c r="G38" s="3" t="s">
        <v>98</v>
      </c>
      <c r="H38" s="291" t="s">
        <v>320</v>
      </c>
      <c r="I38" s="291" t="s">
        <v>312</v>
      </c>
      <c r="J38" s="291" t="s">
        <v>312</v>
      </c>
      <c r="K38" s="291" t="s">
        <v>313</v>
      </c>
      <c r="L38" s="291" t="s">
        <v>313</v>
      </c>
      <c r="M38" s="291" t="s">
        <v>225</v>
      </c>
      <c r="N38" s="3" t="s">
        <v>305</v>
      </c>
      <c r="O38" s="137" t="str" cm="1">
        <f t="array" ref="O38">IFERROR(
  INDEX('Scrum Teams'!B$2:B$1010,
    MATCH(1,
      (B38='Scrum Teams'!F$2:F$1010) +
      (B38='Scrum Teams'!G$2:G$1010) +
      (B38='Scrum Teams'!H$2:H$1010) +
      (B38='Scrum Teams'!I$2:I$1010) +
      (B38='Scrum Teams'!J$2:J$1010) +
      (B38='Scrum Teams'!K$2:K$1010) +
      (B38='Scrum Teams'!L$2:L$1010) +
      (B38='Scrum Teams'!M$2:M$1010) +
      (B38='Scrum Teams'!N$2:N$1010) +
      (B38='Scrum Teams'!O$2:O$1010) +
      (B38='Scrum Teams'!P$2:P$1010) +
      (B38='Scrum Teams'!Q$2:Q$1010),
    0)
  ),
  "Not found"
)</f>
        <v>Credit &amp; FNI Integrations</v>
      </c>
      <c r="P38" s="194" t="s">
        <v>306</v>
      </c>
      <c r="Q38" s="37" t="s">
        <v>307</v>
      </c>
    </row>
    <row r="39" spans="1:17" hidden="1">
      <c r="A39" s="3" t="s">
        <v>61</v>
      </c>
      <c r="B39" s="22" t="s">
        <v>321</v>
      </c>
      <c r="C39" s="3" t="s">
        <v>322</v>
      </c>
      <c r="D39" s="3" t="s">
        <v>322</v>
      </c>
      <c r="E39" s="3" t="s">
        <v>60</v>
      </c>
      <c r="F39" s="3" t="s">
        <v>60</v>
      </c>
      <c r="G39" s="3" t="s">
        <v>98</v>
      </c>
      <c r="H39" s="291" t="s">
        <v>323</v>
      </c>
      <c r="I39" s="291" t="s">
        <v>324</v>
      </c>
      <c r="J39" s="290"/>
      <c r="K39" s="291" t="s">
        <v>309</v>
      </c>
      <c r="L39" s="290"/>
      <c r="M39" s="291" t="s">
        <v>98</v>
      </c>
      <c r="N39" s="3" t="s">
        <v>305</v>
      </c>
      <c r="O39" s="137" t="str" cm="1">
        <f t="array" ref="O39">IFERROR(
  INDEX('Scrum Teams'!B$2:B$1010,
    MATCH(1,
      (B39='Scrum Teams'!F$2:F$1010) +
      (B39='Scrum Teams'!G$2:G$1010) +
      (B39='Scrum Teams'!H$2:H$1010) +
      (B39='Scrum Teams'!I$2:I$1010) +
      (B39='Scrum Teams'!J$2:J$1010) +
      (B39='Scrum Teams'!K$2:K$1010) +
      (B39='Scrum Teams'!L$2:L$1010) +
      (B39='Scrum Teams'!M$2:M$1010) +
      (B39='Scrum Teams'!N$2:N$1010) +
      (B39='Scrum Teams'!O$2:O$1010) +
      (B39='Scrum Teams'!P$2:P$1010) +
      (B39='Scrum Teams'!Q$2:Q$1010),
    0)
  ),
  "Not found"
)</f>
        <v>FixedOps Integration 3</v>
      </c>
      <c r="P39" s="194" t="s">
        <v>306</v>
      </c>
      <c r="Q39" s="37" t="s">
        <v>307</v>
      </c>
    </row>
    <row r="40" spans="1:17" hidden="1">
      <c r="A40" s="3" t="s">
        <v>61</v>
      </c>
      <c r="B40" s="22" t="s">
        <v>325</v>
      </c>
      <c r="C40" s="3" t="s">
        <v>322</v>
      </c>
      <c r="D40" s="3" t="s">
        <v>322</v>
      </c>
      <c r="E40" s="3" t="s">
        <v>60</v>
      </c>
      <c r="F40" s="3" t="s">
        <v>60</v>
      </c>
      <c r="G40" s="3" t="s">
        <v>98</v>
      </c>
      <c r="H40" s="291" t="s">
        <v>326</v>
      </c>
      <c r="I40" s="291" t="s">
        <v>327</v>
      </c>
      <c r="J40" s="290"/>
      <c r="K40" s="291" t="s">
        <v>309</v>
      </c>
      <c r="L40" s="290"/>
      <c r="M40" s="291" t="s">
        <v>98</v>
      </c>
      <c r="N40" s="3" t="s">
        <v>305</v>
      </c>
      <c r="O40" s="137" t="str" cm="1">
        <f t="array" ref="O40">IFERROR(
  INDEX('Scrum Teams'!B$2:B$1010,
    MATCH(1,
      (B40='Scrum Teams'!F$2:F$1010) +
      (B40='Scrum Teams'!G$2:G$1010) +
      (B40='Scrum Teams'!H$2:H$1010) +
      (B40='Scrum Teams'!I$2:I$1010) +
      (B40='Scrum Teams'!J$2:J$1010) +
      (B40='Scrum Teams'!K$2:K$1010) +
      (B40='Scrum Teams'!L$2:L$1010) +
      (B40='Scrum Teams'!M$2:M$1010) +
      (B40='Scrum Teams'!N$2:N$1010) +
      (B40='Scrum Teams'!O$2:O$1010) +
      (B40='Scrum Teams'!P$2:P$1010) +
      (B40='Scrum Teams'!Q$2:Q$1010),
    0)
  ),
  "Not found"
)</f>
        <v>Platform Integrations</v>
      </c>
      <c r="P40" s="194" t="s">
        <v>306</v>
      </c>
      <c r="Q40" s="37" t="s">
        <v>307</v>
      </c>
    </row>
    <row r="41" spans="1:17" hidden="1">
      <c r="A41" s="3" t="s">
        <v>61</v>
      </c>
      <c r="B41" s="22" t="s">
        <v>328</v>
      </c>
      <c r="C41" s="3" t="s">
        <v>302</v>
      </c>
      <c r="D41" s="3"/>
      <c r="E41" s="3" t="s">
        <v>60</v>
      </c>
      <c r="F41" s="3" t="s">
        <v>60</v>
      </c>
      <c r="G41" s="3" t="s">
        <v>98</v>
      </c>
      <c r="H41" s="291" t="s">
        <v>329</v>
      </c>
      <c r="I41" s="291" t="s">
        <v>315</v>
      </c>
      <c r="J41" s="291" t="s">
        <v>315</v>
      </c>
      <c r="K41" s="291" t="s">
        <v>309</v>
      </c>
      <c r="L41" s="290"/>
      <c r="M41" s="291" t="s">
        <v>98</v>
      </c>
      <c r="N41" s="3" t="s">
        <v>305</v>
      </c>
      <c r="O41" s="137" t="str" cm="1">
        <f t="array" ref="O41">IFERROR(
  INDEX('Scrum Teams'!B$2:B$1010,
    MATCH(1,
      (B41='Scrum Teams'!F$2:F$1010) +
      (B41='Scrum Teams'!G$2:G$1010) +
      (B41='Scrum Teams'!H$2:H$1010) +
      (B41='Scrum Teams'!I$2:I$1010) +
      (B41='Scrum Teams'!J$2:J$1010) +
      (B41='Scrum Teams'!K$2:K$1010) +
      (B41='Scrum Teams'!L$2:L$1010) +
      (B41='Scrum Teams'!M$2:M$1010) +
      (B41='Scrum Teams'!N$2:N$1010) +
      (B41='Scrum Teams'!O$2:O$1010) +
      (B41='Scrum Teams'!P$2:P$1010) +
      (B41='Scrum Teams'!Q$2:Q$1010),
    0)
  ),
  "Not found"
)</f>
        <v>Retail Integration 1</v>
      </c>
      <c r="P41" s="194" t="s">
        <v>306</v>
      </c>
      <c r="Q41" s="37" t="s">
        <v>307</v>
      </c>
    </row>
    <row r="42" spans="1:17" hidden="1">
      <c r="A42" s="3" t="s">
        <v>61</v>
      </c>
      <c r="B42" s="22" t="s">
        <v>330</v>
      </c>
      <c r="C42" s="3" t="s">
        <v>322</v>
      </c>
      <c r="D42" s="3" t="s">
        <v>322</v>
      </c>
      <c r="E42" s="3" t="s">
        <v>60</v>
      </c>
      <c r="F42" s="3" t="s">
        <v>60</v>
      </c>
      <c r="G42" s="3" t="s">
        <v>98</v>
      </c>
      <c r="H42" s="291" t="s">
        <v>324</v>
      </c>
      <c r="I42" s="290"/>
      <c r="J42" s="290"/>
      <c r="K42" s="291" t="s">
        <v>309</v>
      </c>
      <c r="L42" s="290"/>
      <c r="M42" s="291" t="s">
        <v>98</v>
      </c>
      <c r="N42" s="3" t="s">
        <v>305</v>
      </c>
      <c r="O42" s="137" t="str" cm="1">
        <f t="array" ref="O42">IFERROR(
  INDEX('Scrum Teams'!B$2:B$1010,
    MATCH(1,
      (B42='Scrum Teams'!F$2:F$1010) +
      (B42='Scrum Teams'!G$2:G$1010) +
      (B42='Scrum Teams'!H$2:H$1010) +
      (B42='Scrum Teams'!I$2:I$1010) +
      (B42='Scrum Teams'!J$2:J$1010) +
      (B42='Scrum Teams'!K$2:K$1010) +
      (B42='Scrum Teams'!L$2:L$1010) +
      (B42='Scrum Teams'!M$2:M$1010) +
      (B42='Scrum Teams'!N$2:N$1010) +
      (B42='Scrum Teams'!O$2:O$1010) +
      (B42='Scrum Teams'!P$2:P$1010) +
      (B42='Scrum Teams'!Q$2:Q$1010),
    0)
  ),
  "Not found"
)</f>
        <v>FixedOps Integration 1</v>
      </c>
      <c r="P42" s="194" t="s">
        <v>306</v>
      </c>
      <c r="Q42" s="37" t="s">
        <v>307</v>
      </c>
    </row>
    <row r="43" spans="1:17" hidden="1">
      <c r="A43" s="3" t="s">
        <v>61</v>
      </c>
      <c r="B43" s="22" t="s">
        <v>331</v>
      </c>
      <c r="C43" s="3" t="s">
        <v>322</v>
      </c>
      <c r="D43" s="3" t="s">
        <v>322</v>
      </c>
      <c r="E43" s="3" t="s">
        <v>60</v>
      </c>
      <c r="F43" s="3" t="s">
        <v>60</v>
      </c>
      <c r="G43" s="3" t="s">
        <v>98</v>
      </c>
      <c r="H43" s="291" t="s">
        <v>296</v>
      </c>
      <c r="I43" s="291"/>
      <c r="J43" s="291"/>
      <c r="K43" s="291" t="s">
        <v>309</v>
      </c>
      <c r="L43" s="291"/>
      <c r="M43" s="291" t="s">
        <v>98</v>
      </c>
      <c r="N43" s="3" t="s">
        <v>305</v>
      </c>
      <c r="O43" s="137" t="str" cm="1">
        <f t="array" ref="O43">IFERROR(
  INDEX('Scrum Teams'!B$2:B$1010,
    MATCH(1,
      (B43='Scrum Teams'!F$2:F$1010) +
      (B43='Scrum Teams'!G$2:G$1010) +
      (B43='Scrum Teams'!H$2:H$1010) +
      (B43='Scrum Teams'!I$2:I$1010) +
      (B43='Scrum Teams'!J$2:J$1010) +
      (B43='Scrum Teams'!K$2:K$1010) +
      (B43='Scrum Teams'!L$2:L$1010) +
      (B43='Scrum Teams'!M$2:M$1010) +
      (B43='Scrum Teams'!N$2:N$1010) +
      (B43='Scrum Teams'!O$2:O$1010) +
      (B43='Scrum Teams'!P$2:P$1010) +
      (B43='Scrum Teams'!Q$2:Q$1010),
    0)
  ),
  "Not found"
)</f>
        <v>Not found</v>
      </c>
      <c r="P43" s="194" t="s">
        <v>306</v>
      </c>
      <c r="Q43" s="37" t="s">
        <v>307</v>
      </c>
    </row>
    <row r="44" spans="1:17" hidden="1">
      <c r="A44" s="3" t="s">
        <v>61</v>
      </c>
      <c r="B44" s="22" t="s">
        <v>332</v>
      </c>
      <c r="C44" s="3" t="s">
        <v>302</v>
      </c>
      <c r="D44" s="3"/>
      <c r="E44" s="3" t="s">
        <v>60</v>
      </c>
      <c r="F44" s="3" t="s">
        <v>60</v>
      </c>
      <c r="G44" s="3" t="s">
        <v>98</v>
      </c>
      <c r="H44" s="291" t="s">
        <v>333</v>
      </c>
      <c r="I44" s="291" t="s">
        <v>334</v>
      </c>
      <c r="J44" s="291"/>
      <c r="K44" s="291"/>
      <c r="L44" s="291"/>
      <c r="M44" s="291" t="s">
        <v>225</v>
      </c>
      <c r="N44" s="3" t="s">
        <v>305</v>
      </c>
      <c r="O44" s="137" t="str" cm="1">
        <f t="array" ref="O44">IFERROR(
  INDEX('Scrum Teams'!B$2:B$1010,
    MATCH(1,
      (B44='Scrum Teams'!F$2:F$1010) +
      (B44='Scrum Teams'!G$2:G$1010) +
      (B44='Scrum Teams'!H$2:H$1010) +
      (B44='Scrum Teams'!I$2:I$1010) +
      (B44='Scrum Teams'!J$2:J$1010) +
      (B44='Scrum Teams'!K$2:K$1010) +
      (B44='Scrum Teams'!L$2:L$1010) +
      (B44='Scrum Teams'!M$2:M$1010) +
      (B44='Scrum Teams'!N$2:N$1010) +
      (B44='Scrum Teams'!O$2:O$1010) +
      (B44='Scrum Teams'!P$2:P$1010) +
      (B44='Scrum Teams'!Q$2:Q$1010),
    0)
  ),
  "Not found"
)</f>
        <v>Credit &amp; FNI Integrations</v>
      </c>
      <c r="P44" s="194" t="s">
        <v>306</v>
      </c>
      <c r="Q44" s="37" t="s">
        <v>307</v>
      </c>
    </row>
    <row r="45" spans="1:17" hidden="1">
      <c r="A45" s="3" t="s">
        <v>61</v>
      </c>
      <c r="B45" s="22" t="s">
        <v>335</v>
      </c>
      <c r="C45" s="3" t="s">
        <v>302</v>
      </c>
      <c r="D45" s="3"/>
      <c r="E45" s="3" t="s">
        <v>60</v>
      </c>
      <c r="F45" s="3" t="s">
        <v>60</v>
      </c>
      <c r="G45" s="3" t="s">
        <v>98</v>
      </c>
      <c r="H45" s="291" t="s">
        <v>247</v>
      </c>
      <c r="I45" s="291" t="s">
        <v>248</v>
      </c>
      <c r="J45" s="291"/>
      <c r="K45" s="291" t="s">
        <v>249</v>
      </c>
      <c r="L45" s="291"/>
      <c r="M45" s="291" t="s">
        <v>250</v>
      </c>
      <c r="N45" s="3"/>
      <c r="O45" s="137" t="str" cm="1">
        <f t="array" ref="O45">IFERROR(
  INDEX('Scrum Teams'!B$2:B$1010,
    MATCH(1,
      (B45='Scrum Teams'!F$2:F$1010) +
      (B45='Scrum Teams'!G$2:G$1010) +
      (B45='Scrum Teams'!H$2:H$1010) +
      (B45='Scrum Teams'!I$2:I$1010) +
      (B45='Scrum Teams'!J$2:J$1010) +
      (B45='Scrum Teams'!K$2:K$1010) +
      (B45='Scrum Teams'!L$2:L$1010) +
      (B45='Scrum Teams'!M$2:M$1010) +
      (B45='Scrum Teams'!N$2:N$1010) +
      (B45='Scrum Teams'!O$2:O$1010) +
      (B45='Scrum Teams'!P$2:P$1010) +
      (B45='Scrum Teams'!Q$2:Q$1010),
    0)
  ),
  "Not found"
)</f>
        <v>Retail Integration 2</v>
      </c>
      <c r="P45" s="194" t="s">
        <v>306</v>
      </c>
      <c r="Q45" s="37" t="s">
        <v>307</v>
      </c>
    </row>
    <row r="46" spans="1:17" hidden="1">
      <c r="A46" s="3" t="s">
        <v>85</v>
      </c>
      <c r="B46" s="18" t="s">
        <v>336</v>
      </c>
      <c r="C46" s="3" t="s">
        <v>337</v>
      </c>
      <c r="D46" s="3"/>
      <c r="E46" s="3" t="s">
        <v>83</v>
      </c>
      <c r="F46" s="3"/>
      <c r="G46" s="3" t="s">
        <v>79</v>
      </c>
      <c r="H46" s="291" t="s">
        <v>338</v>
      </c>
      <c r="I46" s="291" t="s">
        <v>339</v>
      </c>
      <c r="J46" s="291" t="s">
        <v>339</v>
      </c>
      <c r="K46" s="291" t="s">
        <v>313</v>
      </c>
      <c r="L46" s="291" t="s">
        <v>313</v>
      </c>
      <c r="M46" s="291" t="s">
        <v>225</v>
      </c>
      <c r="N46" s="3"/>
      <c r="O46" s="137" t="str" cm="1">
        <f t="array" ref="O46">IFERROR(
  INDEX('Scrum Teams'!B$2:B$1010,
    MATCH(1,
      (B46='Scrum Teams'!F$2:F$1010) +
      (B46='Scrum Teams'!G$2:G$1010) +
      (B46='Scrum Teams'!H$2:H$1010) +
      (B46='Scrum Teams'!I$2:I$1010) +
      (B46='Scrum Teams'!J$2:J$1010) +
      (B46='Scrum Teams'!K$2:K$1010) +
      (B46='Scrum Teams'!L$2:L$1010) +
      (B46='Scrum Teams'!M$2:M$1010) +
      (B46='Scrum Teams'!N$2:N$1010) +
      (B46='Scrum Teams'!O$2:O$1010) +
      (B46='Scrum Teams'!P$2:P$1010) +
      (B46='Scrum Teams'!Q$2:Q$1010),
    0)
  ),
  "Not found"
)</f>
        <v>Kaveri</v>
      </c>
      <c r="P46" s="194" t="s">
        <v>146</v>
      </c>
      <c r="Q46" s="37" t="s">
        <v>227</v>
      </c>
    </row>
    <row r="47" spans="1:17" hidden="1">
      <c r="A47" s="3" t="s">
        <v>85</v>
      </c>
      <c r="B47" s="22" t="s">
        <v>340</v>
      </c>
      <c r="C47" s="3" t="s">
        <v>337</v>
      </c>
      <c r="D47" s="3"/>
      <c r="E47" s="3" t="s">
        <v>83</v>
      </c>
      <c r="F47" s="3"/>
      <c r="G47" s="3" t="s">
        <v>79</v>
      </c>
      <c r="H47" s="291" t="s">
        <v>341</v>
      </c>
      <c r="I47" s="291" t="s">
        <v>338</v>
      </c>
      <c r="J47" s="291" t="s">
        <v>339</v>
      </c>
      <c r="K47" s="291" t="s">
        <v>313</v>
      </c>
      <c r="L47" s="291" t="s">
        <v>313</v>
      </c>
      <c r="M47" s="291" t="s">
        <v>225</v>
      </c>
      <c r="N47" s="3"/>
      <c r="O47" s="137" t="str" cm="1">
        <f t="array" ref="O47">IFERROR(
  INDEX('Scrum Teams'!B$2:B$1010,
    MATCH(1,
      (B47='Scrum Teams'!F$2:F$1010) +
      (B47='Scrum Teams'!G$2:G$1010) +
      (B47='Scrum Teams'!H$2:H$1010) +
      (B47='Scrum Teams'!I$2:I$1010) +
      (B47='Scrum Teams'!J$2:J$1010) +
      (B47='Scrum Teams'!K$2:K$1010) +
      (B47='Scrum Teams'!L$2:L$1010) +
      (B47='Scrum Teams'!M$2:M$1010) +
      (B47='Scrum Teams'!N$2:N$1010) +
      (B47='Scrum Teams'!O$2:O$1010) +
      (B47='Scrum Teams'!P$2:P$1010) +
      (B47='Scrum Teams'!Q$2:Q$1010),
    0)
  ),
  "Not found"
)</f>
        <v>Kaveri</v>
      </c>
      <c r="P47" s="194" t="s">
        <v>146</v>
      </c>
      <c r="Q47" s="37" t="s">
        <v>227</v>
      </c>
    </row>
    <row r="48" spans="1:17" hidden="1">
      <c r="A48" s="3" t="s">
        <v>85</v>
      </c>
      <c r="B48" s="22" t="s">
        <v>342</v>
      </c>
      <c r="C48" s="3" t="s">
        <v>337</v>
      </c>
      <c r="D48" s="3"/>
      <c r="E48" s="3" t="s">
        <v>83</v>
      </c>
      <c r="F48" s="3"/>
      <c r="G48" s="3" t="s">
        <v>79</v>
      </c>
      <c r="H48" s="291" t="s">
        <v>338</v>
      </c>
      <c r="I48" s="291" t="s">
        <v>339</v>
      </c>
      <c r="J48" s="291" t="s">
        <v>339</v>
      </c>
      <c r="K48" s="291" t="s">
        <v>313</v>
      </c>
      <c r="L48" s="291" t="s">
        <v>313</v>
      </c>
      <c r="M48" s="291" t="s">
        <v>225</v>
      </c>
      <c r="N48" s="3"/>
      <c r="O48" s="137" t="str" cm="1">
        <f t="array" ref="O48">IFERROR(
  INDEX('Scrum Teams'!B$2:B$1010,
    MATCH(1,
      (B48='Scrum Teams'!F$2:F$1010) +
      (B48='Scrum Teams'!G$2:G$1010) +
      (B48='Scrum Teams'!H$2:H$1010) +
      (B48='Scrum Teams'!I$2:I$1010) +
      (B48='Scrum Teams'!J$2:J$1010) +
      (B48='Scrum Teams'!K$2:K$1010) +
      (B48='Scrum Teams'!L$2:L$1010) +
      (B48='Scrum Teams'!M$2:M$1010) +
      (B48='Scrum Teams'!N$2:N$1010) +
      (B48='Scrum Teams'!O$2:O$1010) +
      (B48='Scrum Teams'!P$2:P$1010) +
      (B48='Scrum Teams'!Q$2:Q$1010),
    0)
  ),
  "Not found"
)</f>
        <v>Kaveri</v>
      </c>
      <c r="P48" s="194" t="s">
        <v>146</v>
      </c>
      <c r="Q48" s="37" t="s">
        <v>227</v>
      </c>
    </row>
    <row r="49" spans="1:17" hidden="1">
      <c r="A49" s="3" t="s">
        <v>85</v>
      </c>
      <c r="B49" s="22" t="s">
        <v>343</v>
      </c>
      <c r="C49" s="3" t="s">
        <v>337</v>
      </c>
      <c r="D49" s="3"/>
      <c r="E49" s="3" t="s">
        <v>83</v>
      </c>
      <c r="F49" s="3"/>
      <c r="G49" s="3" t="s">
        <v>79</v>
      </c>
      <c r="H49" s="291" t="s">
        <v>338</v>
      </c>
      <c r="I49" s="291" t="s">
        <v>339</v>
      </c>
      <c r="J49" s="291" t="s">
        <v>339</v>
      </c>
      <c r="K49" s="291" t="s">
        <v>313</v>
      </c>
      <c r="L49" s="291" t="s">
        <v>313</v>
      </c>
      <c r="M49" s="291" t="s">
        <v>225</v>
      </c>
      <c r="N49" s="3"/>
      <c r="O49" s="137" t="str" cm="1">
        <f t="array" ref="O49">IFERROR(
  INDEX('Scrum Teams'!B$2:B$1010,
    MATCH(1,
      (B49='Scrum Teams'!F$2:F$1010) +
      (B49='Scrum Teams'!G$2:G$1010) +
      (B49='Scrum Teams'!H$2:H$1010) +
      (B49='Scrum Teams'!I$2:I$1010) +
      (B49='Scrum Teams'!J$2:J$1010) +
      (B49='Scrum Teams'!K$2:K$1010) +
      (B49='Scrum Teams'!L$2:L$1010) +
      (B49='Scrum Teams'!M$2:M$1010) +
      (B49='Scrum Teams'!N$2:N$1010) +
      (B49='Scrum Teams'!O$2:O$1010) +
      (B49='Scrum Teams'!P$2:P$1010) +
      (B49='Scrum Teams'!Q$2:Q$1010),
    0)
  ),
  "Not found"
)</f>
        <v>Kaveri</v>
      </c>
      <c r="P49" s="194" t="s">
        <v>146</v>
      </c>
      <c r="Q49" s="37" t="s">
        <v>227</v>
      </c>
    </row>
    <row r="50" spans="1:17" hidden="1">
      <c r="A50" s="3" t="s">
        <v>85</v>
      </c>
      <c r="B50" s="22" t="s">
        <v>344</v>
      </c>
      <c r="C50" s="3" t="s">
        <v>337</v>
      </c>
      <c r="D50" s="3"/>
      <c r="E50" s="3" t="s">
        <v>83</v>
      </c>
      <c r="F50" s="3"/>
      <c r="G50" s="3" t="s">
        <v>79</v>
      </c>
      <c r="H50" s="291" t="s">
        <v>338</v>
      </c>
      <c r="I50" s="291" t="s">
        <v>339</v>
      </c>
      <c r="J50" s="291" t="s">
        <v>339</v>
      </c>
      <c r="K50" s="291" t="s">
        <v>313</v>
      </c>
      <c r="L50" s="291" t="s">
        <v>313</v>
      </c>
      <c r="M50" s="291" t="s">
        <v>225</v>
      </c>
      <c r="N50" s="3"/>
      <c r="O50" s="137" t="str" cm="1">
        <f t="array" ref="O50">IFERROR(
  INDEX('Scrum Teams'!B$2:B$1010,
    MATCH(1,
      (B50='Scrum Teams'!F$2:F$1010) +
      (B50='Scrum Teams'!G$2:G$1010) +
      (B50='Scrum Teams'!H$2:H$1010) +
      (B50='Scrum Teams'!I$2:I$1010) +
      (B50='Scrum Teams'!J$2:J$1010) +
      (B50='Scrum Teams'!K$2:K$1010) +
      (B50='Scrum Teams'!L$2:L$1010) +
      (B50='Scrum Teams'!M$2:M$1010) +
      (B50='Scrum Teams'!N$2:N$1010) +
      (B50='Scrum Teams'!O$2:O$1010) +
      (B50='Scrum Teams'!P$2:P$1010) +
      (B50='Scrum Teams'!Q$2:Q$1010),
    0)
  ),
  "Not found"
)</f>
        <v>Kaveri</v>
      </c>
      <c r="P50" s="194" t="s">
        <v>146</v>
      </c>
      <c r="Q50" s="37" t="s">
        <v>227</v>
      </c>
    </row>
    <row r="51" spans="1:17" hidden="1">
      <c r="A51" s="3" t="s">
        <v>85</v>
      </c>
      <c r="B51" s="22" t="s">
        <v>345</v>
      </c>
      <c r="C51" s="3" t="s">
        <v>346</v>
      </c>
      <c r="D51" s="3"/>
      <c r="E51" s="3" t="s">
        <v>83</v>
      </c>
      <c r="F51" s="3"/>
      <c r="G51" s="3" t="s">
        <v>79</v>
      </c>
      <c r="H51" s="291" t="s">
        <v>341</v>
      </c>
      <c r="I51" s="291" t="s">
        <v>338</v>
      </c>
      <c r="J51" s="291" t="s">
        <v>339</v>
      </c>
      <c r="K51" s="291" t="s">
        <v>313</v>
      </c>
      <c r="L51" s="291" t="s">
        <v>313</v>
      </c>
      <c r="M51" s="291" t="s">
        <v>225</v>
      </c>
      <c r="N51" s="3"/>
      <c r="O51" s="137" t="str" cm="1">
        <f t="array" ref="O51">IFERROR(
  INDEX('Scrum Teams'!B$2:B$1010,
    MATCH(1,
      (B51='Scrum Teams'!F$2:F$1010) +
      (B51='Scrum Teams'!G$2:G$1010) +
      (B51='Scrum Teams'!H$2:H$1010) +
      (B51='Scrum Teams'!I$2:I$1010) +
      (B51='Scrum Teams'!J$2:J$1010) +
      (B51='Scrum Teams'!K$2:K$1010) +
      (B51='Scrum Teams'!L$2:L$1010) +
      (B51='Scrum Teams'!M$2:M$1010) +
      (B51='Scrum Teams'!N$2:N$1010) +
      (B51='Scrum Teams'!O$2:O$1010) +
      (B51='Scrum Teams'!P$2:P$1010) +
      (B51='Scrum Teams'!Q$2:Q$1010),
    0)
  ),
  "Not found"
)</f>
        <v>Kaveri</v>
      </c>
      <c r="P51" s="194" t="s">
        <v>146</v>
      </c>
      <c r="Q51" s="37" t="s">
        <v>227</v>
      </c>
    </row>
    <row r="52" spans="1:17" hidden="1">
      <c r="A52" s="3" t="s">
        <v>86</v>
      </c>
      <c r="B52" s="18" t="s">
        <v>347</v>
      </c>
      <c r="C52" s="3" t="s">
        <v>348</v>
      </c>
      <c r="D52" s="3"/>
      <c r="E52" s="3" t="s">
        <v>83</v>
      </c>
      <c r="F52" s="3"/>
      <c r="G52" s="3" t="s">
        <v>79</v>
      </c>
      <c r="H52" s="293" t="s">
        <v>329</v>
      </c>
      <c r="I52" s="291" t="s">
        <v>315</v>
      </c>
      <c r="J52" s="291" t="s">
        <v>315</v>
      </c>
      <c r="K52" s="291" t="s">
        <v>309</v>
      </c>
      <c r="L52" s="291"/>
      <c r="M52" s="291" t="s">
        <v>98</v>
      </c>
      <c r="N52" s="3"/>
      <c r="O52" s="137" t="str" cm="1">
        <f t="array" ref="O52">IFERROR(
  INDEX('Scrum Teams'!B$2:B$1010,
    MATCH(1,
      (B52='Scrum Teams'!F$2:F$1010) +
      (B52='Scrum Teams'!G$2:G$1010) +
      (B52='Scrum Teams'!H$2:H$1010) +
      (B52='Scrum Teams'!I$2:I$1010) +
      (B52='Scrum Teams'!J$2:J$1010) +
      (B52='Scrum Teams'!K$2:K$1010) +
      (B52='Scrum Teams'!L$2:L$1010) +
      (B52='Scrum Teams'!M$2:M$1010) +
      (B52='Scrum Teams'!N$2:N$1010) +
      (B52='Scrum Teams'!O$2:O$1010) +
      (B52='Scrum Teams'!P$2:P$1010) +
      (B52='Scrum Teams'!Q$2:Q$1010),
    0)
  ),
  "Not found"
)</f>
        <v>Not found</v>
      </c>
      <c r="P52" s="194"/>
      <c r="Q52" s="37" t="s">
        <v>227</v>
      </c>
    </row>
    <row r="53" spans="1:17" ht="16.5" hidden="1">
      <c r="A53" s="3" t="s">
        <v>88</v>
      </c>
      <c r="B53" s="18" t="s">
        <v>349</v>
      </c>
      <c r="C53" s="3" t="s">
        <v>350</v>
      </c>
      <c r="D53" s="3"/>
      <c r="E53" s="3" t="s">
        <v>87</v>
      </c>
      <c r="F53" s="3"/>
      <c r="G53" s="3" t="s">
        <v>79</v>
      </c>
      <c r="H53" s="251" t="s">
        <v>351</v>
      </c>
      <c r="I53" s="252" t="s">
        <v>242</v>
      </c>
      <c r="J53" s="252" t="s">
        <v>242</v>
      </c>
      <c r="K53" s="252" t="s">
        <v>224</v>
      </c>
      <c r="L53" s="252" t="s">
        <v>224</v>
      </c>
      <c r="M53" s="255" t="s">
        <v>225</v>
      </c>
      <c r="N53" s="3" t="s">
        <v>352</v>
      </c>
      <c r="O53" s="137" t="str" cm="1">
        <f t="array" ref="O53">IFERROR(
  INDEX('Scrum Teams'!B$2:B$1010,
    MATCH(1,
      (B53='Scrum Teams'!F$2:F$1010) +
      (B53='Scrum Teams'!G$2:G$1010) +
      (B53='Scrum Teams'!H$2:H$1010) +
      (B53='Scrum Teams'!I$2:I$1010) +
      (B53='Scrum Teams'!J$2:J$1010) +
      (B53='Scrum Teams'!K$2:K$1010) +
      (B53='Scrum Teams'!L$2:L$1010) +
      (B53='Scrum Teams'!M$2:M$1010) +
      (B53='Scrum Teams'!N$2:N$1010) +
      (B53='Scrum Teams'!O$2:O$1010) +
      (B53='Scrum Teams'!P$2:P$1010) +
      (B53='Scrum Teams'!Q$2:Q$1010),
    0)
  ),
  "Not found"
)</f>
        <v>Desking</v>
      </c>
      <c r="P53" s="194" t="s">
        <v>151</v>
      </c>
      <c r="Q53" s="37" t="s">
        <v>227</v>
      </c>
    </row>
    <row r="54" spans="1:17" ht="16.5" hidden="1">
      <c r="A54" s="3" t="s">
        <v>88</v>
      </c>
      <c r="B54" s="18" t="s">
        <v>353</v>
      </c>
      <c r="C54" s="3" t="s">
        <v>354</v>
      </c>
      <c r="D54" s="3"/>
      <c r="E54" s="3" t="s">
        <v>87</v>
      </c>
      <c r="F54" s="3"/>
      <c r="G54" s="3" t="s">
        <v>79</v>
      </c>
      <c r="H54" s="249" t="s">
        <v>355</v>
      </c>
      <c r="I54" s="252" t="s">
        <v>356</v>
      </c>
      <c r="J54" s="253" t="s">
        <v>242</v>
      </c>
      <c r="K54" s="253" t="s">
        <v>224</v>
      </c>
      <c r="L54" s="253" t="s">
        <v>224</v>
      </c>
      <c r="M54" s="255" t="s">
        <v>225</v>
      </c>
      <c r="N54" s="3" t="s">
        <v>352</v>
      </c>
      <c r="O54" s="137" t="str" cm="1">
        <f t="array" ref="O54">IFERROR(
  INDEX('Scrum Teams'!B$2:B$1010,
    MATCH(1,
      (B54='Scrum Teams'!F$2:F$1010) +
      (B54='Scrum Teams'!G$2:G$1010) +
      (B54='Scrum Teams'!H$2:H$1010) +
      (B54='Scrum Teams'!I$2:I$1010) +
      (B54='Scrum Teams'!J$2:J$1010) +
      (B54='Scrum Teams'!K$2:K$1010) +
      (B54='Scrum Teams'!L$2:L$1010) +
      (B54='Scrum Teams'!M$2:M$1010) +
      (B54='Scrum Teams'!N$2:N$1010) +
      (B54='Scrum Teams'!O$2:O$1010) +
      (B54='Scrum Teams'!P$2:P$1010) +
      (B54='Scrum Teams'!Q$2:Q$1010),
    0)
  ),
  "Not found"
)</f>
        <v>Deals</v>
      </c>
      <c r="P54" s="194" t="s">
        <v>151</v>
      </c>
      <c r="Q54" s="37" t="s">
        <v>227</v>
      </c>
    </row>
    <row r="55" spans="1:17" ht="16.5" hidden="1">
      <c r="A55" s="3" t="s">
        <v>88</v>
      </c>
      <c r="B55" s="18" t="s">
        <v>357</v>
      </c>
      <c r="C55" s="3" t="s">
        <v>358</v>
      </c>
      <c r="D55" s="3"/>
      <c r="E55" s="3" t="s">
        <v>87</v>
      </c>
      <c r="F55" s="3"/>
      <c r="G55" s="3" t="s">
        <v>79</v>
      </c>
      <c r="H55" s="249" t="s">
        <v>359</v>
      </c>
      <c r="I55" s="252" t="s">
        <v>242</v>
      </c>
      <c r="J55" s="253" t="s">
        <v>242</v>
      </c>
      <c r="K55" s="253" t="s">
        <v>224</v>
      </c>
      <c r="L55" s="253" t="s">
        <v>224</v>
      </c>
      <c r="M55" s="255" t="s">
        <v>225</v>
      </c>
      <c r="N55" s="3" t="s">
        <v>352</v>
      </c>
      <c r="O55" s="137" t="str" cm="1">
        <f t="array" ref="O55">IFERROR(
  INDEX('Scrum Teams'!B$2:B$1010,
    MATCH(1,
      (B55='Scrum Teams'!F$2:F$1010) +
      (B55='Scrum Teams'!G$2:G$1010) +
      (B55='Scrum Teams'!H$2:H$1010) +
      (B55='Scrum Teams'!I$2:I$1010) +
      (B55='Scrum Teams'!J$2:J$1010) +
      (B55='Scrum Teams'!K$2:K$1010) +
      (B55='Scrum Teams'!L$2:L$1010) +
      (B55='Scrum Teams'!M$2:M$1010) +
      (B55='Scrum Teams'!N$2:N$1010) +
      (B55='Scrum Teams'!O$2:O$1010) +
      (B55='Scrum Teams'!P$2:P$1010) +
      (B55='Scrum Teams'!Q$2:Q$1010),
    0)
  ),
  "Not found"
)</f>
        <v>VI</v>
      </c>
      <c r="P55" s="194" t="s">
        <v>151</v>
      </c>
      <c r="Q55" s="37" t="s">
        <v>227</v>
      </c>
    </row>
    <row r="56" spans="1:17" ht="16.5" hidden="1">
      <c r="A56" s="3" t="s">
        <v>88</v>
      </c>
      <c r="B56" s="18" t="s">
        <v>360</v>
      </c>
      <c r="C56" s="3" t="s">
        <v>350</v>
      </c>
      <c r="D56" s="3"/>
      <c r="E56" s="3" t="s">
        <v>87</v>
      </c>
      <c r="F56" s="3"/>
      <c r="G56" s="3" t="s">
        <v>79</v>
      </c>
      <c r="H56" s="249" t="s">
        <v>361</v>
      </c>
      <c r="I56" s="249" t="s">
        <v>362</v>
      </c>
      <c r="J56" s="253" t="s">
        <v>242</v>
      </c>
      <c r="K56" s="253" t="s">
        <v>224</v>
      </c>
      <c r="L56" s="253" t="s">
        <v>224</v>
      </c>
      <c r="M56" s="255" t="s">
        <v>225</v>
      </c>
      <c r="N56" s="3" t="s">
        <v>352</v>
      </c>
      <c r="O56" s="137" t="str" cm="1">
        <f t="array" ref="O56">IFERROR(
  INDEX('Scrum Teams'!B$2:B$1010,
    MATCH(1,
      (B56='Scrum Teams'!F$2:F$1010) +
      (B56='Scrum Teams'!G$2:G$1010) +
      (B56='Scrum Teams'!H$2:H$1010) +
      (B56='Scrum Teams'!I$2:I$1010) +
      (B56='Scrum Teams'!J$2:J$1010) +
      (B56='Scrum Teams'!K$2:K$1010) +
      (B56='Scrum Teams'!L$2:L$1010) +
      (B56='Scrum Teams'!M$2:M$1010) +
      (B56='Scrum Teams'!N$2:N$1010) +
      (B56='Scrum Teams'!O$2:O$1010) +
      (B56='Scrum Teams'!P$2:P$1010) +
      (B56='Scrum Teams'!Q$2:Q$1010),
    0)
  ),
  "Not found"
)</f>
        <v xml:space="preserve">Pricing </v>
      </c>
      <c r="P56" s="194" t="s">
        <v>151</v>
      </c>
      <c r="Q56" s="37" t="s">
        <v>227</v>
      </c>
    </row>
    <row r="57" spans="1:17" ht="16.5" hidden="1">
      <c r="A57" s="3" t="s">
        <v>88</v>
      </c>
      <c r="B57" s="18" t="s">
        <v>363</v>
      </c>
      <c r="C57" s="3" t="s">
        <v>364</v>
      </c>
      <c r="D57" s="3"/>
      <c r="E57" s="3" t="s">
        <v>87</v>
      </c>
      <c r="F57" s="3"/>
      <c r="G57" s="3" t="s">
        <v>79</v>
      </c>
      <c r="H57" s="249" t="s">
        <v>365</v>
      </c>
      <c r="I57" s="252" t="s">
        <v>242</v>
      </c>
      <c r="J57" s="253" t="s">
        <v>242</v>
      </c>
      <c r="K57" s="253" t="s">
        <v>224</v>
      </c>
      <c r="L57" s="253" t="s">
        <v>224</v>
      </c>
      <c r="M57" s="255" t="s">
        <v>225</v>
      </c>
      <c r="N57" s="3" t="s">
        <v>352</v>
      </c>
      <c r="O57" s="137" t="str" cm="1">
        <f t="array" ref="O57">IFERROR(
  INDEX('Scrum Teams'!B$2:B$1010,
    MATCH(1,
      (B57='Scrum Teams'!F$2:F$1010) +
      (B57='Scrum Teams'!G$2:G$1010) +
      (B57='Scrum Teams'!H$2:H$1010) +
      (B57='Scrum Teams'!I$2:I$1010) +
      (B57='Scrum Teams'!J$2:J$1010) +
      (B57='Scrum Teams'!K$2:K$1010) +
      (B57='Scrum Teams'!L$2:L$1010) +
      (B57='Scrum Teams'!M$2:M$1010) +
      (B57='Scrum Teams'!N$2:N$1010) +
      (B57='Scrum Teams'!O$2:O$1010) +
      (B57='Scrum Teams'!P$2:P$1010) +
      (B57='Scrum Teams'!Q$2:Q$1010),
    0)
  ),
  "Not found"
)</f>
        <v>IMS</v>
      </c>
      <c r="P57" s="194" t="s">
        <v>151</v>
      </c>
      <c r="Q57" s="37" t="s">
        <v>227</v>
      </c>
    </row>
    <row r="58" spans="1:17" ht="16.5" hidden="1">
      <c r="A58" s="3" t="s">
        <v>88</v>
      </c>
      <c r="B58" s="18" t="s">
        <v>366</v>
      </c>
      <c r="C58" s="3" t="s">
        <v>358</v>
      </c>
      <c r="D58" s="3"/>
      <c r="E58" s="3" t="s">
        <v>87</v>
      </c>
      <c r="F58" s="3"/>
      <c r="G58" s="3" t="s">
        <v>79</v>
      </c>
      <c r="H58" s="249" t="s">
        <v>367</v>
      </c>
      <c r="I58" s="252" t="s">
        <v>242</v>
      </c>
      <c r="J58" s="253" t="s">
        <v>242</v>
      </c>
      <c r="K58" s="253" t="s">
        <v>224</v>
      </c>
      <c r="L58" s="253" t="s">
        <v>224</v>
      </c>
      <c r="M58" s="255" t="s">
        <v>225</v>
      </c>
      <c r="N58" s="3" t="s">
        <v>352</v>
      </c>
      <c r="O58" s="137" t="str" cm="1">
        <f t="array" ref="O58">IFERROR(
  INDEX('Scrum Teams'!B$2:B$1010,
    MATCH(1,
      (B58='Scrum Teams'!F$2:F$1010) +
      (B58='Scrum Teams'!G$2:G$1010) +
      (B58='Scrum Teams'!H$2:H$1010) +
      (B58='Scrum Teams'!I$2:I$1010) +
      (B58='Scrum Teams'!J$2:J$1010) +
      (B58='Scrum Teams'!K$2:K$1010) +
      (B58='Scrum Teams'!L$2:L$1010) +
      (B58='Scrum Teams'!M$2:M$1010) +
      (B58='Scrum Teams'!N$2:N$1010) +
      (B58='Scrum Teams'!O$2:O$1010) +
      (B58='Scrum Teams'!P$2:P$1010) +
      (B58='Scrum Teams'!Q$2:Q$1010),
    0)
  ),
  "Not found"
)</f>
        <v>CAVIAR</v>
      </c>
      <c r="P58" s="194" t="s">
        <v>151</v>
      </c>
      <c r="Q58" s="37" t="s">
        <v>227</v>
      </c>
    </row>
    <row r="59" spans="1:17" ht="16.5" hidden="1">
      <c r="A59" s="3" t="s">
        <v>88</v>
      </c>
      <c r="B59" s="18" t="s">
        <v>368</v>
      </c>
      <c r="C59" s="3" t="s">
        <v>358</v>
      </c>
      <c r="D59" s="3"/>
      <c r="E59" s="3" t="s">
        <v>87</v>
      </c>
      <c r="F59" s="3"/>
      <c r="G59" s="3" t="s">
        <v>79</v>
      </c>
      <c r="H59" s="249" t="s">
        <v>241</v>
      </c>
      <c r="I59" s="252" t="s">
        <v>242</v>
      </c>
      <c r="J59" s="253" t="s">
        <v>242</v>
      </c>
      <c r="K59" s="253" t="s">
        <v>224</v>
      </c>
      <c r="L59" s="253" t="s">
        <v>224</v>
      </c>
      <c r="M59" s="255" t="s">
        <v>225</v>
      </c>
      <c r="N59" s="3" t="s">
        <v>352</v>
      </c>
      <c r="O59" s="137" t="str" cm="1">
        <f t="array" ref="O59">IFERROR(
  INDEX('Scrum Teams'!B$2:B$1010,
    MATCH(1,
      (B59='Scrum Teams'!F$2:F$1010) +
      (B59='Scrum Teams'!G$2:G$1010) +
      (B59='Scrum Teams'!H$2:H$1010) +
      (B59='Scrum Teams'!I$2:I$1010) +
      (B59='Scrum Teams'!J$2:J$1010) +
      (B59='Scrum Teams'!K$2:K$1010) +
      (B59='Scrum Teams'!L$2:L$1010) +
      (B59='Scrum Teams'!M$2:M$1010) +
      (B59='Scrum Teams'!N$2:N$1010) +
      (B59='Scrum Teams'!O$2:O$1010) +
      (B59='Scrum Teams'!P$2:P$1010) +
      (B59='Scrum Teams'!Q$2:Q$1010),
    0)
  ),
  "Not found"
)</f>
        <v>VI</v>
      </c>
      <c r="P59" s="194" t="s">
        <v>151</v>
      </c>
      <c r="Q59" s="37" t="s">
        <v>227</v>
      </c>
    </row>
    <row r="60" spans="1:17" hidden="1">
      <c r="A60" s="3" t="s">
        <v>49</v>
      </c>
      <c r="B60" s="18" t="s">
        <v>369</v>
      </c>
      <c r="C60" s="3" t="s">
        <v>370</v>
      </c>
      <c r="D60" s="3" t="s">
        <v>371</v>
      </c>
      <c r="E60" s="3" t="s">
        <v>48</v>
      </c>
      <c r="F60" s="3"/>
      <c r="G60" s="3" t="s">
        <v>43</v>
      </c>
      <c r="H60" s="290" t="s">
        <v>372</v>
      </c>
      <c r="I60" s="290" t="s">
        <v>304</v>
      </c>
      <c r="J60" s="290" t="s">
        <v>304</v>
      </c>
      <c r="K60" s="290"/>
      <c r="L60" s="290"/>
      <c r="M60" s="290" t="s">
        <v>225</v>
      </c>
      <c r="N60" s="3"/>
      <c r="O60" s="137" t="str" cm="1">
        <f t="array" ref="O60">IFERROR(
  INDEX('Scrum Teams'!B$2:B$1010,
    MATCH(1,
      (B60='Scrum Teams'!F$2:F$1010) +
      (B60='Scrum Teams'!G$2:G$1010) +
      (B60='Scrum Teams'!H$2:H$1010) +
      (B60='Scrum Teams'!I$2:I$1010) +
      (B60='Scrum Teams'!J$2:J$1010) +
      (B60='Scrum Teams'!K$2:K$1010) +
      (B60='Scrum Teams'!L$2:L$1010) +
      (B60='Scrum Teams'!M$2:M$1010) +
      (B60='Scrum Teams'!N$2:N$1010) +
      (B60='Scrum Teams'!O$2:O$1010) +
      (B60='Scrum Teams'!P$2:P$1010) +
      (B60='Scrum Teams'!Q$2:Q$1010),
    0)
  ),
  "Not found"
)</f>
        <v>Hydrogen</v>
      </c>
      <c r="P60" s="194" t="s">
        <v>128</v>
      </c>
      <c r="Q60" s="37" t="s">
        <v>373</v>
      </c>
    </row>
    <row r="61" spans="1:17" hidden="1">
      <c r="A61" s="3" t="s">
        <v>49</v>
      </c>
      <c r="B61" s="18" t="s">
        <v>374</v>
      </c>
      <c r="C61" s="3" t="s">
        <v>375</v>
      </c>
      <c r="D61" s="3"/>
      <c r="E61" s="3" t="s">
        <v>48</v>
      </c>
      <c r="F61" s="3"/>
      <c r="G61" s="3" t="s">
        <v>43</v>
      </c>
      <c r="H61" s="290" t="s">
        <v>303</v>
      </c>
      <c r="I61" s="290" t="s">
        <v>304</v>
      </c>
      <c r="J61" s="290" t="s">
        <v>304</v>
      </c>
      <c r="K61" s="290"/>
      <c r="L61" s="290"/>
      <c r="M61" s="290" t="s">
        <v>225</v>
      </c>
      <c r="N61" s="3" t="s">
        <v>376</v>
      </c>
      <c r="O61" s="137" t="str" cm="1">
        <f t="array" ref="O61">IFERROR(
  INDEX('Scrum Teams'!B$2:B$1010,
    MATCH(1,
      (B61='Scrum Teams'!F$2:F$1010) +
      (B61='Scrum Teams'!G$2:G$1010) +
      (B61='Scrum Teams'!H$2:H$1010) +
      (B61='Scrum Teams'!I$2:I$1010) +
      (B61='Scrum Teams'!J$2:J$1010) +
      (B61='Scrum Teams'!K$2:K$1010) +
      (B61='Scrum Teams'!L$2:L$1010) +
      (B61='Scrum Teams'!M$2:M$1010) +
      (B61='Scrum Teams'!N$2:N$1010) +
      (B61='Scrum Teams'!O$2:O$1010) +
      (B61='Scrum Teams'!P$2:P$1010) +
      (B61='Scrum Teams'!Q$2:Q$1010),
    0)
  ),
  "Not found"
)</f>
        <v>Gold</v>
      </c>
      <c r="P61" s="194" t="s">
        <v>128</v>
      </c>
      <c r="Q61" s="37" t="s">
        <v>373</v>
      </c>
    </row>
    <row r="62" spans="1:17" hidden="1">
      <c r="A62" s="3" t="s">
        <v>49</v>
      </c>
      <c r="B62" s="18" t="s">
        <v>377</v>
      </c>
      <c r="C62" s="3" t="s">
        <v>378</v>
      </c>
      <c r="D62" s="3"/>
      <c r="E62" s="3" t="s">
        <v>48</v>
      </c>
      <c r="F62" s="3"/>
      <c r="G62" s="3" t="s">
        <v>43</v>
      </c>
      <c r="H62" s="290" t="s">
        <v>379</v>
      </c>
      <c r="I62" s="290" t="s">
        <v>304</v>
      </c>
      <c r="J62" s="290" t="s">
        <v>304</v>
      </c>
      <c r="K62" s="290"/>
      <c r="L62" s="290"/>
      <c r="M62" s="290" t="s">
        <v>225</v>
      </c>
      <c r="N62" s="3" t="s">
        <v>376</v>
      </c>
      <c r="O62" s="137" t="str" cm="1">
        <f t="array" ref="O62">IFERROR(
  INDEX('Scrum Teams'!B$2:B$1010,
    MATCH(1,
      (B62='Scrum Teams'!F$2:F$1010) +
      (B62='Scrum Teams'!G$2:G$1010) +
      (B62='Scrum Teams'!H$2:H$1010) +
      (B62='Scrum Teams'!I$2:I$1010) +
      (B62='Scrum Teams'!J$2:J$1010) +
      (B62='Scrum Teams'!K$2:K$1010) +
      (B62='Scrum Teams'!L$2:L$1010) +
      (B62='Scrum Teams'!M$2:M$1010) +
      (B62='Scrum Teams'!N$2:N$1010) +
      (B62='Scrum Teams'!O$2:O$1010) +
      (B62='Scrum Teams'!P$2:P$1010) +
      (B62='Scrum Teams'!Q$2:Q$1010),
    0)
  ),
  "Not found"
)</f>
        <v>Platinum</v>
      </c>
      <c r="P62" s="194" t="s">
        <v>128</v>
      </c>
      <c r="Q62" s="37" t="s">
        <v>373</v>
      </c>
    </row>
    <row r="63" spans="1:17" hidden="1">
      <c r="A63" s="3" t="s">
        <v>49</v>
      </c>
      <c r="B63" s="18" t="s">
        <v>380</v>
      </c>
      <c r="C63" s="3" t="s">
        <v>370</v>
      </c>
      <c r="D63" s="3" t="s">
        <v>371</v>
      </c>
      <c r="E63" s="3" t="s">
        <v>48</v>
      </c>
      <c r="F63" s="3"/>
      <c r="G63" s="3" t="s">
        <v>43</v>
      </c>
      <c r="H63" s="290" t="s">
        <v>381</v>
      </c>
      <c r="I63" s="290" t="s">
        <v>372</v>
      </c>
      <c r="J63" s="290" t="s">
        <v>304</v>
      </c>
      <c r="K63" s="290"/>
      <c r="L63" s="290"/>
      <c r="M63" s="290" t="s">
        <v>225</v>
      </c>
      <c r="N63" s="3"/>
      <c r="O63" s="137" t="str" cm="1">
        <f t="array" ref="O63">IFERROR(
  INDEX('Scrum Teams'!B$2:B$1010,
    MATCH(1,
      (B63='Scrum Teams'!F$2:F$1010) +
      (B63='Scrum Teams'!G$2:G$1010) +
      (B63='Scrum Teams'!H$2:H$1010) +
      (B63='Scrum Teams'!I$2:I$1010) +
      (B63='Scrum Teams'!J$2:J$1010) +
      (B63='Scrum Teams'!K$2:K$1010) +
      (B63='Scrum Teams'!L$2:L$1010) +
      (B63='Scrum Teams'!M$2:M$1010) +
      (B63='Scrum Teams'!N$2:N$1010) +
      (B63='Scrum Teams'!O$2:O$1010) +
      (B63='Scrum Teams'!P$2:P$1010) +
      (B63='Scrum Teams'!Q$2:Q$1010),
    0)
  ),
  "Not found"
)</f>
        <v>Helium</v>
      </c>
      <c r="P63" s="194" t="s">
        <v>128</v>
      </c>
      <c r="Q63" s="37" t="s">
        <v>373</v>
      </c>
    </row>
    <row r="64" spans="1:17" hidden="1">
      <c r="A64" s="3" t="s">
        <v>49</v>
      </c>
      <c r="B64" s="18" t="s">
        <v>382</v>
      </c>
      <c r="C64" s="3" t="s">
        <v>371</v>
      </c>
      <c r="D64" s="3" t="s">
        <v>371</v>
      </c>
      <c r="E64" s="3" t="s">
        <v>48</v>
      </c>
      <c r="F64" s="3"/>
      <c r="G64" s="3" t="s">
        <v>43</v>
      </c>
      <c r="H64" s="290" t="s">
        <v>372</v>
      </c>
      <c r="I64" s="290" t="s">
        <v>304</v>
      </c>
      <c r="J64" s="290" t="s">
        <v>304</v>
      </c>
      <c r="K64" s="290"/>
      <c r="L64" s="290"/>
      <c r="M64" s="290" t="s">
        <v>225</v>
      </c>
      <c r="N64" s="3"/>
      <c r="O64" s="137" t="str" cm="1">
        <f t="array" ref="O64">IFERROR(
  INDEX('Scrum Teams'!B$2:B$1010,
    MATCH(1,
      (B64='Scrum Teams'!F$2:F$1010) +
      (B64='Scrum Teams'!G$2:G$1010) +
      (B64='Scrum Teams'!H$2:H$1010) +
      (B64='Scrum Teams'!I$2:I$1010) +
      (B64='Scrum Teams'!J$2:J$1010) +
      (B64='Scrum Teams'!K$2:K$1010) +
      (B64='Scrum Teams'!L$2:L$1010) +
      (B64='Scrum Teams'!M$2:M$1010) +
      (B64='Scrum Teams'!N$2:N$1010) +
      (B64='Scrum Teams'!O$2:O$1010) +
      (B64='Scrum Teams'!P$2:P$1010) +
      (B64='Scrum Teams'!Q$2:Q$1010),
    0)
  ),
  "Not found"
)</f>
        <v>Helium</v>
      </c>
      <c r="P64" s="194" t="s">
        <v>128</v>
      </c>
      <c r="Q64" s="37" t="s">
        <v>373</v>
      </c>
    </row>
    <row r="65" spans="1:17" hidden="1">
      <c r="A65" s="3" t="s">
        <v>49</v>
      </c>
      <c r="B65" s="18" t="s">
        <v>383</v>
      </c>
      <c r="C65" s="3" t="s">
        <v>371</v>
      </c>
      <c r="D65" s="3" t="s">
        <v>371</v>
      </c>
      <c r="E65" s="3" t="s">
        <v>48</v>
      </c>
      <c r="F65" s="3"/>
      <c r="G65" s="3" t="s">
        <v>43</v>
      </c>
      <c r="H65" s="290" t="s">
        <v>372</v>
      </c>
      <c r="I65" s="290" t="s">
        <v>304</v>
      </c>
      <c r="J65" s="290" t="s">
        <v>304</v>
      </c>
      <c r="K65" s="290"/>
      <c r="L65" s="290"/>
      <c r="M65" s="290" t="s">
        <v>225</v>
      </c>
      <c r="N65" s="3"/>
      <c r="O65" s="137" t="str" cm="1">
        <f t="array" ref="O65">IFERROR(
  INDEX('Scrum Teams'!B$2:B$1010,
    MATCH(1,
      (B65='Scrum Teams'!F$2:F$1010) +
      (B65='Scrum Teams'!G$2:G$1010) +
      (B65='Scrum Teams'!H$2:H$1010) +
      (B65='Scrum Teams'!I$2:I$1010) +
      (B65='Scrum Teams'!J$2:J$1010) +
      (B65='Scrum Teams'!K$2:K$1010) +
      (B65='Scrum Teams'!L$2:L$1010) +
      (B65='Scrum Teams'!M$2:M$1010) +
      (B65='Scrum Teams'!N$2:N$1010) +
      (B65='Scrum Teams'!O$2:O$1010) +
      (B65='Scrum Teams'!P$2:P$1010) +
      (B65='Scrum Teams'!Q$2:Q$1010),
    0)
  ),
  "Not found"
)</f>
        <v>Oxygen</v>
      </c>
      <c r="P65" s="194" t="s">
        <v>128</v>
      </c>
      <c r="Q65" s="37" t="s">
        <v>373</v>
      </c>
    </row>
    <row r="66" spans="1:17" hidden="1">
      <c r="A66" s="3" t="s">
        <v>49</v>
      </c>
      <c r="B66" s="18" t="s">
        <v>384</v>
      </c>
      <c r="C66" s="3" t="s">
        <v>375</v>
      </c>
      <c r="D66" s="3"/>
      <c r="E66" s="3" t="s">
        <v>48</v>
      </c>
      <c r="F66" s="3"/>
      <c r="G66" s="3" t="s">
        <v>43</v>
      </c>
      <c r="H66" s="290" t="s">
        <v>303</v>
      </c>
      <c r="I66" s="290" t="s">
        <v>304</v>
      </c>
      <c r="J66" s="290" t="s">
        <v>304</v>
      </c>
      <c r="K66" s="290"/>
      <c r="L66" s="290"/>
      <c r="M66" s="290" t="s">
        <v>225</v>
      </c>
      <c r="N66" s="3" t="s">
        <v>376</v>
      </c>
      <c r="O66" s="137" t="str" cm="1">
        <f t="array" ref="O66">IFERROR(
  INDEX('Scrum Teams'!B$2:B$1010,
    MATCH(1,
      (B66='Scrum Teams'!F$2:F$1010) +
      (B66='Scrum Teams'!G$2:G$1010) +
      (B66='Scrum Teams'!H$2:H$1010) +
      (B66='Scrum Teams'!I$2:I$1010) +
      (B66='Scrum Teams'!J$2:J$1010) +
      (B66='Scrum Teams'!K$2:K$1010) +
      (B66='Scrum Teams'!L$2:L$1010) +
      (B66='Scrum Teams'!M$2:M$1010) +
      (B66='Scrum Teams'!N$2:N$1010) +
      (B66='Scrum Teams'!O$2:O$1010) +
      (B66='Scrum Teams'!P$2:P$1010) +
      (B66='Scrum Teams'!Q$2:Q$1010),
    0)
  ),
  "Not found"
)</f>
        <v>Gold</v>
      </c>
      <c r="P66" s="194" t="s">
        <v>128</v>
      </c>
      <c r="Q66" s="37" t="s">
        <v>373</v>
      </c>
    </row>
    <row r="67" spans="1:17" hidden="1">
      <c r="A67" s="3" t="s">
        <v>49</v>
      </c>
      <c r="B67" s="22" t="s">
        <v>385</v>
      </c>
      <c r="C67" s="3" t="s">
        <v>375</v>
      </c>
      <c r="D67" s="3"/>
      <c r="E67" s="3" t="s">
        <v>48</v>
      </c>
      <c r="F67" s="3"/>
      <c r="G67" s="3" t="s">
        <v>43</v>
      </c>
      <c r="H67" s="290" t="s">
        <v>303</v>
      </c>
      <c r="I67" s="290" t="s">
        <v>304</v>
      </c>
      <c r="J67" s="290" t="s">
        <v>304</v>
      </c>
      <c r="K67" s="290"/>
      <c r="L67" s="290"/>
      <c r="M67" s="290" t="s">
        <v>225</v>
      </c>
      <c r="N67" s="3" t="s">
        <v>386</v>
      </c>
      <c r="O67" s="137" t="s">
        <v>387</v>
      </c>
      <c r="P67" s="194" t="s">
        <v>128</v>
      </c>
      <c r="Q67" s="37" t="s">
        <v>373</v>
      </c>
    </row>
    <row r="68" spans="1:17" hidden="1">
      <c r="A68" s="3" t="s">
        <v>52</v>
      </c>
      <c r="B68" s="18" t="s">
        <v>388</v>
      </c>
      <c r="C68" s="3" t="s">
        <v>389</v>
      </c>
      <c r="D68" s="3"/>
      <c r="E68" s="3" t="s">
        <v>48</v>
      </c>
      <c r="F68" s="3"/>
      <c r="G68" s="3" t="s">
        <v>43</v>
      </c>
      <c r="H68" s="291" t="s">
        <v>390</v>
      </c>
      <c r="I68" s="291" t="s">
        <v>334</v>
      </c>
      <c r="J68" s="291"/>
      <c r="K68" s="291"/>
      <c r="L68" s="291"/>
      <c r="M68" s="291" t="s">
        <v>225</v>
      </c>
      <c r="N68" s="3"/>
      <c r="O68" s="137" t="str" cm="1">
        <f t="array" ref="O68">IFERROR(
  INDEX('Scrum Teams'!B$2:B$1010,
    MATCH(1,
      (B68='Scrum Teams'!F$2:F$1010) +
      (B68='Scrum Teams'!G$2:G$1010) +
      (B68='Scrum Teams'!H$2:H$1010) +
      (B68='Scrum Teams'!I$2:I$1010) +
      (B68='Scrum Teams'!J$2:J$1010) +
      (B68='Scrum Teams'!K$2:K$1010) +
      (B68='Scrum Teams'!L$2:L$1010) +
      (B68='Scrum Teams'!M$2:M$1010) +
      (B68='Scrum Teams'!N$2:N$1010) +
      (B68='Scrum Teams'!O$2:O$1010) +
      (B68='Scrum Teams'!P$2:P$1010) +
      (B68='Scrum Teams'!Q$2:Q$1010),
    0)
  ),
  "Not found"
)</f>
        <v>Earth</v>
      </c>
      <c r="P68" s="194" t="s">
        <v>391</v>
      </c>
      <c r="Q68" s="37" t="s">
        <v>373</v>
      </c>
    </row>
    <row r="69" spans="1:17" hidden="1">
      <c r="A69" s="3" t="s">
        <v>52</v>
      </c>
      <c r="B69" s="18" t="s">
        <v>392</v>
      </c>
      <c r="C69" s="3" t="s">
        <v>389</v>
      </c>
      <c r="D69" s="3"/>
      <c r="E69" s="3" t="s">
        <v>48</v>
      </c>
      <c r="F69" s="3"/>
      <c r="G69" s="3" t="s">
        <v>43</v>
      </c>
      <c r="H69" s="291" t="s">
        <v>393</v>
      </c>
      <c r="I69" s="291" t="s">
        <v>334</v>
      </c>
      <c r="J69" s="291"/>
      <c r="K69" s="291"/>
      <c r="L69" s="291"/>
      <c r="M69" s="291" t="s">
        <v>225</v>
      </c>
      <c r="N69" s="3"/>
      <c r="O69" s="137" t="str" cm="1">
        <f t="array" ref="O69">IFERROR(
  INDEX('Scrum Teams'!B$2:B$1010,
    MATCH(1,
      (B69='Scrum Teams'!F$2:F$1010) +
      (B69='Scrum Teams'!G$2:G$1010) +
      (B69='Scrum Teams'!H$2:H$1010) +
      (B69='Scrum Teams'!I$2:I$1010) +
      (B69='Scrum Teams'!J$2:J$1010) +
      (B69='Scrum Teams'!K$2:K$1010) +
      (B69='Scrum Teams'!L$2:L$1010) +
      (B69='Scrum Teams'!M$2:M$1010) +
      (B69='Scrum Teams'!N$2:N$1010) +
      (B69='Scrum Teams'!O$2:O$1010) +
      (B69='Scrum Teams'!P$2:P$1010) +
      (B69='Scrum Teams'!Q$2:Q$1010),
    0)
  ),
  "Not found"
)</f>
        <v>Earth</v>
      </c>
      <c r="P69" s="194" t="s">
        <v>391</v>
      </c>
      <c r="Q69" s="37" t="s">
        <v>373</v>
      </c>
    </row>
    <row r="70" spans="1:17" hidden="1">
      <c r="A70" s="3" t="s">
        <v>52</v>
      </c>
      <c r="B70" s="18" t="s">
        <v>394</v>
      </c>
      <c r="C70" s="3" t="s">
        <v>389</v>
      </c>
      <c r="D70" s="3"/>
      <c r="E70" s="3" t="s">
        <v>48</v>
      </c>
      <c r="F70" s="3"/>
      <c r="G70" s="3" t="s">
        <v>43</v>
      </c>
      <c r="H70" s="291" t="s">
        <v>395</v>
      </c>
      <c r="I70" s="291" t="s">
        <v>334</v>
      </c>
      <c r="J70" s="291"/>
      <c r="K70" s="291"/>
      <c r="L70" s="291"/>
      <c r="M70" s="291" t="s">
        <v>225</v>
      </c>
      <c r="N70" s="3"/>
      <c r="O70" s="137" t="str" cm="1">
        <f t="array" ref="O70">IFERROR(
  INDEX('Scrum Teams'!B$2:B$1010,
    MATCH(1,
      (B70='Scrum Teams'!F$2:F$1010) +
      (B70='Scrum Teams'!G$2:G$1010) +
      (B70='Scrum Teams'!H$2:H$1010) +
      (B70='Scrum Teams'!I$2:I$1010) +
      (B70='Scrum Teams'!J$2:J$1010) +
      (B70='Scrum Teams'!K$2:K$1010) +
      (B70='Scrum Teams'!L$2:L$1010) +
      (B70='Scrum Teams'!M$2:M$1010) +
      (B70='Scrum Teams'!N$2:N$1010) +
      (B70='Scrum Teams'!O$2:O$1010) +
      (B70='Scrum Teams'!P$2:P$1010) +
      (B70='Scrum Teams'!Q$2:Q$1010),
    0)
  ),
  "Not found"
)</f>
        <v>Mars</v>
      </c>
      <c r="P70" s="194" t="s">
        <v>391</v>
      </c>
      <c r="Q70" s="37" t="s">
        <v>373</v>
      </c>
    </row>
    <row r="71" spans="1:17" hidden="1">
      <c r="A71" s="3" t="s">
        <v>52</v>
      </c>
      <c r="B71" s="18" t="s">
        <v>396</v>
      </c>
      <c r="C71" s="3" t="s">
        <v>389</v>
      </c>
      <c r="D71" s="3"/>
      <c r="E71" s="3" t="s">
        <v>48</v>
      </c>
      <c r="F71" s="3"/>
      <c r="G71" s="3" t="s">
        <v>43</v>
      </c>
      <c r="H71" s="291" t="s">
        <v>395</v>
      </c>
      <c r="I71" s="291" t="s">
        <v>334</v>
      </c>
      <c r="J71" s="291"/>
      <c r="K71" s="291"/>
      <c r="L71" s="291"/>
      <c r="M71" s="291" t="s">
        <v>225</v>
      </c>
      <c r="N71" s="3"/>
      <c r="O71" s="137" t="str" cm="1">
        <f t="array" ref="O71">IFERROR(
  INDEX('Scrum Teams'!B$2:B$1010,
    MATCH(1,
      (B71='Scrum Teams'!F$2:F$1010) +
      (B71='Scrum Teams'!G$2:G$1010) +
      (B71='Scrum Teams'!H$2:H$1010) +
      (B71='Scrum Teams'!I$2:I$1010) +
      (B71='Scrum Teams'!J$2:J$1010) +
      (B71='Scrum Teams'!K$2:K$1010) +
      (B71='Scrum Teams'!L$2:L$1010) +
      (B71='Scrum Teams'!M$2:M$1010) +
      (B71='Scrum Teams'!N$2:N$1010) +
      (B71='Scrum Teams'!O$2:O$1010) +
      (B71='Scrum Teams'!P$2:P$1010) +
      (B71='Scrum Teams'!Q$2:Q$1010),
    0)
  ),
  "Not found"
)</f>
        <v>Mars</v>
      </c>
      <c r="P71" s="194" t="s">
        <v>391</v>
      </c>
      <c r="Q71" s="37" t="s">
        <v>373</v>
      </c>
    </row>
    <row r="72" spans="1:17" hidden="1">
      <c r="A72" s="3" t="s">
        <v>51</v>
      </c>
      <c r="B72" s="18" t="s">
        <v>51</v>
      </c>
      <c r="C72" s="3" t="s">
        <v>389</v>
      </c>
      <c r="D72" s="3"/>
      <c r="E72" s="3" t="s">
        <v>48</v>
      </c>
      <c r="F72" s="3"/>
      <c r="G72" s="3" t="s">
        <v>43</v>
      </c>
      <c r="H72" s="291" t="s">
        <v>397</v>
      </c>
      <c r="I72" s="291" t="s">
        <v>339</v>
      </c>
      <c r="J72" s="291" t="s">
        <v>339</v>
      </c>
      <c r="K72" s="291" t="s">
        <v>313</v>
      </c>
      <c r="L72" s="291" t="s">
        <v>313</v>
      </c>
      <c r="M72" s="291" t="s">
        <v>225</v>
      </c>
      <c r="N72" s="3" t="s">
        <v>398</v>
      </c>
      <c r="O72" s="137" t="str" cm="1">
        <f t="array" ref="O72">IFERROR(
  INDEX('Scrum Teams'!B$2:B$1010,
    MATCH(1,
      (B72='Scrum Teams'!F$2:F$1010) +
      (B72='Scrum Teams'!G$2:G$1010) +
      (B72='Scrum Teams'!H$2:H$1010) +
      (B72='Scrum Teams'!I$2:I$1010) +
      (B72='Scrum Teams'!J$2:J$1010) +
      (B72='Scrum Teams'!K$2:K$1010) +
      (B72='Scrum Teams'!L$2:L$1010) +
      (B72='Scrum Teams'!M$2:M$1010) +
      (B72='Scrum Teams'!N$2:N$1010) +
      (B72='Scrum Teams'!O$2:O$1010) +
      (B72='Scrum Teams'!P$2:P$1010) +
      (B72='Scrum Teams'!Q$2:Q$1010),
    0)
  ),
  "Not found"
)</f>
        <v>eSign_Platform</v>
      </c>
      <c r="P72" s="194" t="s">
        <v>399</v>
      </c>
      <c r="Q72" s="37" t="s">
        <v>373</v>
      </c>
    </row>
    <row r="73" spans="1:17" hidden="1">
      <c r="A73" s="3" t="s">
        <v>50</v>
      </c>
      <c r="B73" s="18" t="s">
        <v>50</v>
      </c>
      <c r="C73" s="3" t="s">
        <v>389</v>
      </c>
      <c r="D73" s="3"/>
      <c r="E73" s="3" t="s">
        <v>48</v>
      </c>
      <c r="F73" s="3"/>
      <c r="G73" s="3" t="s">
        <v>43</v>
      </c>
      <c r="H73" s="291" t="s">
        <v>400</v>
      </c>
      <c r="I73" s="291" t="s">
        <v>401</v>
      </c>
      <c r="J73" s="291" t="s">
        <v>401</v>
      </c>
      <c r="K73" s="291"/>
      <c r="L73" s="291"/>
      <c r="M73" s="291" t="s">
        <v>225</v>
      </c>
      <c r="N73" s="3" t="s">
        <v>398</v>
      </c>
      <c r="O73" s="137" t="str" cm="1">
        <f t="array" ref="O73">IFERROR(
  INDEX('Scrum Teams'!B$2:B$1010,
    MATCH(1,
      (B73='Scrum Teams'!F$2:F$1010) +
      (B73='Scrum Teams'!G$2:G$1010) +
      (B73='Scrum Teams'!H$2:H$1010) +
      (B73='Scrum Teams'!I$2:I$1010) +
      (B73='Scrum Teams'!J$2:J$1010) +
      (B73='Scrum Teams'!K$2:K$1010) +
      (B73='Scrum Teams'!L$2:L$1010) +
      (B73='Scrum Teams'!M$2:M$1010) +
      (B73='Scrum Teams'!N$2:N$1010) +
      (B73='Scrum Teams'!O$2:O$1010) +
      (B73='Scrum Teams'!P$2:P$1010) +
      (B73='Scrum Teams'!Q$2:Q$1010),
    0)
  ),
  "Not found"
)</f>
        <v>Cashiering</v>
      </c>
      <c r="P73" s="194" t="s">
        <v>402</v>
      </c>
      <c r="Q73" s="37" t="s">
        <v>373</v>
      </c>
    </row>
    <row r="74" spans="1:17" hidden="1">
      <c r="A74" s="3" t="s">
        <v>54</v>
      </c>
      <c r="B74" s="18" t="s">
        <v>403</v>
      </c>
      <c r="C74" s="3" t="s">
        <v>404</v>
      </c>
      <c r="D74" s="3"/>
      <c r="E74" s="3" t="s">
        <v>53</v>
      </c>
      <c r="F74" s="3"/>
      <c r="G74" s="3" t="s">
        <v>43</v>
      </c>
      <c r="H74" s="290" t="s">
        <v>405</v>
      </c>
      <c r="I74" s="290" t="s">
        <v>406</v>
      </c>
      <c r="J74" s="290"/>
      <c r="K74" s="290" t="s">
        <v>407</v>
      </c>
      <c r="L74" s="290" t="s">
        <v>407</v>
      </c>
      <c r="M74" s="291" t="s">
        <v>225</v>
      </c>
      <c r="N74" s="3" t="s">
        <v>408</v>
      </c>
      <c r="O74" s="137" t="str" cm="1">
        <f t="array" ref="O74">IFERROR(
  INDEX('Scrum Teams'!B$2:B$1010,
    MATCH(1,
      (B74='Scrum Teams'!F$2:F$1010) +
      (B74='Scrum Teams'!G$2:G$1010) +
      (B74='Scrum Teams'!H$2:H$1010) +
      (B74='Scrum Teams'!I$2:I$1010) +
      (B74='Scrum Teams'!J$2:J$1010) +
      (B74='Scrum Teams'!K$2:K$1010) +
      (B74='Scrum Teams'!L$2:L$1010) +
      (B74='Scrum Teams'!M$2:M$1010) +
      (B74='Scrum Teams'!N$2:N$1010) +
      (B74='Scrum Teams'!O$2:O$1010) +
      (B74='Scrum Teams'!P$2:P$1010) +
      (B74='Scrum Teams'!Q$2:Q$1010),
    0)
  ),
  "Not found"
)</f>
        <v>RO-Core</v>
      </c>
      <c r="P74" s="194" t="s">
        <v>152</v>
      </c>
      <c r="Q74" s="37" t="s">
        <v>373</v>
      </c>
    </row>
    <row r="75" spans="1:17" hidden="1">
      <c r="A75" s="3" t="s">
        <v>54</v>
      </c>
      <c r="B75" s="18" t="s">
        <v>409</v>
      </c>
      <c r="C75" s="3" t="s">
        <v>404</v>
      </c>
      <c r="D75" s="3"/>
      <c r="E75" s="3" t="s">
        <v>53</v>
      </c>
      <c r="F75" s="3"/>
      <c r="G75" s="3" t="s">
        <v>43</v>
      </c>
      <c r="H75" s="290" t="s">
        <v>405</v>
      </c>
      <c r="I75" s="290" t="s">
        <v>406</v>
      </c>
      <c r="J75" s="290"/>
      <c r="K75" s="290" t="s">
        <v>407</v>
      </c>
      <c r="L75" s="290" t="s">
        <v>407</v>
      </c>
      <c r="M75" s="291" t="s">
        <v>225</v>
      </c>
      <c r="N75" s="3" t="s">
        <v>408</v>
      </c>
      <c r="O75" s="137" t="str" cm="1">
        <f t="array" ref="O75">IFERROR(
  INDEX('Scrum Teams'!B$2:B$1010,
    MATCH(1,
      (B75='Scrum Teams'!F$2:F$1010) +
      (B75='Scrum Teams'!G$2:G$1010) +
      (B75='Scrum Teams'!H$2:H$1010) +
      (B75='Scrum Teams'!I$2:I$1010) +
      (B75='Scrum Teams'!J$2:J$1010) +
      (B75='Scrum Teams'!K$2:K$1010) +
      (B75='Scrum Teams'!L$2:L$1010) +
      (B75='Scrum Teams'!M$2:M$1010) +
      (B75='Scrum Teams'!N$2:N$1010) +
      (B75='Scrum Teams'!O$2:O$1010) +
      (B75='Scrum Teams'!P$2:P$1010) +
      (B75='Scrum Teams'!Q$2:Q$1010),
    0)
  ),
  "Not found"
)</f>
        <v>RO-Core</v>
      </c>
      <c r="P75" s="194" t="s">
        <v>152</v>
      </c>
      <c r="Q75" s="37" t="s">
        <v>373</v>
      </c>
    </row>
    <row r="76" spans="1:17" hidden="1">
      <c r="A76" s="3" t="s">
        <v>54</v>
      </c>
      <c r="B76" s="18" t="s">
        <v>410</v>
      </c>
      <c r="C76" s="3" t="s">
        <v>411</v>
      </c>
      <c r="D76" s="3" t="s">
        <v>412</v>
      </c>
      <c r="E76" s="3" t="s">
        <v>53</v>
      </c>
      <c r="F76" s="3"/>
      <c r="G76" s="3" t="s">
        <v>43</v>
      </c>
      <c r="H76" s="290" t="s">
        <v>413</v>
      </c>
      <c r="I76" s="290" t="s">
        <v>406</v>
      </c>
      <c r="J76" s="290"/>
      <c r="K76" s="290" t="s">
        <v>407</v>
      </c>
      <c r="L76" s="290" t="s">
        <v>407</v>
      </c>
      <c r="M76" s="291" t="s">
        <v>225</v>
      </c>
      <c r="N76" s="3" t="s">
        <v>408</v>
      </c>
      <c r="O76" s="137" t="str" cm="1">
        <f t="array" ref="O76">IFERROR(
  INDEX('Scrum Teams'!B$2:B$1010,
    MATCH(1,
      (B76='Scrum Teams'!F$2:F$1010) +
      (B76='Scrum Teams'!G$2:G$1010) +
      (B76='Scrum Teams'!H$2:H$1010) +
      (B76='Scrum Teams'!I$2:I$1010) +
      (B76='Scrum Teams'!J$2:J$1010) +
      (B76='Scrum Teams'!K$2:K$1010) +
      (B76='Scrum Teams'!L$2:L$1010) +
      (B76='Scrum Teams'!M$2:M$1010) +
      (B76='Scrum Teams'!N$2:N$1010) +
      (B76='Scrum Teams'!O$2:O$1010) +
      (B76='Scrum Teams'!P$2:P$1010) +
      (B76='Scrum Teams'!Q$2:Q$1010),
    0)
  ),
  "Not found"
)</f>
        <v>Platform</v>
      </c>
      <c r="P76" s="194" t="s">
        <v>152</v>
      </c>
      <c r="Q76" s="37" t="s">
        <v>373</v>
      </c>
    </row>
    <row r="77" spans="1:17" hidden="1">
      <c r="A77" s="3" t="s">
        <v>54</v>
      </c>
      <c r="B77" s="18" t="s">
        <v>414</v>
      </c>
      <c r="C77" s="3" t="s">
        <v>415</v>
      </c>
      <c r="D77" s="3" t="s">
        <v>415</v>
      </c>
      <c r="E77" s="3" t="s">
        <v>53</v>
      </c>
      <c r="F77" s="3"/>
      <c r="G77" s="3" t="s">
        <v>43</v>
      </c>
      <c r="H77" s="290" t="s">
        <v>416</v>
      </c>
      <c r="I77" s="290" t="s">
        <v>406</v>
      </c>
      <c r="J77" s="290"/>
      <c r="K77" s="290" t="s">
        <v>407</v>
      </c>
      <c r="L77" s="290" t="s">
        <v>407</v>
      </c>
      <c r="M77" s="291" t="s">
        <v>225</v>
      </c>
      <c r="N77" s="3" t="s">
        <v>408</v>
      </c>
      <c r="O77" s="137" t="str" cm="1">
        <f t="array" ref="O77">IFERROR(
  INDEX('Scrum Teams'!B$2:B$1010,
    MATCH(1,
      (B77='Scrum Teams'!F$2:F$1010) +
      (B77='Scrum Teams'!G$2:G$1010) +
      (B77='Scrum Teams'!H$2:H$1010) +
      (B77='Scrum Teams'!I$2:I$1010) +
      (B77='Scrum Teams'!J$2:J$1010) +
      (B77='Scrum Teams'!K$2:K$1010) +
      (B77='Scrum Teams'!L$2:L$1010) +
      (B77='Scrum Teams'!M$2:M$1010) +
      (B77='Scrum Teams'!N$2:N$1010) +
      (B77='Scrum Teams'!O$2:O$1010) +
      (B77='Scrum Teams'!P$2:P$1010) +
      (B77='Scrum Teams'!Q$2:Q$1010),
    0)
  ),
  "Not found"
)</f>
        <v>Scheduling</v>
      </c>
      <c r="P77" s="194" t="s">
        <v>152</v>
      </c>
      <c r="Q77" s="37" t="s">
        <v>373</v>
      </c>
    </row>
    <row r="78" spans="1:17" hidden="1">
      <c r="A78" s="3" t="s">
        <v>54</v>
      </c>
      <c r="B78" s="18" t="s">
        <v>417</v>
      </c>
      <c r="C78" s="3" t="s">
        <v>415</v>
      </c>
      <c r="D78" s="3" t="s">
        <v>415</v>
      </c>
      <c r="E78" s="3" t="s">
        <v>53</v>
      </c>
      <c r="F78" s="3"/>
      <c r="G78" s="3" t="s">
        <v>43</v>
      </c>
      <c r="H78" s="290" t="s">
        <v>418</v>
      </c>
      <c r="I78" s="290" t="s">
        <v>406</v>
      </c>
      <c r="J78" s="290"/>
      <c r="K78" s="290" t="s">
        <v>407</v>
      </c>
      <c r="L78" s="290" t="s">
        <v>407</v>
      </c>
      <c r="M78" s="291" t="s">
        <v>225</v>
      </c>
      <c r="N78" s="3" t="s">
        <v>408</v>
      </c>
      <c r="O78" s="137" t="str" cm="1">
        <f t="array" ref="O78">IFERROR(
  INDEX('Scrum Teams'!B$2:B$1010,
    MATCH(1,
      (B78='Scrum Teams'!F$2:F$1010) +
      (B78='Scrum Teams'!G$2:G$1010) +
      (B78='Scrum Teams'!H$2:H$1010) +
      (B78='Scrum Teams'!I$2:I$1010) +
      (B78='Scrum Teams'!J$2:J$1010) +
      (B78='Scrum Teams'!K$2:K$1010) +
      (B78='Scrum Teams'!L$2:L$1010) +
      (B78='Scrum Teams'!M$2:M$1010) +
      (B78='Scrum Teams'!N$2:N$1010) +
      (B78='Scrum Teams'!O$2:O$1010) +
      (B78='Scrum Teams'!P$2:P$1010) +
      (B78='Scrum Teams'!Q$2:Q$1010),
    0)
  ),
  "Not found"
)</f>
        <v>Scheduling</v>
      </c>
      <c r="P78" s="194" t="s">
        <v>152</v>
      </c>
      <c r="Q78" s="37" t="s">
        <v>373</v>
      </c>
    </row>
    <row r="79" spans="1:17" hidden="1">
      <c r="A79" s="3" t="s">
        <v>54</v>
      </c>
      <c r="B79" s="18" t="s">
        <v>419</v>
      </c>
      <c r="C79" s="3" t="s">
        <v>412</v>
      </c>
      <c r="D79" s="3" t="s">
        <v>412</v>
      </c>
      <c r="E79" s="3" t="s">
        <v>53</v>
      </c>
      <c r="F79" s="3"/>
      <c r="G79" s="3" t="s">
        <v>43</v>
      </c>
      <c r="H79" s="290" t="s">
        <v>420</v>
      </c>
      <c r="I79" s="290" t="s">
        <v>406</v>
      </c>
      <c r="J79" s="290"/>
      <c r="K79" s="290" t="s">
        <v>407</v>
      </c>
      <c r="L79" s="290" t="s">
        <v>407</v>
      </c>
      <c r="M79" s="291" t="s">
        <v>225</v>
      </c>
      <c r="N79" s="3" t="s">
        <v>408</v>
      </c>
      <c r="O79" s="137" t="str" cm="1">
        <f t="array" ref="O79">IFERROR(
  INDEX('Scrum Teams'!B$2:B$1010,
    MATCH(1,
      (B79='Scrum Teams'!F$2:F$1010) +
      (B79='Scrum Teams'!G$2:G$1010) +
      (B79='Scrum Teams'!H$2:H$1010) +
      (B79='Scrum Teams'!I$2:I$1010) +
      (B79='Scrum Teams'!J$2:J$1010) +
      (B79='Scrum Teams'!K$2:K$1010) +
      (B79='Scrum Teams'!L$2:L$1010) +
      (B79='Scrum Teams'!M$2:M$1010) +
      (B79='Scrum Teams'!N$2:N$1010) +
      (B79='Scrum Teams'!O$2:O$1010) +
      (B79='Scrum Teams'!P$2:P$1010) +
      (B79='Scrum Teams'!Q$2:Q$1010),
    0)
  ),
  "Not found"
)</f>
        <v>Platform</v>
      </c>
      <c r="P79" s="194" t="s">
        <v>152</v>
      </c>
      <c r="Q79" s="37" t="s">
        <v>373</v>
      </c>
    </row>
    <row r="80" spans="1:17" hidden="1">
      <c r="A80" s="3" t="s">
        <v>54</v>
      </c>
      <c r="B80" s="18" t="s">
        <v>421</v>
      </c>
      <c r="C80" s="3" t="s">
        <v>412</v>
      </c>
      <c r="D80" s="3" t="s">
        <v>412</v>
      </c>
      <c r="E80" s="3" t="s">
        <v>53</v>
      </c>
      <c r="F80" s="3"/>
      <c r="G80" s="3" t="s">
        <v>43</v>
      </c>
      <c r="H80" s="290" t="s">
        <v>420</v>
      </c>
      <c r="I80" s="290" t="s">
        <v>406</v>
      </c>
      <c r="J80" s="290"/>
      <c r="K80" s="290" t="s">
        <v>407</v>
      </c>
      <c r="L80" s="290" t="s">
        <v>407</v>
      </c>
      <c r="M80" s="291" t="s">
        <v>225</v>
      </c>
      <c r="N80" s="3" t="s">
        <v>408</v>
      </c>
      <c r="O80" s="137" t="str" cm="1">
        <f t="array" ref="O80">IFERROR(
  INDEX('Scrum Teams'!B$2:B$1010,
    MATCH(1,
      (B80='Scrum Teams'!F$2:F$1010) +
      (B80='Scrum Teams'!G$2:G$1010) +
      (B80='Scrum Teams'!H$2:H$1010) +
      (B80='Scrum Teams'!I$2:I$1010) +
      (B80='Scrum Teams'!J$2:J$1010) +
      (B80='Scrum Teams'!K$2:K$1010) +
      (B80='Scrum Teams'!L$2:L$1010) +
      (B80='Scrum Teams'!M$2:M$1010) +
      (B80='Scrum Teams'!N$2:N$1010) +
      (B80='Scrum Teams'!O$2:O$1010) +
      (B80='Scrum Teams'!P$2:P$1010) +
      (B80='Scrum Teams'!Q$2:Q$1010),
    0)
  ),
  "Not found"
)</f>
        <v>Platform</v>
      </c>
      <c r="P80" s="194" t="s">
        <v>152</v>
      </c>
      <c r="Q80" s="37" t="s">
        <v>373</v>
      </c>
    </row>
    <row r="81" spans="1:17" hidden="1">
      <c r="A81" s="3" t="s">
        <v>54</v>
      </c>
      <c r="B81" s="18" t="s">
        <v>422</v>
      </c>
      <c r="C81" s="3" t="s">
        <v>423</v>
      </c>
      <c r="D81" s="3"/>
      <c r="E81" s="3" t="s">
        <v>53</v>
      </c>
      <c r="F81" s="3"/>
      <c r="G81" s="3" t="s">
        <v>43</v>
      </c>
      <c r="H81" s="290" t="s">
        <v>424</v>
      </c>
      <c r="I81" s="290" t="s">
        <v>406</v>
      </c>
      <c r="J81" s="290"/>
      <c r="K81" s="290" t="s">
        <v>407</v>
      </c>
      <c r="L81" s="290" t="s">
        <v>407</v>
      </c>
      <c r="M81" s="291" t="s">
        <v>225</v>
      </c>
      <c r="N81" s="3" t="s">
        <v>408</v>
      </c>
      <c r="O81" s="137" t="str" cm="1">
        <f t="array" ref="O81">IFERROR(
  INDEX('Scrum Teams'!B$2:B$1010,
    MATCH(1,
      (B81='Scrum Teams'!F$2:F$1010) +
      (B81='Scrum Teams'!G$2:G$1010) +
      (B81='Scrum Teams'!H$2:H$1010) +
      (B81='Scrum Teams'!I$2:I$1010) +
      (B81='Scrum Teams'!J$2:J$1010) +
      (B81='Scrum Teams'!K$2:K$1010) +
      (B81='Scrum Teams'!L$2:L$1010) +
      (B81='Scrum Teams'!M$2:M$1010) +
      (B81='Scrum Teams'!N$2:N$1010) +
      (B81='Scrum Teams'!O$2:O$1010) +
      (B81='Scrum Teams'!P$2:P$1010) +
      (B81='Scrum Teams'!Q$2:Q$1010),
    0)
  ),
  "Not found"
)</f>
        <v>Dealer-Apps</v>
      </c>
      <c r="P81" s="194" t="s">
        <v>152</v>
      </c>
      <c r="Q81" s="37" t="s">
        <v>373</v>
      </c>
    </row>
    <row r="82" spans="1:17" hidden="1">
      <c r="A82" s="3" t="s">
        <v>54</v>
      </c>
      <c r="B82" s="18" t="s">
        <v>425</v>
      </c>
      <c r="C82" s="3" t="s">
        <v>426</v>
      </c>
      <c r="D82" s="3"/>
      <c r="E82" s="3" t="s">
        <v>53</v>
      </c>
      <c r="F82" s="3"/>
      <c r="G82" s="3" t="s">
        <v>43</v>
      </c>
      <c r="H82" s="290" t="s">
        <v>427</v>
      </c>
      <c r="I82" s="290" t="s">
        <v>406</v>
      </c>
      <c r="J82" s="290"/>
      <c r="K82" s="290" t="s">
        <v>407</v>
      </c>
      <c r="L82" s="290" t="s">
        <v>407</v>
      </c>
      <c r="M82" s="291" t="s">
        <v>225</v>
      </c>
      <c r="N82" s="3" t="s">
        <v>408</v>
      </c>
      <c r="O82" s="137" t="str" cm="1">
        <f t="array" ref="O82">IFERROR(
  INDEX('Scrum Teams'!B$2:B$1010,
    MATCH(1,
      (B82='Scrum Teams'!F$2:F$1010) +
      (B82='Scrum Teams'!G$2:G$1010) +
      (B82='Scrum Teams'!H$2:H$1010) +
      (B82='Scrum Teams'!I$2:I$1010) +
      (B82='Scrum Teams'!J$2:J$1010) +
      (B82='Scrum Teams'!K$2:K$1010) +
      (B82='Scrum Teams'!L$2:L$1010) +
      (B82='Scrum Teams'!M$2:M$1010) +
      (B82='Scrum Teams'!N$2:N$1010) +
      (B82='Scrum Teams'!O$2:O$1010) +
      (B82='Scrum Teams'!P$2:P$1010) +
      (B82='Scrum Teams'!Q$2:Q$1010),
    0)
  ),
  "Not found"
)</f>
        <v>Consumer</v>
      </c>
      <c r="P82" s="194" t="s">
        <v>152</v>
      </c>
      <c r="Q82" s="37" t="s">
        <v>373</v>
      </c>
    </row>
    <row r="83" spans="1:17" hidden="1">
      <c r="A83" s="3" t="s">
        <v>54</v>
      </c>
      <c r="B83" s="18" t="s">
        <v>428</v>
      </c>
      <c r="C83" s="3" t="s">
        <v>411</v>
      </c>
      <c r="D83" s="3" t="s">
        <v>412</v>
      </c>
      <c r="E83" s="3" t="s">
        <v>53</v>
      </c>
      <c r="F83" s="3"/>
      <c r="G83" s="3" t="s">
        <v>43</v>
      </c>
      <c r="H83" s="290" t="s">
        <v>413</v>
      </c>
      <c r="I83" s="290" t="s">
        <v>406</v>
      </c>
      <c r="J83" s="290"/>
      <c r="K83" s="290" t="s">
        <v>407</v>
      </c>
      <c r="L83" s="290" t="s">
        <v>407</v>
      </c>
      <c r="M83" s="291" t="s">
        <v>225</v>
      </c>
      <c r="N83" s="3" t="s">
        <v>408</v>
      </c>
      <c r="O83" s="137" t="str" cm="1">
        <f t="array" ref="O83">IFERROR(
  INDEX('Scrum Teams'!B$2:B$1010,
    MATCH(1,
      (B83='Scrum Teams'!F$2:F$1010) +
      (B83='Scrum Teams'!G$2:G$1010) +
      (B83='Scrum Teams'!H$2:H$1010) +
      (B83='Scrum Teams'!I$2:I$1010) +
      (B83='Scrum Teams'!J$2:J$1010) +
      (B83='Scrum Teams'!K$2:K$1010) +
      (B83='Scrum Teams'!L$2:L$1010) +
      (B83='Scrum Teams'!M$2:M$1010) +
      (B83='Scrum Teams'!N$2:N$1010) +
      (B83='Scrum Teams'!O$2:O$1010) +
      (B83='Scrum Teams'!P$2:P$1010) +
      (B83='Scrum Teams'!Q$2:Q$1010),
    0)
  ),
  "Not found"
)</f>
        <v>Platform</v>
      </c>
      <c r="P83" s="194" t="s">
        <v>152</v>
      </c>
      <c r="Q83" s="37" t="s">
        <v>373</v>
      </c>
    </row>
    <row r="84" spans="1:17" hidden="1">
      <c r="A84" s="3" t="s">
        <v>54</v>
      </c>
      <c r="B84" s="18" t="s">
        <v>429</v>
      </c>
      <c r="C84" s="3" t="s">
        <v>426</v>
      </c>
      <c r="D84" s="3"/>
      <c r="E84" s="3" t="s">
        <v>53</v>
      </c>
      <c r="F84" s="3"/>
      <c r="G84" s="3" t="s">
        <v>43</v>
      </c>
      <c r="H84" s="290" t="s">
        <v>427</v>
      </c>
      <c r="I84" s="290" t="s">
        <v>406</v>
      </c>
      <c r="J84" s="290"/>
      <c r="K84" s="290" t="s">
        <v>407</v>
      </c>
      <c r="L84" s="290" t="s">
        <v>407</v>
      </c>
      <c r="M84" s="291" t="s">
        <v>225</v>
      </c>
      <c r="N84" s="3" t="s">
        <v>408</v>
      </c>
      <c r="O84" s="137" t="str" cm="1">
        <f t="array" ref="O84">IFERROR(
  INDEX('Scrum Teams'!B$2:B$1010,
    MATCH(1,
      (B84='Scrum Teams'!F$2:F$1010) +
      (B84='Scrum Teams'!G$2:G$1010) +
      (B84='Scrum Teams'!H$2:H$1010) +
      (B84='Scrum Teams'!I$2:I$1010) +
      (B84='Scrum Teams'!J$2:J$1010) +
      (B84='Scrum Teams'!K$2:K$1010) +
      (B84='Scrum Teams'!L$2:L$1010) +
      (B84='Scrum Teams'!M$2:M$1010) +
      (B84='Scrum Teams'!N$2:N$1010) +
      (B84='Scrum Teams'!O$2:O$1010) +
      (B84='Scrum Teams'!P$2:P$1010) +
      (B84='Scrum Teams'!Q$2:Q$1010),
    0)
  ),
  "Not found"
)</f>
        <v>ServiceMobile</v>
      </c>
      <c r="P84" s="194" t="s">
        <v>152</v>
      </c>
      <c r="Q84" s="37" t="s">
        <v>373</v>
      </c>
    </row>
    <row r="85" spans="1:17" hidden="1">
      <c r="A85" s="3" t="s">
        <v>54</v>
      </c>
      <c r="B85" s="18" t="s">
        <v>430</v>
      </c>
      <c r="C85" s="3" t="s">
        <v>426</v>
      </c>
      <c r="D85" s="3"/>
      <c r="E85" s="3" t="s">
        <v>53</v>
      </c>
      <c r="F85" s="3"/>
      <c r="G85" s="3" t="s">
        <v>43</v>
      </c>
      <c r="H85" s="290" t="s">
        <v>427</v>
      </c>
      <c r="I85" s="290" t="s">
        <v>406</v>
      </c>
      <c r="J85" s="290"/>
      <c r="K85" s="290" t="s">
        <v>407</v>
      </c>
      <c r="L85" s="290" t="s">
        <v>407</v>
      </c>
      <c r="M85" s="291" t="s">
        <v>225</v>
      </c>
      <c r="N85" s="3"/>
      <c r="O85" s="137" t="str" cm="1">
        <f t="array" ref="O85">IFERROR(
  INDEX('Scrum Teams'!B$2:B$1010,
    MATCH(1,
      (B85='Scrum Teams'!F$2:F$1010) +
      (B85='Scrum Teams'!G$2:G$1010) +
      (B85='Scrum Teams'!H$2:H$1010) +
      (B85='Scrum Teams'!I$2:I$1010) +
      (B85='Scrum Teams'!J$2:J$1010) +
      (B85='Scrum Teams'!K$2:K$1010) +
      (B85='Scrum Teams'!L$2:L$1010) +
      (B85='Scrum Teams'!M$2:M$1010) +
      (B85='Scrum Teams'!N$2:N$1010) +
      (B85='Scrum Teams'!O$2:O$1010) +
      (B85='Scrum Teams'!P$2:P$1010) +
      (B85='Scrum Teams'!Q$2:Q$1010),
    0)
  ),
  "Not found"
)</f>
        <v>ServiceMobile</v>
      </c>
      <c r="P85" s="194" t="s">
        <v>152</v>
      </c>
      <c r="Q85" s="37" t="s">
        <v>373</v>
      </c>
    </row>
    <row r="86" spans="1:17" hidden="1">
      <c r="A86" s="3" t="s">
        <v>54</v>
      </c>
      <c r="B86" s="18" t="s">
        <v>431</v>
      </c>
      <c r="C86" s="3" t="s">
        <v>426</v>
      </c>
      <c r="D86" s="3"/>
      <c r="E86" s="3" t="s">
        <v>53</v>
      </c>
      <c r="F86" s="3"/>
      <c r="G86" s="3" t="s">
        <v>43</v>
      </c>
      <c r="H86" s="290" t="s">
        <v>432</v>
      </c>
      <c r="I86" s="290" t="s">
        <v>271</v>
      </c>
      <c r="J86" s="290" t="s">
        <v>271</v>
      </c>
      <c r="K86" s="290" t="s">
        <v>272</v>
      </c>
      <c r="L86" s="290"/>
      <c r="M86" s="291" t="s">
        <v>250</v>
      </c>
      <c r="N86" s="3"/>
      <c r="O86" s="137" t="str" cm="1">
        <f t="array" ref="O86">IFERROR(
  INDEX('Scrum Teams'!B$2:B$1010,
    MATCH(1,
      (B86='Scrum Teams'!F$2:F$1010) +
      (B86='Scrum Teams'!G$2:G$1010) +
      (B86='Scrum Teams'!H$2:H$1010) +
      (B86='Scrum Teams'!I$2:I$1010) +
      (B86='Scrum Teams'!J$2:J$1010) +
      (B86='Scrum Teams'!K$2:K$1010) +
      (B86='Scrum Teams'!L$2:L$1010) +
      (B86='Scrum Teams'!M$2:M$1010) +
      (B86='Scrum Teams'!N$2:N$1010) +
      (B86='Scrum Teams'!O$2:O$1010) +
      (B86='Scrum Teams'!P$2:P$1010) +
      (B86='Scrum Teams'!Q$2:Q$1010),
    0)
  ),
  "Not found"
)</f>
        <v>ServiceMobile</v>
      </c>
      <c r="P86" s="194" t="s">
        <v>152</v>
      </c>
      <c r="Q86" s="37" t="s">
        <v>373</v>
      </c>
    </row>
    <row r="87" spans="1:17" hidden="1">
      <c r="A87" s="3" t="s">
        <v>54</v>
      </c>
      <c r="B87" s="18" t="s">
        <v>433</v>
      </c>
      <c r="C87" s="3" t="s">
        <v>426</v>
      </c>
      <c r="D87" s="3"/>
      <c r="E87" s="3" t="s">
        <v>53</v>
      </c>
      <c r="F87" s="3"/>
      <c r="G87" s="3" t="s">
        <v>43</v>
      </c>
      <c r="H87" s="290" t="s">
        <v>432</v>
      </c>
      <c r="I87" s="290" t="s">
        <v>271</v>
      </c>
      <c r="J87" s="290" t="s">
        <v>271</v>
      </c>
      <c r="K87" s="290" t="s">
        <v>272</v>
      </c>
      <c r="L87" s="290"/>
      <c r="M87" s="291" t="s">
        <v>250</v>
      </c>
      <c r="N87" s="3"/>
      <c r="O87" s="137" t="str" cm="1">
        <f t="array" ref="O87">IFERROR(
  INDEX('Scrum Teams'!B$2:B$1010,
    MATCH(1,
      (B87='Scrum Teams'!F$2:F$1010) +
      (B87='Scrum Teams'!G$2:G$1010) +
      (B87='Scrum Teams'!H$2:H$1010) +
      (B87='Scrum Teams'!I$2:I$1010) +
      (B87='Scrum Teams'!J$2:J$1010) +
      (B87='Scrum Teams'!K$2:K$1010) +
      (B87='Scrum Teams'!L$2:L$1010) +
      (B87='Scrum Teams'!M$2:M$1010) +
      (B87='Scrum Teams'!N$2:N$1010) +
      (B87='Scrum Teams'!O$2:O$1010) +
      (B87='Scrum Teams'!P$2:P$1010) +
      (B87='Scrum Teams'!Q$2:Q$1010),
    0)
  ),
  "Not found"
)</f>
        <v>ServiceMobile</v>
      </c>
      <c r="P87" s="194" t="s">
        <v>152</v>
      </c>
      <c r="Q87" s="37" t="s">
        <v>373</v>
      </c>
    </row>
    <row r="88" spans="1:17" hidden="1">
      <c r="A88" s="3" t="s">
        <v>54</v>
      </c>
      <c r="B88" s="18" t="s">
        <v>434</v>
      </c>
      <c r="C88" s="3"/>
      <c r="D88" s="3"/>
      <c r="E88" s="3" t="s">
        <v>53</v>
      </c>
      <c r="F88" s="3"/>
      <c r="G88" s="3" t="s">
        <v>43</v>
      </c>
      <c r="H88" s="290"/>
      <c r="I88" s="290"/>
      <c r="J88" s="290"/>
      <c r="K88" s="290"/>
      <c r="L88" s="290"/>
      <c r="M88" s="291"/>
      <c r="N88" s="3"/>
      <c r="O88" s="137" t="str" cm="1">
        <f t="array" ref="O88">IFERROR(
  INDEX('Scrum Teams'!B$2:B$1010,
    MATCH(1,
      (B88='Scrum Teams'!F$2:F$1010) +
      (B88='Scrum Teams'!G$2:G$1010) +
      (B88='Scrum Teams'!H$2:H$1010) +
      (B88='Scrum Teams'!I$2:I$1010) +
      (B88='Scrum Teams'!J$2:J$1010) +
      (B88='Scrum Teams'!K$2:K$1010) +
      (B88='Scrum Teams'!L$2:L$1010) +
      (B88='Scrum Teams'!M$2:M$1010) +
      (B88='Scrum Teams'!N$2:N$1010) +
      (B88='Scrum Teams'!O$2:O$1010) +
      (B88='Scrum Teams'!P$2:P$1010) +
      (B88='Scrum Teams'!Q$2:Q$1010),
    0)
  ),
  "Not found"
)</f>
        <v>Not found</v>
      </c>
      <c r="P88" s="194" t="s">
        <v>152</v>
      </c>
      <c r="Q88" s="37" t="s">
        <v>373</v>
      </c>
    </row>
    <row r="89" spans="1:17" hidden="1">
      <c r="A89" s="3" t="s">
        <v>47</v>
      </c>
      <c r="B89" s="18" t="s">
        <v>435</v>
      </c>
      <c r="C89" s="3" t="s">
        <v>436</v>
      </c>
      <c r="D89" s="3" t="s">
        <v>437</v>
      </c>
      <c r="E89" s="3" t="s">
        <v>46</v>
      </c>
      <c r="F89" s="3"/>
      <c r="G89" s="3" t="s">
        <v>43</v>
      </c>
      <c r="H89" s="290" t="s">
        <v>438</v>
      </c>
      <c r="I89" s="290" t="s">
        <v>439</v>
      </c>
      <c r="J89" s="290" t="s">
        <v>439</v>
      </c>
      <c r="K89" s="290" t="s">
        <v>407</v>
      </c>
      <c r="L89" s="290" t="s">
        <v>407</v>
      </c>
      <c r="M89" s="291" t="s">
        <v>225</v>
      </c>
      <c r="N89" s="3" t="s">
        <v>440</v>
      </c>
      <c r="O89" s="137" t="str" cm="1">
        <f t="array" ref="O89">IFERROR(
  INDEX('Scrum Teams'!B$2:B$1010,
    MATCH(1,
      (B89='Scrum Teams'!F$2:F$1010) +
      (B89='Scrum Teams'!G$2:G$1010) +
      (B89='Scrum Teams'!H$2:H$1010) +
      (B89='Scrum Teams'!I$2:I$1010) +
      (B89='Scrum Teams'!J$2:J$1010) +
      (B89='Scrum Teams'!K$2:K$1010) +
      (B89='Scrum Teams'!L$2:L$1010) +
      (B89='Scrum Teams'!M$2:M$1010) +
      (B89='Scrum Teams'!N$2:N$1010) +
      (B89='Scrum Teams'!O$2:O$1010) +
      (B89='Scrum Teams'!P$2:P$1010) +
      (B89='Scrum Teams'!Q$2:Q$1010),
    0)
  ),
  "Not found"
)</f>
        <v>Inventory Guardians</v>
      </c>
      <c r="P89" s="194" t="s">
        <v>149</v>
      </c>
      <c r="Q89" s="37" t="s">
        <v>373</v>
      </c>
    </row>
    <row r="90" spans="1:17" hidden="1">
      <c r="A90" s="3" t="s">
        <v>47</v>
      </c>
      <c r="B90" s="18" t="s">
        <v>441</v>
      </c>
      <c r="C90" s="3" t="s">
        <v>436</v>
      </c>
      <c r="D90" s="3" t="s">
        <v>437</v>
      </c>
      <c r="E90" s="3" t="s">
        <v>46</v>
      </c>
      <c r="F90" s="3"/>
      <c r="G90" s="3" t="s">
        <v>43</v>
      </c>
      <c r="H90" s="290" t="s">
        <v>442</v>
      </c>
      <c r="I90" s="290" t="s">
        <v>439</v>
      </c>
      <c r="J90" s="290" t="s">
        <v>439</v>
      </c>
      <c r="K90" s="290" t="s">
        <v>407</v>
      </c>
      <c r="L90" s="290" t="s">
        <v>407</v>
      </c>
      <c r="M90" s="291" t="s">
        <v>225</v>
      </c>
      <c r="N90" s="3" t="s">
        <v>440</v>
      </c>
      <c r="O90" s="137" t="str" cm="1">
        <f t="array" ref="O90">IFERROR(
  INDEX('Scrum Teams'!B$2:B$1010,
    MATCH(1,
      (B90='Scrum Teams'!F$2:F$1010) +
      (B90='Scrum Teams'!G$2:G$1010) +
      (B90='Scrum Teams'!H$2:H$1010) +
      (B90='Scrum Teams'!I$2:I$1010) +
      (B90='Scrum Teams'!J$2:J$1010) +
      (B90='Scrum Teams'!K$2:K$1010) +
      (B90='Scrum Teams'!L$2:L$1010) +
      (B90='Scrum Teams'!M$2:M$1010) +
      (B90='Scrum Teams'!N$2:N$1010) +
      (B90='Scrum Teams'!O$2:O$1010) +
      (B90='Scrum Teams'!P$2:P$1010) +
      (B90='Scrum Teams'!Q$2:Q$1010),
    0)
  ),
  "Not found"
)</f>
        <v>Inventory Guardians</v>
      </c>
      <c r="P90" s="194" t="s">
        <v>149</v>
      </c>
      <c r="Q90" s="37" t="s">
        <v>373</v>
      </c>
    </row>
    <row r="91" spans="1:17" hidden="1">
      <c r="A91" s="3" t="s">
        <v>47</v>
      </c>
      <c r="B91" s="18" t="s">
        <v>443</v>
      </c>
      <c r="C91" s="3" t="s">
        <v>436</v>
      </c>
      <c r="D91" s="3" t="s">
        <v>437</v>
      </c>
      <c r="E91" s="3" t="s">
        <v>46</v>
      </c>
      <c r="F91" s="3"/>
      <c r="G91" s="3" t="s">
        <v>43</v>
      </c>
      <c r="H91" s="290" t="s">
        <v>444</v>
      </c>
      <c r="I91" s="290" t="s">
        <v>445</v>
      </c>
      <c r="J91" s="290" t="s">
        <v>439</v>
      </c>
      <c r="K91" s="290" t="s">
        <v>407</v>
      </c>
      <c r="L91" s="290" t="s">
        <v>407</v>
      </c>
      <c r="M91" s="291" t="s">
        <v>225</v>
      </c>
      <c r="N91" s="3" t="s">
        <v>440</v>
      </c>
      <c r="O91" s="137" t="str" cm="1">
        <f t="array" ref="O91">IFERROR(
  INDEX('Scrum Teams'!B$2:B$1010,
    MATCH(1,
      (B91='Scrum Teams'!F$2:F$1010) +
      (B91='Scrum Teams'!G$2:G$1010) +
      (B91='Scrum Teams'!H$2:H$1010) +
      (B91='Scrum Teams'!I$2:I$1010) +
      (B91='Scrum Teams'!J$2:J$1010) +
      (B91='Scrum Teams'!K$2:K$1010) +
      (B91='Scrum Teams'!L$2:L$1010) +
      (B91='Scrum Teams'!M$2:M$1010) +
      (B91='Scrum Teams'!N$2:N$1010) +
      (B91='Scrum Teams'!O$2:O$1010) +
      (B91='Scrum Teams'!P$2:P$1010) +
      (B91='Scrum Teams'!Q$2:Q$1010),
    0)
  ),
  "Not found"
)</f>
        <v>Ordering Operators</v>
      </c>
      <c r="P91" s="194" t="s">
        <v>149</v>
      </c>
      <c r="Q91" s="37" t="s">
        <v>373</v>
      </c>
    </row>
    <row r="92" spans="1:17" hidden="1">
      <c r="A92" s="3" t="s">
        <v>47</v>
      </c>
      <c r="B92" s="18" t="s">
        <v>446</v>
      </c>
      <c r="C92" s="3" t="s">
        <v>436</v>
      </c>
      <c r="D92" s="3" t="s">
        <v>437</v>
      </c>
      <c r="E92" s="3" t="s">
        <v>46</v>
      </c>
      <c r="F92" s="3"/>
      <c r="G92" s="3" t="s">
        <v>43</v>
      </c>
      <c r="H92" s="290" t="s">
        <v>447</v>
      </c>
      <c r="I92" s="290" t="s">
        <v>445</v>
      </c>
      <c r="J92" s="290" t="s">
        <v>439</v>
      </c>
      <c r="K92" s="290" t="s">
        <v>407</v>
      </c>
      <c r="L92" s="290" t="s">
        <v>407</v>
      </c>
      <c r="M92" s="291" t="s">
        <v>225</v>
      </c>
      <c r="N92" s="3" t="s">
        <v>440</v>
      </c>
      <c r="O92" s="137" t="str" cm="1">
        <f t="array" ref="O92">IFERROR(
  INDEX('Scrum Teams'!B$2:B$1010,
    MATCH(1,
      (B92='Scrum Teams'!F$2:F$1010) +
      (B92='Scrum Teams'!G$2:G$1010) +
      (B92='Scrum Teams'!H$2:H$1010) +
      (B92='Scrum Teams'!I$2:I$1010) +
      (B92='Scrum Teams'!J$2:J$1010) +
      (B92='Scrum Teams'!K$2:K$1010) +
      (B92='Scrum Teams'!L$2:L$1010) +
      (B92='Scrum Teams'!M$2:M$1010) +
      (B92='Scrum Teams'!N$2:N$1010) +
      (B92='Scrum Teams'!O$2:O$1010) +
      (B92='Scrum Teams'!P$2:P$1010) +
      (B92='Scrum Teams'!Q$2:Q$1010),
    0)
  ),
  "Not found"
)</f>
        <v>Ordering Operators</v>
      </c>
      <c r="P92" s="194" t="s">
        <v>149</v>
      </c>
      <c r="Q92" s="37" t="s">
        <v>373</v>
      </c>
    </row>
    <row r="93" spans="1:17" hidden="1">
      <c r="A93" s="3" t="s">
        <v>47</v>
      </c>
      <c r="B93" s="18" t="s">
        <v>448</v>
      </c>
      <c r="C93" s="3" t="s">
        <v>449</v>
      </c>
      <c r="D93" s="3" t="s">
        <v>437</v>
      </c>
      <c r="E93" s="3" t="s">
        <v>46</v>
      </c>
      <c r="F93" s="3"/>
      <c r="G93" s="3" t="s">
        <v>43</v>
      </c>
      <c r="H93" s="290" t="s">
        <v>450</v>
      </c>
      <c r="I93" s="290" t="s">
        <v>439</v>
      </c>
      <c r="J93" s="290" t="s">
        <v>439</v>
      </c>
      <c r="K93" s="290" t="s">
        <v>407</v>
      </c>
      <c r="L93" s="290" t="s">
        <v>407</v>
      </c>
      <c r="M93" s="291" t="s">
        <v>225</v>
      </c>
      <c r="N93" s="3" t="s">
        <v>440</v>
      </c>
      <c r="O93" s="137" t="str" cm="1">
        <f t="array" ref="O93">IFERROR(
  INDEX('Scrum Teams'!B$2:B$1010,
    MATCH(1,
      (B93='Scrum Teams'!F$2:F$1010) +
      (B93='Scrum Teams'!G$2:G$1010) +
      (B93='Scrum Teams'!H$2:H$1010) +
      (B93='Scrum Teams'!I$2:I$1010) +
      (B93='Scrum Teams'!J$2:J$1010) +
      (B93='Scrum Teams'!K$2:K$1010) +
      (B93='Scrum Teams'!L$2:L$1010) +
      (B93='Scrum Teams'!M$2:M$1010) +
      (B93='Scrum Teams'!N$2:N$1010) +
      (B93='Scrum Teams'!O$2:O$1010) +
      (B93='Scrum Teams'!P$2:P$1010) +
      (B93='Scrum Teams'!Q$2:Q$1010),
    0)
  ),
  "Not found"
)</f>
        <v>Sales Order Frontiers</v>
      </c>
      <c r="P93" s="194" t="s">
        <v>149</v>
      </c>
      <c r="Q93" s="37" t="s">
        <v>373</v>
      </c>
    </row>
    <row r="94" spans="1:17" hidden="1">
      <c r="A94" s="3" t="s">
        <v>47</v>
      </c>
      <c r="B94" s="18" t="s">
        <v>451</v>
      </c>
      <c r="C94" s="3" t="s">
        <v>449</v>
      </c>
      <c r="D94" s="3" t="s">
        <v>437</v>
      </c>
      <c r="E94" s="3" t="s">
        <v>46</v>
      </c>
      <c r="F94" s="3"/>
      <c r="G94" s="3" t="s">
        <v>43</v>
      </c>
      <c r="H94" s="290" t="s">
        <v>452</v>
      </c>
      <c r="I94" s="290" t="s">
        <v>445</v>
      </c>
      <c r="J94" s="290" t="s">
        <v>439</v>
      </c>
      <c r="K94" s="290" t="s">
        <v>407</v>
      </c>
      <c r="L94" s="290" t="s">
        <v>407</v>
      </c>
      <c r="M94" s="291" t="s">
        <v>225</v>
      </c>
      <c r="N94" s="3" t="s">
        <v>440</v>
      </c>
      <c r="O94" s="137" t="str" cm="1">
        <f t="array" ref="O94">IFERROR(
  INDEX('Scrum Teams'!B$2:B$1010,
    MATCH(1,
      (B94='Scrum Teams'!F$2:F$1010) +
      (B94='Scrum Teams'!G$2:G$1010) +
      (B94='Scrum Teams'!H$2:H$1010) +
      (B94='Scrum Teams'!I$2:I$1010) +
      (B94='Scrum Teams'!J$2:J$1010) +
      (B94='Scrum Teams'!K$2:K$1010) +
      (B94='Scrum Teams'!L$2:L$1010) +
      (B94='Scrum Teams'!M$2:M$1010) +
      (B94='Scrum Teams'!N$2:N$1010) +
      (B94='Scrum Teams'!O$2:O$1010) +
      (B94='Scrum Teams'!P$2:P$1010) +
      (B94='Scrum Teams'!Q$2:Q$1010),
    0)
  ),
  "Not found"
)</f>
        <v>Sales Order Frontiers</v>
      </c>
      <c r="P94" s="194" t="s">
        <v>149</v>
      </c>
      <c r="Q94" s="37" t="s">
        <v>373</v>
      </c>
    </row>
    <row r="95" spans="1:17" hidden="1">
      <c r="A95" s="3" t="s">
        <v>47</v>
      </c>
      <c r="B95" s="18" t="s">
        <v>453</v>
      </c>
      <c r="C95" s="3" t="s">
        <v>436</v>
      </c>
      <c r="D95" s="3" t="s">
        <v>437</v>
      </c>
      <c r="E95" s="3" t="s">
        <v>46</v>
      </c>
      <c r="F95" s="3"/>
      <c r="G95" s="3" t="s">
        <v>43</v>
      </c>
      <c r="H95" s="290" t="s">
        <v>442</v>
      </c>
      <c r="I95" s="290" t="s">
        <v>439</v>
      </c>
      <c r="J95" s="290" t="s">
        <v>439</v>
      </c>
      <c r="K95" s="290" t="s">
        <v>407</v>
      </c>
      <c r="L95" s="290" t="s">
        <v>407</v>
      </c>
      <c r="M95" s="291" t="s">
        <v>225</v>
      </c>
      <c r="N95" s="3" t="s">
        <v>440</v>
      </c>
      <c r="O95" s="137" t="str" cm="1">
        <f t="array" ref="O95">IFERROR(
  INDEX('Scrum Teams'!B$2:B$1010,
    MATCH(1,
      (B95='Scrum Teams'!F$2:F$1010) +
      (B95='Scrum Teams'!G$2:G$1010) +
      (B95='Scrum Teams'!H$2:H$1010) +
      (B95='Scrum Teams'!I$2:I$1010) +
      (B95='Scrum Teams'!J$2:J$1010) +
      (B95='Scrum Teams'!K$2:K$1010) +
      (B95='Scrum Teams'!L$2:L$1010) +
      (B95='Scrum Teams'!M$2:M$1010) +
      (B95='Scrum Teams'!N$2:N$1010) +
      (B95='Scrum Teams'!O$2:O$1010) +
      (B95='Scrum Teams'!P$2:P$1010) +
      (B95='Scrum Teams'!Q$2:Q$1010),
    0)
  ),
  "Not found"
)</f>
        <v>Ordering Operators</v>
      </c>
      <c r="P95" s="194" t="s">
        <v>149</v>
      </c>
      <c r="Q95" s="37" t="s">
        <v>373</v>
      </c>
    </row>
    <row r="96" spans="1:17" hidden="1">
      <c r="A96" s="3" t="s">
        <v>47</v>
      </c>
      <c r="B96" s="18" t="s">
        <v>454</v>
      </c>
      <c r="C96" s="3" t="s">
        <v>455</v>
      </c>
      <c r="D96" s="3" t="s">
        <v>437</v>
      </c>
      <c r="E96" s="3" t="s">
        <v>46</v>
      </c>
      <c r="F96" s="3"/>
      <c r="G96" s="3" t="s">
        <v>43</v>
      </c>
      <c r="H96" s="290" t="s">
        <v>444</v>
      </c>
      <c r="I96" s="290" t="s">
        <v>445</v>
      </c>
      <c r="J96" s="290" t="s">
        <v>439</v>
      </c>
      <c r="K96" s="290" t="s">
        <v>407</v>
      </c>
      <c r="L96" s="290" t="s">
        <v>407</v>
      </c>
      <c r="M96" s="291" t="s">
        <v>225</v>
      </c>
      <c r="N96" s="3" t="s">
        <v>440</v>
      </c>
      <c r="O96" s="137" t="str" cm="1">
        <f t="array" ref="O96">IFERROR(
  INDEX('Scrum Teams'!B$2:B$1010,
    MATCH(1,
      (B96='Scrum Teams'!F$2:F$1010) +
      (B96='Scrum Teams'!G$2:G$1010) +
      (B96='Scrum Teams'!H$2:H$1010) +
      (B96='Scrum Teams'!I$2:I$1010) +
      (B96='Scrum Teams'!J$2:J$1010) +
      (B96='Scrum Teams'!K$2:K$1010) +
      (B96='Scrum Teams'!L$2:L$1010) +
      (B96='Scrum Teams'!M$2:M$1010) +
      (B96='Scrum Teams'!N$2:N$1010) +
      (B96='Scrum Teams'!O$2:O$1010) +
      (B96='Scrum Teams'!P$2:P$1010) +
      (B96='Scrum Teams'!Q$2:Q$1010),
    0)
  ),
  "Not found"
)</f>
        <v>Repair Order Fulfillers</v>
      </c>
      <c r="P96" s="194" t="s">
        <v>149</v>
      </c>
      <c r="Q96" s="37" t="s">
        <v>373</v>
      </c>
    </row>
    <row r="97" spans="1:18" hidden="1">
      <c r="A97" s="3" t="s">
        <v>47</v>
      </c>
      <c r="B97" s="18" t="s">
        <v>456</v>
      </c>
      <c r="C97" s="3" t="s">
        <v>455</v>
      </c>
      <c r="D97" s="3" t="s">
        <v>437</v>
      </c>
      <c r="E97" s="3" t="s">
        <v>46</v>
      </c>
      <c r="F97" s="3"/>
      <c r="G97" s="3" t="s">
        <v>43</v>
      </c>
      <c r="H97" s="290" t="s">
        <v>450</v>
      </c>
      <c r="I97" s="290" t="s">
        <v>439</v>
      </c>
      <c r="J97" s="290" t="s">
        <v>439</v>
      </c>
      <c r="K97" s="290" t="s">
        <v>407</v>
      </c>
      <c r="L97" s="290" t="s">
        <v>407</v>
      </c>
      <c r="M97" s="291" t="s">
        <v>225</v>
      </c>
      <c r="N97" s="3" t="s">
        <v>440</v>
      </c>
      <c r="O97" s="137" t="str" cm="1">
        <f t="array" ref="O97">IFERROR(
  INDEX('Scrum Teams'!B$2:B$1010,
    MATCH(1,
      (B97='Scrum Teams'!F$2:F$1010) +
      (B97='Scrum Teams'!G$2:G$1010) +
      (B97='Scrum Teams'!H$2:H$1010) +
      (B97='Scrum Teams'!I$2:I$1010) +
      (B97='Scrum Teams'!J$2:J$1010) +
      (B97='Scrum Teams'!K$2:K$1010) +
      (B97='Scrum Teams'!L$2:L$1010) +
      (B97='Scrum Teams'!M$2:M$1010) +
      (B97='Scrum Teams'!N$2:N$1010) +
      (B97='Scrum Teams'!O$2:O$1010) +
      (B97='Scrum Teams'!P$2:P$1010) +
      (B97='Scrum Teams'!Q$2:Q$1010),
    0)
  ),
  "Not found"
)</f>
        <v>Repair Order Fulfillers</v>
      </c>
      <c r="P97" s="194" t="s">
        <v>149</v>
      </c>
      <c r="Q97" s="37" t="s">
        <v>373</v>
      </c>
    </row>
    <row r="98" spans="1:18" hidden="1">
      <c r="A98" s="3" t="s">
        <v>47</v>
      </c>
      <c r="B98" s="18" t="s">
        <v>457</v>
      </c>
      <c r="C98" s="3" t="s">
        <v>436</v>
      </c>
      <c r="D98" s="3" t="s">
        <v>437</v>
      </c>
      <c r="E98" s="3" t="s">
        <v>46</v>
      </c>
      <c r="F98" s="3"/>
      <c r="G98" s="3" t="s">
        <v>43</v>
      </c>
      <c r="H98" s="290" t="s">
        <v>447</v>
      </c>
      <c r="I98" s="290" t="s">
        <v>445</v>
      </c>
      <c r="J98" s="290" t="s">
        <v>439</v>
      </c>
      <c r="K98" s="290" t="s">
        <v>407</v>
      </c>
      <c r="L98" s="290" t="s">
        <v>407</v>
      </c>
      <c r="M98" s="291" t="s">
        <v>225</v>
      </c>
      <c r="N98" s="3" t="s">
        <v>440</v>
      </c>
      <c r="O98" s="137" t="str" cm="1">
        <f t="array" ref="O98">IFERROR(
  INDEX('Scrum Teams'!B$2:B$1010,
    MATCH(1,
      (B98='Scrum Teams'!F$2:F$1010) +
      (B98='Scrum Teams'!G$2:G$1010) +
      (B98='Scrum Teams'!H$2:H$1010) +
      (B98='Scrum Teams'!I$2:I$1010) +
      (B98='Scrum Teams'!J$2:J$1010) +
      (B98='Scrum Teams'!K$2:K$1010) +
      (B98='Scrum Teams'!L$2:L$1010) +
      (B98='Scrum Teams'!M$2:M$1010) +
      (B98='Scrum Teams'!N$2:N$1010) +
      (B98='Scrum Teams'!O$2:O$1010) +
      (B98='Scrum Teams'!P$2:P$1010) +
      (B98='Scrum Teams'!Q$2:Q$1010),
    0)
  ),
  "Not found"
)</f>
        <v>Ordering Operators</v>
      </c>
      <c r="P98" s="194" t="s">
        <v>149</v>
      </c>
      <c r="Q98" s="37" t="s">
        <v>373</v>
      </c>
    </row>
    <row r="99" spans="1:18" hidden="1">
      <c r="A99" s="3" t="s">
        <v>47</v>
      </c>
      <c r="B99" s="18" t="s">
        <v>458</v>
      </c>
      <c r="C99" s="3" t="s">
        <v>436</v>
      </c>
      <c r="D99" s="3" t="s">
        <v>437</v>
      </c>
      <c r="E99" s="3" t="s">
        <v>46</v>
      </c>
      <c r="F99" s="3"/>
      <c r="G99" s="3" t="s">
        <v>43</v>
      </c>
      <c r="H99" s="290" t="s">
        <v>447</v>
      </c>
      <c r="I99" s="290" t="s">
        <v>445</v>
      </c>
      <c r="J99" s="290" t="s">
        <v>439</v>
      </c>
      <c r="K99" s="290" t="s">
        <v>407</v>
      </c>
      <c r="L99" s="290" t="s">
        <v>407</v>
      </c>
      <c r="M99" s="291" t="s">
        <v>225</v>
      </c>
      <c r="N99" s="3" t="s">
        <v>440</v>
      </c>
      <c r="O99" s="137" t="str" cm="1">
        <f t="array" ref="O99">IFERROR(
  INDEX('Scrum Teams'!B$2:B$1010,
    MATCH(1,
      (B99='Scrum Teams'!F$2:F$1010) +
      (B99='Scrum Teams'!G$2:G$1010) +
      (B99='Scrum Teams'!H$2:H$1010) +
      (B99='Scrum Teams'!I$2:I$1010) +
      (B99='Scrum Teams'!J$2:J$1010) +
      (B99='Scrum Teams'!K$2:K$1010) +
      (B99='Scrum Teams'!L$2:L$1010) +
      (B99='Scrum Teams'!M$2:M$1010) +
      (B99='Scrum Teams'!N$2:N$1010) +
      (B99='Scrum Teams'!O$2:O$1010) +
      (B99='Scrum Teams'!P$2:P$1010) +
      (B99='Scrum Teams'!Q$2:Q$1010),
    0)
  ),
  "Not found"
)</f>
        <v>Ordering Operators</v>
      </c>
      <c r="P99" s="194" t="s">
        <v>149</v>
      </c>
      <c r="Q99" s="37" t="s">
        <v>373</v>
      </c>
    </row>
    <row r="100" spans="1:18" hidden="1">
      <c r="A100" s="3" t="s">
        <v>47</v>
      </c>
      <c r="B100" s="18" t="s">
        <v>459</v>
      </c>
      <c r="C100" s="3" t="s">
        <v>436</v>
      </c>
      <c r="D100" s="3" t="s">
        <v>437</v>
      </c>
      <c r="E100" s="3" t="s">
        <v>46</v>
      </c>
      <c r="F100" s="3"/>
      <c r="G100" s="3" t="s">
        <v>43</v>
      </c>
      <c r="H100" s="290" t="s">
        <v>460</v>
      </c>
      <c r="I100" s="290" t="s">
        <v>445</v>
      </c>
      <c r="J100" s="290" t="s">
        <v>439</v>
      </c>
      <c r="K100" s="290" t="s">
        <v>407</v>
      </c>
      <c r="L100" s="290" t="s">
        <v>407</v>
      </c>
      <c r="M100" s="291" t="s">
        <v>225</v>
      </c>
      <c r="N100" s="3" t="s">
        <v>440</v>
      </c>
      <c r="O100" s="137" t="str" cm="1">
        <f t="array" ref="O100">IFERROR(
  INDEX('Scrum Teams'!B$2:B$1010,
    MATCH(1,
      (B100='Scrum Teams'!F$2:F$1010) +
      (B100='Scrum Teams'!G$2:G$1010) +
      (B100='Scrum Teams'!H$2:H$1010) +
      (B100='Scrum Teams'!I$2:I$1010) +
      (B100='Scrum Teams'!J$2:J$1010) +
      (B100='Scrum Teams'!K$2:K$1010) +
      (B100='Scrum Teams'!L$2:L$1010) +
      (B100='Scrum Teams'!M$2:M$1010) +
      (B100='Scrum Teams'!N$2:N$1010) +
      (B100='Scrum Teams'!O$2:O$1010) +
      (B100='Scrum Teams'!P$2:P$1010) +
      (B100='Scrum Teams'!Q$2:Q$1010),
    0)
  ),
  "Not found"
)</f>
        <v>Integrations Connectors</v>
      </c>
      <c r="P100" s="194" t="s">
        <v>149</v>
      </c>
      <c r="Q100" s="37" t="s">
        <v>373</v>
      </c>
    </row>
    <row r="101" spans="1:18" hidden="1">
      <c r="A101" s="3" t="s">
        <v>47</v>
      </c>
      <c r="B101" s="18" t="s">
        <v>461</v>
      </c>
      <c r="C101" s="3" t="s">
        <v>436</v>
      </c>
      <c r="D101" s="3" t="s">
        <v>437</v>
      </c>
      <c r="E101" s="3" t="s">
        <v>46</v>
      </c>
      <c r="F101" s="3"/>
      <c r="G101" s="3" t="s">
        <v>43</v>
      </c>
      <c r="H101" s="290" t="s">
        <v>462</v>
      </c>
      <c r="I101" s="290" t="s">
        <v>439</v>
      </c>
      <c r="J101" s="290" t="s">
        <v>439</v>
      </c>
      <c r="K101" s="290" t="s">
        <v>407</v>
      </c>
      <c r="L101" s="290" t="s">
        <v>407</v>
      </c>
      <c r="M101" s="291" t="s">
        <v>225</v>
      </c>
      <c r="N101" s="3" t="s">
        <v>440</v>
      </c>
      <c r="O101" s="137" t="str" cm="1">
        <f t="array" ref="O101">IFERROR(
  INDEX('Scrum Teams'!B$2:B$1010,
    MATCH(1,
      (B101='Scrum Teams'!F$2:F$1010) +
      (B101='Scrum Teams'!G$2:G$1010) +
      (B101='Scrum Teams'!H$2:H$1010) +
      (B101='Scrum Teams'!I$2:I$1010) +
      (B101='Scrum Teams'!J$2:J$1010) +
      (B101='Scrum Teams'!K$2:K$1010) +
      (B101='Scrum Teams'!L$2:L$1010) +
      (B101='Scrum Teams'!M$2:M$1010) +
      (B101='Scrum Teams'!N$2:N$1010) +
      (B101='Scrum Teams'!O$2:O$1010) +
      (B101='Scrum Teams'!P$2:P$1010) +
      (B101='Scrum Teams'!Q$2:Q$1010),
    0)
  ),
  "Not found"
)</f>
        <v>Inventory Guardians</v>
      </c>
      <c r="P101" s="194" t="s">
        <v>149</v>
      </c>
      <c r="Q101" s="37" t="s">
        <v>373</v>
      </c>
    </row>
    <row r="102" spans="1:18" hidden="1">
      <c r="A102" s="3" t="s">
        <v>47</v>
      </c>
      <c r="B102" s="18" t="s">
        <v>463</v>
      </c>
      <c r="C102" s="3" t="s">
        <v>436</v>
      </c>
      <c r="D102" s="3" t="s">
        <v>437</v>
      </c>
      <c r="E102" s="3" t="s">
        <v>46</v>
      </c>
      <c r="F102" s="3"/>
      <c r="G102" s="3" t="s">
        <v>43</v>
      </c>
      <c r="H102" s="290" t="s">
        <v>442</v>
      </c>
      <c r="I102" s="290" t="s">
        <v>439</v>
      </c>
      <c r="J102" s="290" t="s">
        <v>439</v>
      </c>
      <c r="K102" s="290" t="s">
        <v>407</v>
      </c>
      <c r="L102" s="290" t="s">
        <v>407</v>
      </c>
      <c r="M102" s="291" t="s">
        <v>225</v>
      </c>
      <c r="N102" s="3" t="s">
        <v>440</v>
      </c>
      <c r="O102" s="137" t="str" cm="1">
        <f t="array" ref="O102">IFERROR(
  INDEX('Scrum Teams'!B$2:B$1010,
    MATCH(1,
      (B102='Scrum Teams'!F$2:F$1010) +
      (B102='Scrum Teams'!G$2:G$1010) +
      (B102='Scrum Teams'!H$2:H$1010) +
      (B102='Scrum Teams'!I$2:I$1010) +
      (B102='Scrum Teams'!J$2:J$1010) +
      (B102='Scrum Teams'!K$2:K$1010) +
      (B102='Scrum Teams'!L$2:L$1010) +
      (B102='Scrum Teams'!M$2:M$1010) +
      (B102='Scrum Teams'!N$2:N$1010) +
      (B102='Scrum Teams'!O$2:O$1010) +
      (B102='Scrum Teams'!P$2:P$1010) +
      (B102='Scrum Teams'!Q$2:Q$1010),
    0)
  ),
  "Not found"
)</f>
        <v>Integrations Connectors</v>
      </c>
      <c r="P102" s="194" t="s">
        <v>149</v>
      </c>
      <c r="Q102" s="37" t="s">
        <v>373</v>
      </c>
    </row>
    <row r="103" spans="1:18" hidden="1">
      <c r="A103" s="3" t="s">
        <v>47</v>
      </c>
      <c r="B103" s="18" t="s">
        <v>464</v>
      </c>
      <c r="C103" s="3" t="s">
        <v>436</v>
      </c>
      <c r="D103" s="3" t="s">
        <v>437</v>
      </c>
      <c r="E103" s="3" t="s">
        <v>46</v>
      </c>
      <c r="F103" s="3"/>
      <c r="G103" s="3" t="s">
        <v>43</v>
      </c>
      <c r="H103" s="290"/>
      <c r="I103" s="290"/>
      <c r="J103" s="290" t="s">
        <v>439</v>
      </c>
      <c r="K103" s="290" t="s">
        <v>407</v>
      </c>
      <c r="L103" s="290" t="s">
        <v>407</v>
      </c>
      <c r="M103" s="291" t="s">
        <v>225</v>
      </c>
      <c r="N103" s="3" t="s">
        <v>440</v>
      </c>
      <c r="O103" s="137" t="str" cm="1">
        <f t="array" ref="O103">IFERROR(
  INDEX('Scrum Teams'!B$2:B$1010,
    MATCH(1,
      (B103='Scrum Teams'!F$2:F$1010) +
      (B103='Scrum Teams'!G$2:G$1010) +
      (B103='Scrum Teams'!H$2:H$1010) +
      (B103='Scrum Teams'!I$2:I$1010) +
      (B103='Scrum Teams'!J$2:J$1010) +
      (B103='Scrum Teams'!K$2:K$1010) +
      (B103='Scrum Teams'!L$2:L$1010) +
      (B103='Scrum Teams'!M$2:M$1010) +
      (B103='Scrum Teams'!N$2:N$1010) +
      (B103='Scrum Teams'!O$2:O$1010) +
      (B103='Scrum Teams'!P$2:P$1010) +
      (B103='Scrum Teams'!Q$2:Q$1010),
    0)
  ),
  "Not found"
)</f>
        <v>Integrations Connectors</v>
      </c>
      <c r="P103" s="194" t="s">
        <v>149</v>
      </c>
      <c r="Q103" s="37" t="s">
        <v>373</v>
      </c>
    </row>
    <row r="104" spans="1:18" hidden="1">
      <c r="A104" s="3" t="s">
        <v>47</v>
      </c>
      <c r="B104" s="18" t="s">
        <v>465</v>
      </c>
      <c r="C104" s="3" t="s">
        <v>436</v>
      </c>
      <c r="D104" s="3" t="s">
        <v>437</v>
      </c>
      <c r="E104" s="3" t="s">
        <v>46</v>
      </c>
      <c r="F104" s="3"/>
      <c r="G104" s="3" t="s">
        <v>43</v>
      </c>
      <c r="H104" s="290"/>
      <c r="I104" s="290"/>
      <c r="J104" s="290" t="s">
        <v>439</v>
      </c>
      <c r="K104" s="290" t="s">
        <v>407</v>
      </c>
      <c r="L104" s="290" t="s">
        <v>407</v>
      </c>
      <c r="M104" s="291" t="s">
        <v>225</v>
      </c>
      <c r="N104" s="3" t="s">
        <v>440</v>
      </c>
      <c r="O104" s="137" t="str" cm="1">
        <f t="array" ref="O104">IFERROR(
  INDEX('Scrum Teams'!B$2:B$1010,
    MATCH(1,
      (B104='Scrum Teams'!F$2:F$1010) +
      (B104='Scrum Teams'!G$2:G$1010) +
      (B104='Scrum Teams'!H$2:H$1010) +
      (B104='Scrum Teams'!I$2:I$1010) +
      (B104='Scrum Teams'!J$2:J$1010) +
      (B104='Scrum Teams'!K$2:K$1010) +
      (B104='Scrum Teams'!L$2:L$1010) +
      (B104='Scrum Teams'!M$2:M$1010) +
      (B104='Scrum Teams'!N$2:N$1010) +
      (B104='Scrum Teams'!O$2:O$1010) +
      (B104='Scrum Teams'!P$2:P$1010) +
      (B104='Scrum Teams'!Q$2:Q$1010),
    0)
  ),
  "Not found"
)</f>
        <v>Integrations Connectors</v>
      </c>
      <c r="P104" s="194" t="s">
        <v>149</v>
      </c>
      <c r="Q104" s="37" t="s">
        <v>373</v>
      </c>
    </row>
    <row r="105" spans="1:18" hidden="1">
      <c r="A105" s="3" t="s">
        <v>47</v>
      </c>
      <c r="B105" s="18" t="s">
        <v>466</v>
      </c>
      <c r="C105" s="3" t="s">
        <v>436</v>
      </c>
      <c r="D105" s="3" t="s">
        <v>437</v>
      </c>
      <c r="E105" s="3" t="s">
        <v>46</v>
      </c>
      <c r="F105" s="3"/>
      <c r="G105" s="3" t="s">
        <v>43</v>
      </c>
      <c r="H105" s="290"/>
      <c r="I105" s="290"/>
      <c r="J105" s="290" t="s">
        <v>439</v>
      </c>
      <c r="K105" s="290" t="s">
        <v>407</v>
      </c>
      <c r="L105" s="290" t="s">
        <v>407</v>
      </c>
      <c r="M105" s="291" t="s">
        <v>225</v>
      </c>
      <c r="N105" s="3" t="s">
        <v>440</v>
      </c>
      <c r="O105" s="137" t="str" cm="1">
        <f t="array" ref="O105">IFERROR(
  INDEX('Scrum Teams'!B$2:B$1010,
    MATCH(1,
      (B105='Scrum Teams'!F$2:F$1010) +
      (B105='Scrum Teams'!G$2:G$1010) +
      (B105='Scrum Teams'!H$2:H$1010) +
      (B105='Scrum Teams'!I$2:I$1010) +
      (B105='Scrum Teams'!J$2:J$1010) +
      (B105='Scrum Teams'!K$2:K$1010) +
      (B105='Scrum Teams'!L$2:L$1010) +
      (B105='Scrum Teams'!M$2:M$1010) +
      (B105='Scrum Teams'!N$2:N$1010) +
      (B105='Scrum Teams'!O$2:O$1010) +
      (B105='Scrum Teams'!P$2:P$1010) +
      (B105='Scrum Teams'!Q$2:Q$1010),
    0)
  ),
  "Not found"
)</f>
        <v>Integrations Connectors</v>
      </c>
      <c r="P105" s="194" t="s">
        <v>149</v>
      </c>
      <c r="Q105" s="37" t="s">
        <v>373</v>
      </c>
    </row>
    <row r="106" spans="1:18" hidden="1">
      <c r="A106" s="3" t="s">
        <v>47</v>
      </c>
      <c r="B106" s="18" t="s">
        <v>467</v>
      </c>
      <c r="C106" s="3" t="s">
        <v>449</v>
      </c>
      <c r="D106" s="3" t="s">
        <v>437</v>
      </c>
      <c r="E106" s="3" t="s">
        <v>46</v>
      </c>
      <c r="F106" s="3"/>
      <c r="G106" s="3" t="s">
        <v>43</v>
      </c>
      <c r="H106" s="290" t="s">
        <v>445</v>
      </c>
      <c r="I106" s="290" t="s">
        <v>439</v>
      </c>
      <c r="J106" s="290" t="s">
        <v>439</v>
      </c>
      <c r="K106" s="290" t="s">
        <v>407</v>
      </c>
      <c r="L106" s="290" t="s">
        <v>407</v>
      </c>
      <c r="M106" s="291" t="s">
        <v>225</v>
      </c>
      <c r="N106" s="3" t="s">
        <v>440</v>
      </c>
      <c r="O106" s="137" t="str" cm="1">
        <f t="array" ref="O106">IFERROR(
  INDEX('Scrum Teams'!B$2:B$1010,
    MATCH(1,
      (B106='Scrum Teams'!F$2:F$1010) +
      (B106='Scrum Teams'!G$2:G$1010) +
      (B106='Scrum Teams'!H$2:H$1010) +
      (B106='Scrum Teams'!I$2:I$1010) +
      (B106='Scrum Teams'!J$2:J$1010) +
      (B106='Scrum Teams'!K$2:K$1010) +
      (B106='Scrum Teams'!L$2:L$1010) +
      (B106='Scrum Teams'!M$2:M$1010) +
      (B106='Scrum Teams'!N$2:N$1010) +
      (B106='Scrum Teams'!O$2:O$1010) +
      (B106='Scrum Teams'!P$2:P$1010) +
      (B106='Scrum Teams'!Q$2:Q$1010),
    0)
  ),
  "Not found"
)</f>
        <v>Platform Optimizers</v>
      </c>
      <c r="P106" s="194" t="s">
        <v>149</v>
      </c>
      <c r="Q106" s="37" t="s">
        <v>373</v>
      </c>
    </row>
    <row r="107" spans="1:18" hidden="1">
      <c r="A107" s="3" t="s">
        <v>47</v>
      </c>
      <c r="B107" s="18" t="s">
        <v>468</v>
      </c>
      <c r="C107" s="3" t="s">
        <v>449</v>
      </c>
      <c r="D107" s="3" t="s">
        <v>437</v>
      </c>
      <c r="E107" s="3" t="s">
        <v>46</v>
      </c>
      <c r="F107" s="3"/>
      <c r="G107" s="3" t="s">
        <v>43</v>
      </c>
      <c r="H107" s="290" t="s">
        <v>445</v>
      </c>
      <c r="I107" s="290" t="s">
        <v>439</v>
      </c>
      <c r="J107" s="290" t="s">
        <v>439</v>
      </c>
      <c r="K107" s="290" t="s">
        <v>407</v>
      </c>
      <c r="L107" s="290" t="s">
        <v>407</v>
      </c>
      <c r="M107" s="291" t="s">
        <v>225</v>
      </c>
      <c r="N107" s="3" t="s">
        <v>440</v>
      </c>
      <c r="O107" s="137" t="str" cm="1">
        <f t="array" ref="O107">IFERROR(
  INDEX('Scrum Teams'!B$2:B$1010,
    MATCH(1,
      (B107='Scrum Teams'!F$2:F$1010) +
      (B107='Scrum Teams'!G$2:G$1010) +
      (B107='Scrum Teams'!H$2:H$1010) +
      (B107='Scrum Teams'!I$2:I$1010) +
      (B107='Scrum Teams'!J$2:J$1010) +
      (B107='Scrum Teams'!K$2:K$1010) +
      (B107='Scrum Teams'!L$2:L$1010) +
      (B107='Scrum Teams'!M$2:M$1010) +
      (B107='Scrum Teams'!N$2:N$1010) +
      (B107='Scrum Teams'!O$2:O$1010) +
      (B107='Scrum Teams'!P$2:P$1010) +
      (B107='Scrum Teams'!Q$2:Q$1010),
    0)
  ),
  "Not found"
)</f>
        <v>Platform Optimizers</v>
      </c>
      <c r="P107" s="194" t="s">
        <v>149</v>
      </c>
      <c r="Q107" s="37" t="s">
        <v>373</v>
      </c>
    </row>
    <row r="108" spans="1:18" hidden="1">
      <c r="A108" s="3" t="s">
        <v>47</v>
      </c>
      <c r="B108" s="22" t="s">
        <v>469</v>
      </c>
      <c r="C108" s="3" t="s">
        <v>455</v>
      </c>
      <c r="D108" s="3" t="s">
        <v>437</v>
      </c>
      <c r="E108" s="3" t="s">
        <v>46</v>
      </c>
      <c r="F108" s="3"/>
      <c r="G108" s="3" t="s">
        <v>43</v>
      </c>
      <c r="H108" s="290" t="s">
        <v>462</v>
      </c>
      <c r="I108" s="290" t="s">
        <v>439</v>
      </c>
      <c r="J108" s="290" t="s">
        <v>439</v>
      </c>
      <c r="K108" s="290" t="s">
        <v>407</v>
      </c>
      <c r="L108" s="290" t="s">
        <v>407</v>
      </c>
      <c r="M108" s="291" t="s">
        <v>225</v>
      </c>
      <c r="N108" s="3" t="s">
        <v>440</v>
      </c>
      <c r="O108" s="137" t="str" cm="1">
        <f t="array" ref="O108">IFERROR(
  INDEX('Scrum Teams'!B$2:B$1010,
    MATCH(1,
      (B108='Scrum Teams'!F$2:F$1010) +
      (B108='Scrum Teams'!G$2:G$1010) +
      (B108='Scrum Teams'!H$2:H$1010) +
      (B108='Scrum Teams'!I$2:I$1010) +
      (B108='Scrum Teams'!J$2:J$1010) +
      (B108='Scrum Teams'!K$2:K$1010) +
      (B108='Scrum Teams'!L$2:L$1010) +
      (B108='Scrum Teams'!M$2:M$1010) +
      (B108='Scrum Teams'!N$2:N$1010) +
      (B108='Scrum Teams'!O$2:O$1010) +
      (B108='Scrum Teams'!P$2:P$1010) +
      (B108='Scrum Teams'!Q$2:Q$1010),
    0)
  ),
  "Not found"
)</f>
        <v>Data Dynamos</v>
      </c>
      <c r="P108" s="194" t="s">
        <v>149</v>
      </c>
      <c r="Q108" s="37" t="s">
        <v>373</v>
      </c>
    </row>
    <row r="109" spans="1:18" hidden="1">
      <c r="A109" s="3" t="s">
        <v>47</v>
      </c>
      <c r="B109" s="22" t="s">
        <v>470</v>
      </c>
      <c r="C109" s="3" t="s">
        <v>455</v>
      </c>
      <c r="D109" s="3" t="s">
        <v>437</v>
      </c>
      <c r="E109" s="3" t="s">
        <v>46</v>
      </c>
      <c r="F109" s="3"/>
      <c r="G109" s="3" t="s">
        <v>43</v>
      </c>
      <c r="H109" s="290" t="s">
        <v>462</v>
      </c>
      <c r="I109" s="290" t="s">
        <v>439</v>
      </c>
      <c r="J109" s="290" t="s">
        <v>439</v>
      </c>
      <c r="K109" s="290" t="s">
        <v>407</v>
      </c>
      <c r="L109" s="290" t="s">
        <v>407</v>
      </c>
      <c r="M109" s="291" t="s">
        <v>225</v>
      </c>
      <c r="N109" s="3" t="s">
        <v>440</v>
      </c>
      <c r="O109" s="137" t="str" cm="1">
        <f t="array" ref="O109">IFERROR(
  INDEX('Scrum Teams'!B$2:B$1010,
    MATCH(1,
      (B109='Scrum Teams'!F$2:F$1010) +
      (B109='Scrum Teams'!G$2:G$1010) +
      (B109='Scrum Teams'!H$2:H$1010) +
      (B109='Scrum Teams'!I$2:I$1010) +
      (B109='Scrum Teams'!J$2:J$1010) +
      (B109='Scrum Teams'!K$2:K$1010) +
      (B109='Scrum Teams'!L$2:L$1010) +
      (B109='Scrum Teams'!M$2:M$1010) +
      (B109='Scrum Teams'!N$2:N$1010) +
      (B109='Scrum Teams'!O$2:O$1010) +
      (B109='Scrum Teams'!P$2:P$1010) +
      (B109='Scrum Teams'!Q$2:Q$1010),
    0)
  ),
  "Not found"
)</f>
        <v>Data Dynamos</v>
      </c>
      <c r="P109" s="194" t="s">
        <v>149</v>
      </c>
      <c r="Q109" s="37" t="s">
        <v>373</v>
      </c>
    </row>
    <row r="110" spans="1:18" hidden="1">
      <c r="A110" s="3" t="s">
        <v>45</v>
      </c>
      <c r="B110" s="18" t="s">
        <v>471</v>
      </c>
      <c r="C110" s="3" t="s">
        <v>472</v>
      </c>
      <c r="D110" s="3"/>
      <c r="E110" s="3" t="s">
        <v>44</v>
      </c>
      <c r="F110" s="3"/>
      <c r="G110" s="3" t="s">
        <v>43</v>
      </c>
      <c r="H110" s="290" t="s">
        <v>473</v>
      </c>
      <c r="I110" s="291" t="s">
        <v>401</v>
      </c>
      <c r="J110" s="290" t="s">
        <v>401</v>
      </c>
      <c r="K110" s="291"/>
      <c r="L110" s="291"/>
      <c r="M110" s="290" t="s">
        <v>225</v>
      </c>
      <c r="N110" s="3"/>
      <c r="O110" s="137" t="str" cm="1">
        <f t="array" ref="O110">IFERROR(
  INDEX('Scrum Teams'!B$2:B$1010,
    MATCH(1,
      (B110='Scrum Teams'!F$2:F$1010) +
      (B110='Scrum Teams'!G$2:G$1010) +
      (B110='Scrum Teams'!H$2:H$1010) +
      (B110='Scrum Teams'!I$2:I$1010) +
      (B110='Scrum Teams'!J$2:J$1010) +
      (B110='Scrum Teams'!K$2:K$1010) +
      (B110='Scrum Teams'!L$2:L$1010) +
      (B110='Scrum Teams'!M$2:M$1010) +
      (B110='Scrum Teams'!N$2:N$1010) +
      (B110='Scrum Teams'!O$2:O$1010) +
      (B110='Scrum Teams'!P$2:P$1010) +
      (B110='Scrum Teams'!Q$2:Q$1010),
    0)
  ),
  "Not found"
)</f>
        <v>Gryffindor</v>
      </c>
      <c r="P110" s="194" t="s">
        <v>141</v>
      </c>
      <c r="Q110" s="37" t="s">
        <v>373</v>
      </c>
    </row>
    <row r="111" spans="1:18" hidden="1">
      <c r="A111" s="3" t="s">
        <v>45</v>
      </c>
      <c r="B111" s="18" t="s">
        <v>474</v>
      </c>
      <c r="C111" s="3" t="s">
        <v>475</v>
      </c>
      <c r="D111" s="3"/>
      <c r="E111" s="3" t="s">
        <v>44</v>
      </c>
      <c r="F111" s="3"/>
      <c r="G111" s="3" t="s">
        <v>43</v>
      </c>
      <c r="H111" s="290" t="s">
        <v>476</v>
      </c>
      <c r="I111" s="291" t="s">
        <v>401</v>
      </c>
      <c r="J111" s="290" t="s">
        <v>401</v>
      </c>
      <c r="K111" s="291"/>
      <c r="L111" s="291"/>
      <c r="M111" s="290" t="s">
        <v>225</v>
      </c>
      <c r="N111" s="3"/>
      <c r="O111" s="137" t="str" cm="1">
        <f t="array" ref="O111">IFERROR(
  INDEX('Scrum Teams'!B$2:B$1010,
    MATCH(1,
      (B111='Scrum Teams'!F$2:F$1010) +
      (B111='Scrum Teams'!G$2:G$1010) +
      (B111='Scrum Teams'!H$2:H$1010) +
      (B111='Scrum Teams'!I$2:I$1010) +
      (B111='Scrum Teams'!J$2:J$1010) +
      (B111='Scrum Teams'!K$2:K$1010) +
      (B111='Scrum Teams'!L$2:L$1010) +
      (B111='Scrum Teams'!M$2:M$1010) +
      (B111='Scrum Teams'!N$2:N$1010) +
      (B111='Scrum Teams'!O$2:O$1010) +
      (B111='Scrum Teams'!P$2:P$1010) +
      (B111='Scrum Teams'!Q$2:Q$1010),
    0)
  ),
  "Not found"
)</f>
        <v>Ravenclaw</v>
      </c>
      <c r="P111" s="194" t="s">
        <v>141</v>
      </c>
      <c r="Q111" s="37" t="s">
        <v>373</v>
      </c>
    </row>
    <row r="112" spans="1:18" hidden="1">
      <c r="A112" s="3" t="s">
        <v>28</v>
      </c>
      <c r="B112" s="18" t="s">
        <v>477</v>
      </c>
      <c r="C112" s="3" t="s">
        <v>478</v>
      </c>
      <c r="D112" s="3"/>
      <c r="E112" s="3" t="s">
        <v>27</v>
      </c>
      <c r="F112" s="3" t="s">
        <v>27</v>
      </c>
      <c r="G112" s="3" t="s">
        <v>23</v>
      </c>
      <c r="H112" s="291" t="s">
        <v>296</v>
      </c>
      <c r="I112" s="291" t="s">
        <v>296</v>
      </c>
      <c r="J112" s="291" t="s">
        <v>296</v>
      </c>
      <c r="K112" s="291" t="s">
        <v>479</v>
      </c>
      <c r="L112" s="291" t="s">
        <v>479</v>
      </c>
      <c r="M112" s="291" t="s">
        <v>479</v>
      </c>
      <c r="N112" s="3"/>
      <c r="O112" s="137" t="str" cm="1">
        <f t="array" ref="O112">IFERROR(
  INDEX('Scrum Teams'!B$2:B$1010,
    MATCH(1,
      (B112='Scrum Teams'!F$2:F$1010) +
      (B112='Scrum Teams'!G$2:G$1010) +
      (B112='Scrum Teams'!H$2:H$1010) +
      (B112='Scrum Teams'!I$2:I$1010) +
      (B112='Scrum Teams'!J$2:J$1010) +
      (B112='Scrum Teams'!K$2:K$1010) +
      (B112='Scrum Teams'!L$2:L$1010) +
      (B112='Scrum Teams'!M$2:M$1010) +
      (B112='Scrum Teams'!N$2:N$1010) +
      (B112='Scrum Teams'!O$2:O$1010) +
      (B112='Scrum Teams'!P$2:P$1010) +
      (B112='Scrum Teams'!Q$2:Q$1010),
    0)
  ),
  "Not found"
)</f>
        <v>HP-Registries_and_Config_Stores</v>
      </c>
      <c r="P112" s="194" t="s">
        <v>480</v>
      </c>
      <c r="Q112" s="37" t="s">
        <v>275</v>
      </c>
      <c r="R112" t="s">
        <v>481</v>
      </c>
    </row>
    <row r="113" spans="1:18" hidden="1">
      <c r="A113" s="3" t="s">
        <v>28</v>
      </c>
      <c r="B113" s="18" t="s">
        <v>482</v>
      </c>
      <c r="C113" s="3" t="s">
        <v>478</v>
      </c>
      <c r="D113" s="3"/>
      <c r="E113" s="3" t="s">
        <v>27</v>
      </c>
      <c r="F113" s="3" t="s">
        <v>27</v>
      </c>
      <c r="G113" s="3" t="s">
        <v>23</v>
      </c>
      <c r="H113" s="291" t="s">
        <v>296</v>
      </c>
      <c r="I113" s="291" t="s">
        <v>296</v>
      </c>
      <c r="J113" s="291" t="s">
        <v>296</v>
      </c>
      <c r="K113" s="291" t="s">
        <v>479</v>
      </c>
      <c r="L113" s="291" t="s">
        <v>479</v>
      </c>
      <c r="M113" s="291" t="s">
        <v>479</v>
      </c>
      <c r="N113" s="3"/>
      <c r="O113" s="137" t="str" cm="1">
        <f t="array" ref="O113">IFERROR(
  INDEX('Scrum Teams'!B$2:B$1010,
    MATCH(1,
      (B113='Scrum Teams'!F$2:F$1010) +
      (B113='Scrum Teams'!G$2:G$1010) +
      (B113='Scrum Teams'!H$2:H$1010) +
      (B113='Scrum Teams'!I$2:I$1010) +
      (B113='Scrum Teams'!J$2:J$1010) +
      (B113='Scrum Teams'!K$2:K$1010) +
      (B113='Scrum Teams'!L$2:L$1010) +
      (B113='Scrum Teams'!M$2:M$1010) +
      (B113='Scrum Teams'!N$2:N$1010) +
      (B113='Scrum Teams'!O$2:O$1010) +
      (B113='Scrum Teams'!P$2:P$1010) +
      (B113='Scrum Teams'!Q$2:Q$1010),
    0)
  ),
  "Not found"
)</f>
        <v>HP-Routing_and_Reliability</v>
      </c>
      <c r="P113" s="194" t="s">
        <v>480</v>
      </c>
      <c r="Q113" s="37" t="s">
        <v>275</v>
      </c>
    </row>
    <row r="114" spans="1:18" hidden="1">
      <c r="A114" s="3" t="s">
        <v>28</v>
      </c>
      <c r="B114" s="18" t="s">
        <v>483</v>
      </c>
      <c r="C114" s="3" t="s">
        <v>478</v>
      </c>
      <c r="D114" s="3"/>
      <c r="E114" s="3" t="s">
        <v>27</v>
      </c>
      <c r="F114" s="3" t="s">
        <v>27</v>
      </c>
      <c r="G114" s="3" t="s">
        <v>23</v>
      </c>
      <c r="H114" s="291" t="s">
        <v>296</v>
      </c>
      <c r="I114" s="291" t="s">
        <v>296</v>
      </c>
      <c r="J114" s="291" t="s">
        <v>296</v>
      </c>
      <c r="K114" s="291" t="s">
        <v>479</v>
      </c>
      <c r="L114" s="291" t="s">
        <v>479</v>
      </c>
      <c r="M114" s="291" t="s">
        <v>479</v>
      </c>
      <c r="N114" s="3"/>
      <c r="O114" s="137" t="str" cm="1">
        <f t="array" ref="O114">IFERROR(
  INDEX('Scrum Teams'!B$2:B$1010,
    MATCH(1,
      (B114='Scrum Teams'!F$2:F$1010) +
      (B114='Scrum Teams'!G$2:G$1010) +
      (B114='Scrum Teams'!H$2:H$1010) +
      (B114='Scrum Teams'!I$2:I$1010) +
      (B114='Scrum Teams'!J$2:J$1010) +
      (B114='Scrum Teams'!K$2:K$1010) +
      (B114='Scrum Teams'!L$2:L$1010) +
      (B114='Scrum Teams'!M$2:M$1010) +
      (B114='Scrum Teams'!N$2:N$1010) +
      (B114='Scrum Teams'!O$2:O$1010) +
      (B114='Scrum Teams'!P$2:P$1010) +
      (B114='Scrum Teams'!Q$2:Q$1010),
    0)
  ),
  "Not found"
)</f>
        <v>HP-Utilities</v>
      </c>
      <c r="P114" s="194" t="s">
        <v>480</v>
      </c>
      <c r="Q114" s="37" t="s">
        <v>275</v>
      </c>
    </row>
    <row r="115" spans="1:18" hidden="1">
      <c r="A115" s="3" t="s">
        <v>28</v>
      </c>
      <c r="B115" s="18" t="s">
        <v>484</v>
      </c>
      <c r="C115" s="3" t="s">
        <v>478</v>
      </c>
      <c r="D115" s="3"/>
      <c r="E115" s="3" t="s">
        <v>27</v>
      </c>
      <c r="F115" s="3" t="s">
        <v>27</v>
      </c>
      <c r="G115" s="3" t="s">
        <v>23</v>
      </c>
      <c r="H115" s="291" t="s">
        <v>296</v>
      </c>
      <c r="I115" s="291" t="s">
        <v>296</v>
      </c>
      <c r="J115" s="291" t="s">
        <v>296</v>
      </c>
      <c r="K115" s="291" t="s">
        <v>479</v>
      </c>
      <c r="L115" s="291" t="s">
        <v>479</v>
      </c>
      <c r="M115" s="291" t="s">
        <v>479</v>
      </c>
      <c r="N115" s="3"/>
      <c r="O115" s="137" t="str" cm="1">
        <f t="array" ref="O115">IFERROR(
  INDEX('Scrum Teams'!B$2:B$1010,
    MATCH(1,
      (B115='Scrum Teams'!F$2:F$1010) +
      (B115='Scrum Teams'!G$2:G$1010) +
      (B115='Scrum Teams'!H$2:H$1010) +
      (B115='Scrum Teams'!I$2:I$1010) +
      (B115='Scrum Teams'!J$2:J$1010) +
      (B115='Scrum Teams'!K$2:K$1010) +
      (B115='Scrum Teams'!L$2:L$1010) +
      (B115='Scrum Teams'!M$2:M$1010) +
      (B115='Scrum Teams'!N$2:N$1010) +
      (B115='Scrum Teams'!O$2:O$1010) +
      (B115='Scrum Teams'!P$2:P$1010) +
      (B115='Scrum Teams'!Q$2:Q$1010),
    0)
  ),
  "Not found"
)</f>
        <v>HP-Technologies_and_RnD</v>
      </c>
      <c r="P115" s="194" t="s">
        <v>480</v>
      </c>
      <c r="Q115" s="37" t="s">
        <v>275</v>
      </c>
    </row>
    <row r="116" spans="1:18" hidden="1">
      <c r="A116" s="3" t="s">
        <v>28</v>
      </c>
      <c r="B116" s="18" t="s">
        <v>485</v>
      </c>
      <c r="C116" s="3" t="s">
        <v>486</v>
      </c>
      <c r="D116" s="3"/>
      <c r="E116" s="3" t="s">
        <v>27</v>
      </c>
      <c r="F116" s="3" t="s">
        <v>27</v>
      </c>
      <c r="G116" s="3" t="s">
        <v>23</v>
      </c>
      <c r="H116" s="291" t="s">
        <v>296</v>
      </c>
      <c r="I116" s="291" t="s">
        <v>296</v>
      </c>
      <c r="J116" s="291" t="s">
        <v>296</v>
      </c>
      <c r="K116" s="291" t="s">
        <v>479</v>
      </c>
      <c r="L116" s="291" t="s">
        <v>479</v>
      </c>
      <c r="M116" s="291" t="s">
        <v>479</v>
      </c>
      <c r="N116" s="3"/>
      <c r="O116" s="137" t="str" cm="1">
        <f t="array" ref="O116">IFERROR(
  INDEX('Scrum Teams'!B$2:B$1010,
    MATCH(1,
      (B116='Scrum Teams'!F$2:F$1010) +
      (B116='Scrum Teams'!G$2:G$1010) +
      (B116='Scrum Teams'!H$2:H$1010) +
      (B116='Scrum Teams'!I$2:I$1010) +
      (B116='Scrum Teams'!J$2:J$1010) +
      (B116='Scrum Teams'!K$2:K$1010) +
      (B116='Scrum Teams'!L$2:L$1010) +
      (B116='Scrum Teams'!M$2:M$1010) +
      (B116='Scrum Teams'!N$2:N$1010) +
      (B116='Scrum Teams'!O$2:O$1010) +
      (B116='Scrum Teams'!P$2:P$1010) +
      (B116='Scrum Teams'!Q$2:Q$1010),
    0)
  ),
  "Not found"
)</f>
        <v>HP-Central_Setups</v>
      </c>
      <c r="P116" s="194" t="s">
        <v>480</v>
      </c>
      <c r="Q116" s="37" t="s">
        <v>275</v>
      </c>
      <c r="R116" t="s">
        <v>487</v>
      </c>
    </row>
    <row r="117" spans="1:18" hidden="1">
      <c r="A117" s="3" t="s">
        <v>28</v>
      </c>
      <c r="B117" s="18" t="s">
        <v>488</v>
      </c>
      <c r="C117" s="3" t="s">
        <v>486</v>
      </c>
      <c r="D117" s="3"/>
      <c r="E117" s="3" t="s">
        <v>27</v>
      </c>
      <c r="F117" s="3" t="s">
        <v>27</v>
      </c>
      <c r="G117" s="3" t="s">
        <v>23</v>
      </c>
      <c r="H117" s="291" t="s">
        <v>296</v>
      </c>
      <c r="I117" s="291" t="s">
        <v>296</v>
      </c>
      <c r="J117" s="291" t="s">
        <v>296</v>
      </c>
      <c r="K117" s="291" t="s">
        <v>479</v>
      </c>
      <c r="L117" s="291" t="s">
        <v>479</v>
      </c>
      <c r="M117" s="291" t="s">
        <v>479</v>
      </c>
      <c r="N117" s="3"/>
      <c r="O117" s="137" t="str" cm="1">
        <f t="array" ref="O117">IFERROR(
  INDEX('Scrum Teams'!B$2:B$1010,
    MATCH(1,
      (B117='Scrum Teams'!F$2:F$1010) +
      (B117='Scrum Teams'!G$2:G$1010) +
      (B117='Scrum Teams'!H$2:H$1010) +
      (B117='Scrum Teams'!I$2:I$1010) +
      (B117='Scrum Teams'!J$2:J$1010) +
      (B117='Scrum Teams'!K$2:K$1010) +
      (B117='Scrum Teams'!L$2:L$1010) +
      (B117='Scrum Teams'!M$2:M$1010) +
      (B117='Scrum Teams'!N$2:N$1010) +
      (B117='Scrum Teams'!O$2:O$1010) +
      (B117='Scrum Teams'!P$2:P$1010) +
      (B117='Scrum Teams'!Q$2:Q$1010),
    0)
  ),
  "Not found"
)</f>
        <v>HP-Data_and_Content_Mgmt</v>
      </c>
      <c r="P117" s="194" t="s">
        <v>480</v>
      </c>
      <c r="Q117" s="37" t="s">
        <v>275</v>
      </c>
    </row>
    <row r="118" spans="1:18" hidden="1">
      <c r="A118" s="3" t="s">
        <v>28</v>
      </c>
      <c r="B118" s="18" t="s">
        <v>489</v>
      </c>
      <c r="C118" s="3" t="s">
        <v>486</v>
      </c>
      <c r="D118" s="3"/>
      <c r="E118" s="3" t="s">
        <v>27</v>
      </c>
      <c r="F118" s="3" t="s">
        <v>27</v>
      </c>
      <c r="G118" s="3" t="s">
        <v>23</v>
      </c>
      <c r="H118" s="291" t="s">
        <v>296</v>
      </c>
      <c r="I118" s="291" t="s">
        <v>296</v>
      </c>
      <c r="J118" s="291" t="s">
        <v>296</v>
      </c>
      <c r="K118" s="291" t="s">
        <v>479</v>
      </c>
      <c r="L118" s="291" t="s">
        <v>479</v>
      </c>
      <c r="M118" s="291" t="s">
        <v>479</v>
      </c>
      <c r="N118" s="3"/>
      <c r="O118" s="137" t="str" cm="1">
        <f t="array" ref="O118">IFERROR(
  INDEX('Scrum Teams'!B$2:B$1010,
    MATCH(1,
      (B118='Scrum Teams'!F$2:F$1010) +
      (B118='Scrum Teams'!G$2:G$1010) +
      (B118='Scrum Teams'!H$2:H$1010) +
      (B118='Scrum Teams'!I$2:I$1010) +
      (B118='Scrum Teams'!J$2:J$1010) +
      (B118='Scrum Teams'!K$2:K$1010) +
      (B118='Scrum Teams'!L$2:L$1010) +
      (B118='Scrum Teams'!M$2:M$1010) +
      (B118='Scrum Teams'!N$2:N$1010) +
      (B118='Scrum Teams'!O$2:O$1010) +
      (B118='Scrum Teams'!P$2:P$1010) +
      (B118='Scrum Teams'!Q$2:Q$1010),
    0)
  ),
  "Not found"
)</f>
        <v>HP-Presentation_Centric_Platforms</v>
      </c>
      <c r="P118" s="194" t="s">
        <v>480</v>
      </c>
      <c r="Q118" s="37" t="s">
        <v>275</v>
      </c>
    </row>
    <row r="119" spans="1:18" hidden="1">
      <c r="A119" s="3" t="s">
        <v>28</v>
      </c>
      <c r="B119" s="18" t="s">
        <v>490</v>
      </c>
      <c r="C119" s="3" t="s">
        <v>486</v>
      </c>
      <c r="D119" s="3"/>
      <c r="E119" s="3" t="s">
        <v>27</v>
      </c>
      <c r="F119" s="3" t="s">
        <v>27</v>
      </c>
      <c r="G119" s="3" t="s">
        <v>23</v>
      </c>
      <c r="H119" s="291" t="s">
        <v>296</v>
      </c>
      <c r="I119" s="291" t="s">
        <v>296</v>
      </c>
      <c r="J119" s="291" t="s">
        <v>296</v>
      </c>
      <c r="K119" s="291" t="s">
        <v>479</v>
      </c>
      <c r="L119" s="291" t="s">
        <v>479</v>
      </c>
      <c r="M119" s="291" t="s">
        <v>479</v>
      </c>
      <c r="N119" s="3"/>
      <c r="O119" s="137" t="str" cm="1">
        <f t="array" ref="O119">IFERROR(
  INDEX('Scrum Teams'!B$2:B$1010,
    MATCH(1,
      (B119='Scrum Teams'!F$2:F$1010) +
      (B119='Scrum Teams'!G$2:G$1010) +
      (B119='Scrum Teams'!H$2:H$1010) +
      (B119='Scrum Teams'!I$2:I$1010) +
      (B119='Scrum Teams'!J$2:J$1010) +
      (B119='Scrum Teams'!K$2:K$1010) +
      (B119='Scrum Teams'!L$2:L$1010) +
      (B119='Scrum Teams'!M$2:M$1010) +
      (B119='Scrum Teams'!N$2:N$1010) +
      (B119='Scrum Teams'!O$2:O$1010) +
      (B119='Scrum Teams'!P$2:P$1010) +
      (B119='Scrum Teams'!Q$2:Q$1010),
    0)
  ),
  "Not found"
)</f>
        <v>HP-Interaction_Platforms</v>
      </c>
      <c r="P119" s="194" t="s">
        <v>480</v>
      </c>
      <c r="Q119" s="37" t="s">
        <v>275</v>
      </c>
    </row>
    <row r="120" spans="1:18" hidden="1">
      <c r="A120" s="3" t="s">
        <v>28</v>
      </c>
      <c r="B120" s="18" t="s">
        <v>491</v>
      </c>
      <c r="C120" s="3" t="s">
        <v>492</v>
      </c>
      <c r="D120" s="3"/>
      <c r="E120" s="3" t="s">
        <v>27</v>
      </c>
      <c r="F120" s="3" t="s">
        <v>27</v>
      </c>
      <c r="G120" s="3" t="s">
        <v>23</v>
      </c>
      <c r="H120" s="291" t="s">
        <v>296</v>
      </c>
      <c r="I120" s="291" t="s">
        <v>296</v>
      </c>
      <c r="J120" s="291" t="s">
        <v>296</v>
      </c>
      <c r="K120" s="291" t="s">
        <v>479</v>
      </c>
      <c r="L120" s="291" t="s">
        <v>479</v>
      </c>
      <c r="M120" s="291" t="s">
        <v>479</v>
      </c>
      <c r="N120" s="3"/>
      <c r="O120" s="137" t="str" cm="1">
        <f t="array" ref="O120">IFERROR(
  INDEX('Scrum Teams'!B$2:B$1010,
    MATCH(1,
      (B120='Scrum Teams'!F$2:F$1010) +
      (B120='Scrum Teams'!G$2:G$1010) +
      (B120='Scrum Teams'!H$2:H$1010) +
      (B120='Scrum Teams'!I$2:I$1010) +
      (B120='Scrum Teams'!J$2:J$1010) +
      (B120='Scrum Teams'!K$2:K$1010) +
      (B120='Scrum Teams'!L$2:L$1010) +
      (B120='Scrum Teams'!M$2:M$1010) +
      (B120='Scrum Teams'!N$2:N$1010) +
      (B120='Scrum Teams'!O$2:O$1010) +
      (B120='Scrum Teams'!P$2:P$1010) +
      (B120='Scrum Teams'!Q$2:Q$1010),
    0)
  ),
  "Not found"
)</f>
        <v>HP-Persistence</v>
      </c>
      <c r="P120" s="194" t="s">
        <v>480</v>
      </c>
      <c r="Q120" s="37" t="s">
        <v>275</v>
      </c>
      <c r="R120" t="s">
        <v>493</v>
      </c>
    </row>
    <row r="121" spans="1:18" hidden="1">
      <c r="A121" s="3" t="s">
        <v>28</v>
      </c>
      <c r="B121" s="18" t="s">
        <v>494</v>
      </c>
      <c r="C121" s="3" t="s">
        <v>492</v>
      </c>
      <c r="D121" s="3"/>
      <c r="E121" s="3" t="s">
        <v>27</v>
      </c>
      <c r="F121" s="3" t="s">
        <v>27</v>
      </c>
      <c r="G121" s="3" t="s">
        <v>23</v>
      </c>
      <c r="H121" s="291" t="s">
        <v>296</v>
      </c>
      <c r="I121" s="291" t="s">
        <v>296</v>
      </c>
      <c r="J121" s="291" t="s">
        <v>296</v>
      </c>
      <c r="K121" s="291" t="s">
        <v>479</v>
      </c>
      <c r="L121" s="291" t="s">
        <v>479</v>
      </c>
      <c r="M121" s="291" t="s">
        <v>479</v>
      </c>
      <c r="N121" s="3"/>
      <c r="O121" s="137" t="str" cm="1">
        <f t="array" ref="O121">IFERROR(
  INDEX('Scrum Teams'!B$2:B$1010,
    MATCH(1,
      (B121='Scrum Teams'!F$2:F$1010) +
      (B121='Scrum Teams'!G$2:G$1010) +
      (B121='Scrum Teams'!H$2:H$1010) +
      (B121='Scrum Teams'!I$2:I$1010) +
      (B121='Scrum Teams'!J$2:J$1010) +
      (B121='Scrum Teams'!K$2:K$1010) +
      (B121='Scrum Teams'!L$2:L$1010) +
      (B121='Scrum Teams'!M$2:M$1010) +
      (B121='Scrum Teams'!N$2:N$1010) +
      (B121='Scrum Teams'!O$2:O$1010) +
      (B121='Scrum Teams'!P$2:P$1010) +
      (B121='Scrum Teams'!Q$2:Q$1010),
    0)
  ),
  "Not found"
)</f>
        <v>HP-Caching_and_Messaging</v>
      </c>
      <c r="P121" s="194" t="s">
        <v>480</v>
      </c>
      <c r="Q121" s="37" t="s">
        <v>275</v>
      </c>
      <c r="R121" t="s">
        <v>495</v>
      </c>
    </row>
    <row r="122" spans="1:18" hidden="1">
      <c r="A122" s="3" t="s">
        <v>28</v>
      </c>
      <c r="B122" s="18" t="s">
        <v>496</v>
      </c>
      <c r="C122" s="3" t="s">
        <v>497</v>
      </c>
      <c r="D122" s="3"/>
      <c r="E122" s="3" t="s">
        <v>27</v>
      </c>
      <c r="F122" s="3" t="s">
        <v>27</v>
      </c>
      <c r="G122" s="3" t="s">
        <v>23</v>
      </c>
      <c r="H122" s="291" t="s">
        <v>296</v>
      </c>
      <c r="I122" s="291" t="s">
        <v>296</v>
      </c>
      <c r="J122" s="291" t="s">
        <v>296</v>
      </c>
      <c r="K122" s="291" t="s">
        <v>479</v>
      </c>
      <c r="L122" s="291" t="s">
        <v>479</v>
      </c>
      <c r="M122" s="291" t="s">
        <v>479</v>
      </c>
      <c r="N122" s="3"/>
      <c r="O122" s="137" t="str" cm="1">
        <f t="array" ref="O122">IFERROR(
  INDEX('Scrum Teams'!B$2:B$1010,
    MATCH(1,
      (B122='Scrum Teams'!F$2:F$1010) +
      (B122='Scrum Teams'!G$2:G$1010) +
      (B122='Scrum Teams'!H$2:H$1010) +
      (B122='Scrum Teams'!I$2:I$1010) +
      (B122='Scrum Teams'!J$2:J$1010) +
      (B122='Scrum Teams'!K$2:K$1010) +
      (B122='Scrum Teams'!L$2:L$1010) +
      (B122='Scrum Teams'!M$2:M$1010) +
      (B122='Scrum Teams'!N$2:N$1010) +
      (B122='Scrum Teams'!O$2:O$1010) +
      (B122='Scrum Teams'!P$2:P$1010) +
      (B122='Scrum Teams'!Q$2:Q$1010),
    0)
  ),
  "Not found"
)</f>
        <v>HP-UI_Platforms</v>
      </c>
      <c r="P122" s="194" t="s">
        <v>480</v>
      </c>
      <c r="Q122" s="37" t="s">
        <v>275</v>
      </c>
      <c r="R122" t="s">
        <v>498</v>
      </c>
    </row>
    <row r="123" spans="1:18" hidden="1">
      <c r="A123" s="3" t="s">
        <v>28</v>
      </c>
      <c r="B123" s="18" t="s">
        <v>499</v>
      </c>
      <c r="C123" s="3" t="s">
        <v>478</v>
      </c>
      <c r="D123" s="3"/>
      <c r="E123" s="3" t="s">
        <v>27</v>
      </c>
      <c r="F123" s="3" t="s">
        <v>27</v>
      </c>
      <c r="G123" s="3" t="s">
        <v>23</v>
      </c>
      <c r="H123" s="291" t="s">
        <v>296</v>
      </c>
      <c r="I123" s="291" t="s">
        <v>296</v>
      </c>
      <c r="J123" s="291" t="s">
        <v>296</v>
      </c>
      <c r="K123" s="291" t="s">
        <v>479</v>
      </c>
      <c r="L123" s="291" t="s">
        <v>479</v>
      </c>
      <c r="M123" s="291" t="s">
        <v>479</v>
      </c>
      <c r="N123" s="3"/>
      <c r="O123" s="137" t="str" cm="1">
        <f t="array" ref="O123">IFERROR(
  INDEX('Scrum Teams'!B$2:B$1010,
    MATCH(1,
      (B123='Scrum Teams'!F$2:F$1010) +
      (B123='Scrum Teams'!G$2:G$1010) +
      (B123='Scrum Teams'!H$2:H$1010) +
      (B123='Scrum Teams'!I$2:I$1010) +
      (B123='Scrum Teams'!J$2:J$1010) +
      (B123='Scrum Teams'!K$2:K$1010) +
      (B123='Scrum Teams'!L$2:L$1010) +
      (B123='Scrum Teams'!M$2:M$1010) +
      (B123='Scrum Teams'!N$2:N$1010) +
      (B123='Scrum Teams'!O$2:O$1010) +
      (B123='Scrum Teams'!P$2:P$1010) +
      (B123='Scrum Teams'!Q$2:Q$1010),
    0)
  ),
  "Not found"
)</f>
        <v>HP-AI_Native</v>
      </c>
      <c r="P123" s="194" t="s">
        <v>480</v>
      </c>
      <c r="Q123" s="37" t="s">
        <v>275</v>
      </c>
    </row>
    <row r="124" spans="1:18" hidden="1">
      <c r="A124" s="3" t="s">
        <v>96</v>
      </c>
      <c r="B124" s="18" t="s">
        <v>96</v>
      </c>
      <c r="C124" s="3" t="s">
        <v>500</v>
      </c>
      <c r="D124" s="3"/>
      <c r="E124" s="3" t="s">
        <v>94</v>
      </c>
      <c r="F124" s="3"/>
      <c r="G124" s="3" t="s">
        <v>93</v>
      </c>
      <c r="H124" s="291" t="s">
        <v>296</v>
      </c>
      <c r="I124" s="291" t="s">
        <v>296</v>
      </c>
      <c r="J124" s="291" t="s">
        <v>296</v>
      </c>
      <c r="K124" s="291" t="s">
        <v>296</v>
      </c>
      <c r="L124" s="291" t="s">
        <v>296</v>
      </c>
      <c r="M124" s="291" t="s">
        <v>296</v>
      </c>
      <c r="N124" s="3"/>
      <c r="O124" s="137" t="str" cm="1">
        <f t="array" ref="O124">IFERROR(
  INDEX('Scrum Teams'!B$2:B$1010,
    MATCH(1,
      (B124='Scrum Teams'!F$2:F$1010) +
      (B124='Scrum Teams'!G$2:G$1010) +
      (B124='Scrum Teams'!H$2:H$1010) +
      (B124='Scrum Teams'!I$2:I$1010) +
      (B124='Scrum Teams'!J$2:J$1010) +
      (B124='Scrum Teams'!K$2:K$1010) +
      (B124='Scrum Teams'!L$2:L$1010) +
      (B124='Scrum Teams'!M$2:M$1010) +
      (B124='Scrum Teams'!N$2:N$1010) +
      (B124='Scrum Teams'!O$2:O$1010) +
      (B124='Scrum Teams'!P$2:P$1010) +
      (B124='Scrum Teams'!Q$2:Q$1010),
    0)
  ),
  "Not found"
)</f>
        <v>Not found</v>
      </c>
      <c r="P124" s="194"/>
      <c r="Q124" s="37" t="s">
        <v>501</v>
      </c>
    </row>
    <row r="125" spans="1:18" hidden="1">
      <c r="A125" s="3" t="s">
        <v>11</v>
      </c>
      <c r="B125" s="18" t="s">
        <v>502</v>
      </c>
      <c r="C125" s="3" t="s">
        <v>503</v>
      </c>
      <c r="D125" s="3" t="s">
        <v>503</v>
      </c>
      <c r="E125" s="3" t="s">
        <v>10</v>
      </c>
      <c r="F125" s="3" t="s">
        <v>168</v>
      </c>
      <c r="G125" s="3" t="s">
        <v>9</v>
      </c>
      <c r="H125" s="251" t="s">
        <v>504</v>
      </c>
      <c r="I125" s="252"/>
      <c r="J125" s="252"/>
      <c r="K125" s="252" t="s">
        <v>309</v>
      </c>
      <c r="L125" s="252"/>
      <c r="M125" s="252" t="s">
        <v>98</v>
      </c>
      <c r="N125" s="3" t="s">
        <v>505</v>
      </c>
      <c r="O125" s="137" t="str" cm="1">
        <f t="array" ref="O125">IFERROR(
  INDEX('Scrum Teams'!B$2:B$1010,
    MATCH(1,
      (B125='Scrum Teams'!F$2:F$1010) +
      (B125='Scrum Teams'!G$2:G$1010) +
      (B125='Scrum Teams'!H$2:H$1010) +
      (B125='Scrum Teams'!I$2:I$1010) +
      (B125='Scrum Teams'!J$2:J$1010) +
      (B125='Scrum Teams'!K$2:K$1010) +
      (B125='Scrum Teams'!L$2:L$1010) +
      (B125='Scrum Teams'!M$2:M$1010) +
      (B125='Scrum Teams'!N$2:N$1010) +
      (B125='Scrum Teams'!O$2:O$1010) +
      (B125='Scrum Teams'!P$2:P$1010) +
      (B125='Scrum Teams'!Q$2:Q$1010),
    0)
  ),
  "Not found"
)</f>
        <v>IEX</v>
      </c>
      <c r="P125" s="194" t="s">
        <v>11</v>
      </c>
      <c r="Q125" s="37" t="s">
        <v>275</v>
      </c>
    </row>
    <row r="126" spans="1:18" hidden="1">
      <c r="A126" s="3" t="s">
        <v>11</v>
      </c>
      <c r="B126" s="18" t="s">
        <v>506</v>
      </c>
      <c r="C126" s="3" t="s">
        <v>503</v>
      </c>
      <c r="D126" s="3" t="s">
        <v>503</v>
      </c>
      <c r="E126" s="3" t="s">
        <v>10</v>
      </c>
      <c r="F126" s="3" t="s">
        <v>168</v>
      </c>
      <c r="G126" s="3" t="s">
        <v>9</v>
      </c>
      <c r="H126" s="249"/>
      <c r="I126" s="253"/>
      <c r="J126" s="252"/>
      <c r="K126" s="253"/>
      <c r="L126" s="252"/>
      <c r="M126" s="253"/>
      <c r="N126" s="3"/>
      <c r="O126" s="137" t="str" cm="1">
        <f t="array" ref="O126">IFERROR(
  INDEX('Scrum Teams'!B$2:B$1010,
    MATCH(1,
      (B126='Scrum Teams'!F$2:F$1010) +
      (B126='Scrum Teams'!G$2:G$1010) +
      (B126='Scrum Teams'!H$2:H$1010) +
      (B126='Scrum Teams'!I$2:I$1010) +
      (B126='Scrum Teams'!J$2:J$1010) +
      (B126='Scrum Teams'!K$2:K$1010) +
      (B126='Scrum Teams'!L$2:L$1010) +
      (B126='Scrum Teams'!M$2:M$1010) +
      (B126='Scrum Teams'!N$2:N$1010) +
      (B126='Scrum Teams'!O$2:O$1010) +
      (B126='Scrum Teams'!P$2:P$1010) +
      (B126='Scrum Teams'!Q$2:Q$1010),
    0)
  ),
  "Not found"
)</f>
        <v>Cortex</v>
      </c>
      <c r="P126" s="194" t="s">
        <v>11</v>
      </c>
      <c r="Q126" s="37" t="s">
        <v>275</v>
      </c>
    </row>
    <row r="127" spans="1:18" hidden="1">
      <c r="A127" s="3" t="s">
        <v>11</v>
      </c>
      <c r="B127" s="18" t="s">
        <v>507</v>
      </c>
      <c r="C127" s="3" t="s">
        <v>503</v>
      </c>
      <c r="D127" s="3" t="s">
        <v>503</v>
      </c>
      <c r="E127" s="3" t="s">
        <v>10</v>
      </c>
      <c r="F127" s="3" t="s">
        <v>168</v>
      </c>
      <c r="G127" s="3" t="s">
        <v>9</v>
      </c>
      <c r="H127" s="249" t="s">
        <v>504</v>
      </c>
      <c r="I127" s="253"/>
      <c r="J127" s="252"/>
      <c r="K127" s="253" t="s">
        <v>309</v>
      </c>
      <c r="L127" s="252"/>
      <c r="M127" s="253" t="s">
        <v>98</v>
      </c>
      <c r="N127" s="3" t="s">
        <v>505</v>
      </c>
      <c r="O127" s="137" t="str" cm="1">
        <f t="array" ref="O127">IFERROR(
  INDEX('Scrum Teams'!B$2:B$1010,
    MATCH(1,
      (B127='Scrum Teams'!F$2:F$1010) +
      (B127='Scrum Teams'!G$2:G$1010) +
      (B127='Scrum Teams'!H$2:H$1010) +
      (B127='Scrum Teams'!I$2:I$1010) +
      (B127='Scrum Teams'!J$2:J$1010) +
      (B127='Scrum Teams'!K$2:K$1010) +
      (B127='Scrum Teams'!L$2:L$1010) +
      (B127='Scrum Teams'!M$2:M$1010) +
      (B127='Scrum Teams'!N$2:N$1010) +
      (B127='Scrum Teams'!O$2:O$1010) +
      (B127='Scrum Teams'!P$2:P$1010) +
      (B127='Scrum Teams'!Q$2:Q$1010),
    0)
  ),
  "Not found"
)</f>
        <v>PEX</v>
      </c>
      <c r="P127" s="194" t="s">
        <v>11</v>
      </c>
      <c r="Q127" s="37" t="s">
        <v>275</v>
      </c>
    </row>
    <row r="128" spans="1:18" hidden="1">
      <c r="A128" s="3" t="s">
        <v>65</v>
      </c>
      <c r="B128" s="18" t="s">
        <v>508</v>
      </c>
      <c r="C128" s="3" t="s">
        <v>64</v>
      </c>
      <c r="D128" s="3"/>
      <c r="E128" s="3" t="s">
        <v>64</v>
      </c>
      <c r="F128" s="3" t="s">
        <v>169</v>
      </c>
      <c r="G128" s="3" t="s">
        <v>55</v>
      </c>
      <c r="H128" s="291" t="s">
        <v>509</v>
      </c>
      <c r="I128" s="291" t="s">
        <v>510</v>
      </c>
      <c r="J128" s="291" t="s">
        <v>510</v>
      </c>
      <c r="K128" s="291"/>
      <c r="L128" s="291"/>
      <c r="M128" s="291" t="s">
        <v>250</v>
      </c>
      <c r="N128" s="3"/>
      <c r="O128" s="137" t="str" cm="1">
        <f t="array" ref="O128">IFERROR(
  INDEX('Scrum Teams'!B$2:B$1010,
    MATCH(1,
      (B128='Scrum Teams'!F$2:F$1010) +
      (B128='Scrum Teams'!G$2:G$1010) +
      (B128='Scrum Teams'!H$2:H$1010) +
      (B128='Scrum Teams'!I$2:I$1010) +
      (B128='Scrum Teams'!J$2:J$1010) +
      (B128='Scrum Teams'!K$2:K$1010) +
      (B128='Scrum Teams'!L$2:L$1010) +
      (B128='Scrum Teams'!M$2:M$1010) +
      (B128='Scrum Teams'!N$2:N$1010) +
      (B128='Scrum Teams'!O$2:O$1010) +
      (B128='Scrum Teams'!P$2:P$1010) +
      (B128='Scrum Teams'!Q$2:Q$1010),
    0)
  ),
  "Not found"
)</f>
        <v>Data Platform</v>
      </c>
      <c r="P128" s="194" t="s">
        <v>511</v>
      </c>
      <c r="Q128" s="37" t="s">
        <v>307</v>
      </c>
    </row>
    <row r="129" spans="1:17" hidden="1">
      <c r="A129" s="3" t="s">
        <v>65</v>
      </c>
      <c r="B129" s="18" t="s">
        <v>512</v>
      </c>
      <c r="C129" s="3" t="s">
        <v>64</v>
      </c>
      <c r="D129" s="3"/>
      <c r="E129" s="3" t="s">
        <v>64</v>
      </c>
      <c r="F129" s="3" t="s">
        <v>169</v>
      </c>
      <c r="G129" s="3" t="s">
        <v>55</v>
      </c>
      <c r="H129" s="291" t="s">
        <v>509</v>
      </c>
      <c r="I129" s="291" t="s">
        <v>510</v>
      </c>
      <c r="J129" s="291" t="s">
        <v>510</v>
      </c>
      <c r="K129" s="291"/>
      <c r="L129" s="291"/>
      <c r="M129" s="291" t="s">
        <v>250</v>
      </c>
      <c r="N129" s="3"/>
      <c r="O129" s="137" t="str" cm="1">
        <f t="array" ref="O129">IFERROR(
  INDEX('Scrum Teams'!B$2:B$1010,
    MATCH(1,
      (B129='Scrum Teams'!F$2:F$1010) +
      (B129='Scrum Teams'!G$2:G$1010) +
      (B129='Scrum Teams'!H$2:H$1010) +
      (B129='Scrum Teams'!I$2:I$1010) +
      (B129='Scrum Teams'!J$2:J$1010) +
      (B129='Scrum Teams'!K$2:K$1010) +
      (B129='Scrum Teams'!L$2:L$1010) +
      (B129='Scrum Teams'!M$2:M$1010) +
      (B129='Scrum Teams'!N$2:N$1010) +
      (B129='Scrum Teams'!O$2:O$1010) +
      (B129='Scrum Teams'!P$2:P$1010) +
      (B129='Scrum Teams'!Q$2:Q$1010),
    0)
  ),
  "Not found"
)</f>
        <v>Data Platform</v>
      </c>
      <c r="P129" s="194" t="s">
        <v>511</v>
      </c>
      <c r="Q129" s="37" t="s">
        <v>307</v>
      </c>
    </row>
    <row r="130" spans="1:17" hidden="1">
      <c r="A130" s="3" t="s">
        <v>65</v>
      </c>
      <c r="B130" s="18" t="s">
        <v>513</v>
      </c>
      <c r="C130" s="3" t="s">
        <v>64</v>
      </c>
      <c r="D130" s="3"/>
      <c r="E130" s="3" t="s">
        <v>64</v>
      </c>
      <c r="F130" s="3" t="s">
        <v>169</v>
      </c>
      <c r="G130" s="3" t="s">
        <v>55</v>
      </c>
      <c r="H130" s="291" t="s">
        <v>509</v>
      </c>
      <c r="I130" s="291" t="s">
        <v>510</v>
      </c>
      <c r="J130" s="291" t="s">
        <v>510</v>
      </c>
      <c r="K130" s="291"/>
      <c r="L130" s="291"/>
      <c r="M130" s="291" t="s">
        <v>250</v>
      </c>
      <c r="N130" s="3"/>
      <c r="O130" s="137" t="str" cm="1">
        <f t="array" ref="O130">IFERROR(
  INDEX('Scrum Teams'!B$2:B$1010,
    MATCH(1,
      (B130='Scrum Teams'!F$2:F$1010) +
      (B130='Scrum Teams'!G$2:G$1010) +
      (B130='Scrum Teams'!H$2:H$1010) +
      (B130='Scrum Teams'!I$2:I$1010) +
      (B130='Scrum Teams'!J$2:J$1010) +
      (B130='Scrum Teams'!K$2:K$1010) +
      (B130='Scrum Teams'!L$2:L$1010) +
      (B130='Scrum Teams'!M$2:M$1010) +
      (B130='Scrum Teams'!N$2:N$1010) +
      (B130='Scrum Teams'!O$2:O$1010) +
      (B130='Scrum Teams'!P$2:P$1010) +
      (B130='Scrum Teams'!Q$2:Q$1010),
    0)
  ),
  "Not found"
)</f>
        <v>Data Platform</v>
      </c>
      <c r="P130" s="194" t="s">
        <v>511</v>
      </c>
      <c r="Q130" s="37" t="s">
        <v>307</v>
      </c>
    </row>
    <row r="131" spans="1:17" hidden="1">
      <c r="A131" s="3" t="s">
        <v>65</v>
      </c>
      <c r="B131" s="18" t="s">
        <v>514</v>
      </c>
      <c r="C131" s="3" t="s">
        <v>64</v>
      </c>
      <c r="D131" s="3"/>
      <c r="E131" s="3" t="s">
        <v>64</v>
      </c>
      <c r="F131" s="3" t="s">
        <v>169</v>
      </c>
      <c r="G131" s="3" t="s">
        <v>55</v>
      </c>
      <c r="H131" s="291" t="s">
        <v>509</v>
      </c>
      <c r="I131" s="291" t="s">
        <v>510</v>
      </c>
      <c r="J131" s="291" t="s">
        <v>510</v>
      </c>
      <c r="K131" s="290"/>
      <c r="L131" s="290"/>
      <c r="M131" s="291" t="s">
        <v>250</v>
      </c>
      <c r="N131" s="3"/>
      <c r="O131" s="137" t="str" cm="1">
        <f t="array" ref="O131">IFERROR(
  INDEX('Scrum Teams'!B$2:B$1010,
    MATCH(1,
      (B131='Scrum Teams'!F$2:F$1010) +
      (B131='Scrum Teams'!G$2:G$1010) +
      (B131='Scrum Teams'!H$2:H$1010) +
      (B131='Scrum Teams'!I$2:I$1010) +
      (B131='Scrum Teams'!J$2:J$1010) +
      (B131='Scrum Teams'!K$2:K$1010) +
      (B131='Scrum Teams'!L$2:L$1010) +
      (B131='Scrum Teams'!M$2:M$1010) +
      (B131='Scrum Teams'!N$2:N$1010) +
      (B131='Scrum Teams'!O$2:O$1010) +
      (B131='Scrum Teams'!P$2:P$1010) +
      (B131='Scrum Teams'!Q$2:Q$1010),
    0)
  ),
  "Not found"
)</f>
        <v>Data Intelligence</v>
      </c>
      <c r="P131" s="194" t="s">
        <v>511</v>
      </c>
      <c r="Q131" s="37" t="s">
        <v>307</v>
      </c>
    </row>
    <row r="132" spans="1:17" hidden="1">
      <c r="A132" s="3" t="s">
        <v>65</v>
      </c>
      <c r="B132" s="22" t="s">
        <v>515</v>
      </c>
      <c r="C132" s="3" t="s">
        <v>64</v>
      </c>
      <c r="D132" s="3"/>
      <c r="E132" s="3" t="s">
        <v>64</v>
      </c>
      <c r="F132" s="3" t="s">
        <v>169</v>
      </c>
      <c r="G132" s="3" t="s">
        <v>55</v>
      </c>
      <c r="H132" s="291" t="s">
        <v>509</v>
      </c>
      <c r="I132" s="291" t="s">
        <v>510</v>
      </c>
      <c r="J132" s="291" t="s">
        <v>510</v>
      </c>
      <c r="K132" s="291"/>
      <c r="L132" s="291"/>
      <c r="M132" s="291" t="s">
        <v>250</v>
      </c>
      <c r="N132" s="3"/>
      <c r="O132" s="137" t="str" cm="1">
        <f t="array" ref="O132">IFERROR(
  INDEX('Scrum Teams'!B$2:B$1010,
    MATCH(1,
      (B132='Scrum Teams'!F$2:F$1010) +
      (B132='Scrum Teams'!G$2:G$1010) +
      (B132='Scrum Teams'!H$2:H$1010) +
      (B132='Scrum Teams'!I$2:I$1010) +
      (B132='Scrum Teams'!J$2:J$1010) +
      (B132='Scrum Teams'!K$2:K$1010) +
      (B132='Scrum Teams'!L$2:L$1010) +
      (B132='Scrum Teams'!M$2:M$1010) +
      (B132='Scrum Teams'!N$2:N$1010) +
      (B132='Scrum Teams'!O$2:O$1010) +
      (B132='Scrum Teams'!P$2:P$1010) +
      (B132='Scrum Teams'!Q$2:Q$1010),
    0)
  ),
  "Not found"
)</f>
        <v>Data Intelligence</v>
      </c>
      <c r="P132" s="194" t="s">
        <v>511</v>
      </c>
      <c r="Q132" s="37" t="s">
        <v>307</v>
      </c>
    </row>
    <row r="133" spans="1:17" hidden="1">
      <c r="A133" s="3" t="s">
        <v>65</v>
      </c>
      <c r="B133" s="22" t="s">
        <v>516</v>
      </c>
      <c r="C133" s="3" t="s">
        <v>64</v>
      </c>
      <c r="D133" s="3"/>
      <c r="E133" s="3" t="s">
        <v>64</v>
      </c>
      <c r="F133" s="3" t="s">
        <v>169</v>
      </c>
      <c r="G133" s="3" t="s">
        <v>55</v>
      </c>
      <c r="H133" s="291" t="s">
        <v>509</v>
      </c>
      <c r="I133" s="291" t="s">
        <v>510</v>
      </c>
      <c r="J133" s="291" t="s">
        <v>510</v>
      </c>
      <c r="K133" s="291"/>
      <c r="L133" s="291"/>
      <c r="M133" s="291" t="s">
        <v>250</v>
      </c>
      <c r="N133" s="3"/>
      <c r="O133" s="137" t="str" cm="1">
        <f t="array" ref="O133">IFERROR(
  INDEX('Scrum Teams'!B$2:B$1010,
    MATCH(1,
      (B133='Scrum Teams'!F$2:F$1010) +
      (B133='Scrum Teams'!G$2:G$1010) +
      (B133='Scrum Teams'!H$2:H$1010) +
      (B133='Scrum Teams'!I$2:I$1010) +
      (B133='Scrum Teams'!J$2:J$1010) +
      (B133='Scrum Teams'!K$2:K$1010) +
      (B133='Scrum Teams'!L$2:L$1010) +
      (B133='Scrum Teams'!M$2:M$1010) +
      (B133='Scrum Teams'!N$2:N$1010) +
      (B133='Scrum Teams'!O$2:O$1010) +
      (B133='Scrum Teams'!P$2:P$1010) +
      (B133='Scrum Teams'!Q$2:Q$1010),
    0)
  ),
  "Not found"
)</f>
        <v>Data Intelligence</v>
      </c>
      <c r="P133" s="194" t="s">
        <v>511</v>
      </c>
      <c r="Q133" s="37" t="s">
        <v>307</v>
      </c>
    </row>
    <row r="134" spans="1:17" hidden="1">
      <c r="A134" s="3" t="s">
        <v>65</v>
      </c>
      <c r="B134" s="22" t="s">
        <v>517</v>
      </c>
      <c r="C134" s="3" t="s">
        <v>64</v>
      </c>
      <c r="D134" s="3"/>
      <c r="E134" s="3" t="s">
        <v>64</v>
      </c>
      <c r="F134" s="3" t="s">
        <v>169</v>
      </c>
      <c r="G134" s="3" t="s">
        <v>55</v>
      </c>
      <c r="H134" s="291" t="s">
        <v>509</v>
      </c>
      <c r="I134" s="291" t="s">
        <v>510</v>
      </c>
      <c r="J134" s="291" t="s">
        <v>510</v>
      </c>
      <c r="K134" s="291"/>
      <c r="L134" s="291"/>
      <c r="M134" s="291" t="s">
        <v>250</v>
      </c>
      <c r="N134" s="3"/>
      <c r="O134" s="137" t="str" cm="1">
        <f t="array" ref="O134">IFERROR(
  INDEX('Scrum Teams'!B$2:B$1010,
    MATCH(1,
      (B134='Scrum Teams'!F$2:F$1010) +
      (B134='Scrum Teams'!G$2:G$1010) +
      (B134='Scrum Teams'!H$2:H$1010) +
      (B134='Scrum Teams'!I$2:I$1010) +
      (B134='Scrum Teams'!J$2:J$1010) +
      (B134='Scrum Teams'!K$2:K$1010) +
      (B134='Scrum Teams'!L$2:L$1010) +
      (B134='Scrum Teams'!M$2:M$1010) +
      (B134='Scrum Teams'!N$2:N$1010) +
      (B134='Scrum Teams'!O$2:O$1010) +
      (B134='Scrum Teams'!P$2:P$1010) +
      (B134='Scrum Teams'!Q$2:Q$1010),
    0)
  ),
  "Not found"
)</f>
        <v>Data Intelligence</v>
      </c>
      <c r="P134" s="194" t="s">
        <v>511</v>
      </c>
      <c r="Q134" s="37" t="s">
        <v>307</v>
      </c>
    </row>
    <row r="135" spans="1:17" hidden="1">
      <c r="A135" s="3" t="s">
        <v>65</v>
      </c>
      <c r="B135" s="22" t="s">
        <v>518</v>
      </c>
      <c r="C135" s="3" t="s">
        <v>64</v>
      </c>
      <c r="D135" s="3"/>
      <c r="E135" s="3" t="s">
        <v>64</v>
      </c>
      <c r="F135" s="3" t="s">
        <v>169</v>
      </c>
      <c r="G135" s="3" t="s">
        <v>55</v>
      </c>
      <c r="H135" s="291" t="s">
        <v>509</v>
      </c>
      <c r="I135" s="291" t="s">
        <v>510</v>
      </c>
      <c r="J135" s="291" t="s">
        <v>510</v>
      </c>
      <c r="K135" s="291"/>
      <c r="L135" s="291"/>
      <c r="M135" s="291" t="s">
        <v>250</v>
      </c>
      <c r="N135" s="3"/>
      <c r="O135" s="137" t="str" cm="1">
        <f t="array" ref="O135">IFERROR(
  INDEX('Scrum Teams'!B$2:B$1010,
    MATCH(1,
      (B135='Scrum Teams'!F$2:F$1010) +
      (B135='Scrum Teams'!G$2:G$1010) +
      (B135='Scrum Teams'!H$2:H$1010) +
      (B135='Scrum Teams'!I$2:I$1010) +
      (B135='Scrum Teams'!J$2:J$1010) +
      (B135='Scrum Teams'!K$2:K$1010) +
      (B135='Scrum Teams'!L$2:L$1010) +
      (B135='Scrum Teams'!M$2:M$1010) +
      (B135='Scrum Teams'!N$2:N$1010) +
      (B135='Scrum Teams'!O$2:O$1010) +
      (B135='Scrum Teams'!P$2:P$1010) +
      (B135='Scrum Teams'!Q$2:Q$1010),
    0)
  ),
  "Not found"
)</f>
        <v>Data Intelligence</v>
      </c>
      <c r="P135" s="194" t="s">
        <v>511</v>
      </c>
      <c r="Q135" s="37" t="s">
        <v>307</v>
      </c>
    </row>
    <row r="136" spans="1:17" hidden="1">
      <c r="A136" s="3" t="s">
        <v>65</v>
      </c>
      <c r="B136" s="22" t="s">
        <v>519</v>
      </c>
      <c r="C136" s="3" t="s">
        <v>64</v>
      </c>
      <c r="D136" s="3"/>
      <c r="E136" s="3" t="s">
        <v>64</v>
      </c>
      <c r="F136" s="3" t="s">
        <v>169</v>
      </c>
      <c r="G136" s="3" t="s">
        <v>55</v>
      </c>
      <c r="H136" s="291" t="s">
        <v>509</v>
      </c>
      <c r="I136" s="291" t="s">
        <v>510</v>
      </c>
      <c r="J136" s="291" t="s">
        <v>510</v>
      </c>
      <c r="K136" s="291"/>
      <c r="L136" s="291"/>
      <c r="M136" s="291" t="s">
        <v>250</v>
      </c>
      <c r="N136" s="3"/>
      <c r="O136" s="137" t="str" cm="1">
        <f t="array" ref="O136">IFERROR(
  INDEX('Scrum Teams'!B$2:B$1010,
    MATCH(1,
      (B136='Scrum Teams'!F$2:F$1010) +
      (B136='Scrum Teams'!G$2:G$1010) +
      (B136='Scrum Teams'!H$2:H$1010) +
      (B136='Scrum Teams'!I$2:I$1010) +
      (B136='Scrum Teams'!J$2:J$1010) +
      (B136='Scrum Teams'!K$2:K$1010) +
      (B136='Scrum Teams'!L$2:L$1010) +
      (B136='Scrum Teams'!M$2:M$1010) +
      (B136='Scrum Teams'!N$2:N$1010) +
      (B136='Scrum Teams'!O$2:O$1010) +
      (B136='Scrum Teams'!P$2:P$1010) +
      (B136='Scrum Teams'!Q$2:Q$1010),
    0)
  ),
  "Not found"
)</f>
        <v>Data Analytics</v>
      </c>
      <c r="P136" s="194" t="s">
        <v>511</v>
      </c>
      <c r="Q136" s="37" t="s">
        <v>307</v>
      </c>
    </row>
    <row r="137" spans="1:17" hidden="1">
      <c r="A137" s="3" t="s">
        <v>92</v>
      </c>
      <c r="B137" s="18" t="s">
        <v>520</v>
      </c>
      <c r="C137" s="3" t="s">
        <v>521</v>
      </c>
      <c r="D137" s="3"/>
      <c r="E137" s="3" t="s">
        <v>89</v>
      </c>
      <c r="F137" s="3"/>
      <c r="G137" s="3" t="s">
        <v>79</v>
      </c>
      <c r="H137" s="290" t="s">
        <v>522</v>
      </c>
      <c r="I137" s="290"/>
      <c r="J137" s="290"/>
      <c r="K137" s="291" t="s">
        <v>318</v>
      </c>
      <c r="L137" s="291" t="s">
        <v>224</v>
      </c>
      <c r="M137" s="291" t="s">
        <v>225</v>
      </c>
      <c r="N137" s="3"/>
      <c r="O137" s="137" t="str" cm="1">
        <f t="array" ref="O137">IFERROR(
  INDEX('Scrum Teams'!B$2:B$1010,
    MATCH(1,
      (B137='Scrum Teams'!F$2:F$1010) +
      (B137='Scrum Teams'!G$2:G$1010) +
      (B137='Scrum Teams'!H$2:H$1010) +
      (B137='Scrum Teams'!I$2:I$1010) +
      (B137='Scrum Teams'!J$2:J$1010) +
      (B137='Scrum Teams'!K$2:K$1010) +
      (B137='Scrum Teams'!L$2:L$1010) +
      (B137='Scrum Teams'!M$2:M$1010) +
      (B137='Scrum Teams'!N$2:N$1010) +
      (B137='Scrum Teams'!O$2:O$1010) +
      (B137='Scrum Teams'!P$2:P$1010) +
      (B137='Scrum Teams'!Q$2:Q$1010),
    0)
  ),
  "Not found"
)</f>
        <v>DR_Checkout</v>
      </c>
      <c r="P137" s="194" t="s">
        <v>523</v>
      </c>
      <c r="Q137" s="37" t="s">
        <v>227</v>
      </c>
    </row>
    <row r="138" spans="1:17" hidden="1">
      <c r="A138" s="3" t="s">
        <v>92</v>
      </c>
      <c r="B138" s="18" t="s">
        <v>524</v>
      </c>
      <c r="C138" s="3" t="s">
        <v>521</v>
      </c>
      <c r="D138" s="3"/>
      <c r="E138" s="3" t="s">
        <v>89</v>
      </c>
      <c r="F138" s="3"/>
      <c r="G138" s="3" t="s">
        <v>79</v>
      </c>
      <c r="H138" s="290" t="s">
        <v>525</v>
      </c>
      <c r="I138" s="290"/>
      <c r="J138" s="290"/>
      <c r="K138" s="291" t="s">
        <v>318</v>
      </c>
      <c r="L138" s="291" t="s">
        <v>224</v>
      </c>
      <c r="M138" s="291" t="s">
        <v>225</v>
      </c>
      <c r="N138" s="3"/>
      <c r="O138" s="137" t="str" cm="1">
        <f t="array" ref="O138">IFERROR(
  INDEX('Scrum Teams'!B$2:B$1010,
    MATCH(1,
      (B138='Scrum Teams'!F$2:F$1010) +
      (B138='Scrum Teams'!G$2:G$1010) +
      (B138='Scrum Teams'!H$2:H$1010) +
      (B138='Scrum Teams'!I$2:I$1010) +
      (B138='Scrum Teams'!J$2:J$1010) +
      (B138='Scrum Teams'!K$2:K$1010) +
      (B138='Scrum Teams'!L$2:L$1010) +
      (B138='Scrum Teams'!M$2:M$1010) +
      (B138='Scrum Teams'!N$2:N$1010) +
      (B138='Scrum Teams'!O$2:O$1010) +
      (B138='Scrum Teams'!P$2:P$1010) +
      (B138='Scrum Teams'!Q$2:Q$1010),
    0)
  ),
  "Not found"
)</f>
        <v>DR_Checkout</v>
      </c>
      <c r="P138" s="194" t="s">
        <v>523</v>
      </c>
      <c r="Q138" s="37" t="s">
        <v>227</v>
      </c>
    </row>
    <row r="139" spans="1:17" hidden="1">
      <c r="A139" s="3" t="s">
        <v>92</v>
      </c>
      <c r="B139" s="18" t="s">
        <v>526</v>
      </c>
      <c r="C139" s="3" t="s">
        <v>527</v>
      </c>
      <c r="D139" s="3"/>
      <c r="E139" s="3" t="s">
        <v>89</v>
      </c>
      <c r="F139" s="3"/>
      <c r="G139" s="3" t="s">
        <v>79</v>
      </c>
      <c r="H139" s="291" t="s">
        <v>317</v>
      </c>
      <c r="I139" s="290"/>
      <c r="J139" s="290"/>
      <c r="K139" s="291" t="s">
        <v>318</v>
      </c>
      <c r="L139" s="291" t="s">
        <v>224</v>
      </c>
      <c r="M139" s="291" t="s">
        <v>225</v>
      </c>
      <c r="N139" s="3"/>
      <c r="O139" s="137" t="str" cm="1">
        <f t="array" ref="O139">IFERROR(
  INDEX('Scrum Teams'!B$2:B$1010,
    MATCH(1,
      (B139='Scrum Teams'!F$2:F$1010) +
      (B139='Scrum Teams'!G$2:G$1010) +
      (B139='Scrum Teams'!H$2:H$1010) +
      (B139='Scrum Teams'!I$2:I$1010) +
      (B139='Scrum Teams'!J$2:J$1010) +
      (B139='Scrum Teams'!K$2:K$1010) +
      (B139='Scrum Teams'!L$2:L$1010) +
      (B139='Scrum Teams'!M$2:M$1010) +
      (B139='Scrum Teams'!N$2:N$1010) +
      (B139='Scrum Teams'!O$2:O$1010) +
      (B139='Scrum Teams'!P$2:P$1010) +
      (B139='Scrum Teams'!Q$2:Q$1010),
    0)
  ),
  "Not found"
)</f>
        <v>DR_Studio</v>
      </c>
      <c r="P139" s="194" t="s">
        <v>523</v>
      </c>
      <c r="Q139" s="37" t="s">
        <v>227</v>
      </c>
    </row>
    <row r="140" spans="1:17" hidden="1">
      <c r="A140" s="3" t="s">
        <v>92</v>
      </c>
      <c r="B140" s="18" t="s">
        <v>528</v>
      </c>
      <c r="C140" s="3" t="s">
        <v>527</v>
      </c>
      <c r="D140" s="3"/>
      <c r="E140" s="3" t="s">
        <v>89</v>
      </c>
      <c r="F140" s="3"/>
      <c r="G140" s="3" t="s">
        <v>79</v>
      </c>
      <c r="H140" s="290" t="s">
        <v>529</v>
      </c>
      <c r="I140" s="291"/>
      <c r="J140" s="291"/>
      <c r="K140" s="290" t="s">
        <v>318</v>
      </c>
      <c r="L140" s="290" t="s">
        <v>224</v>
      </c>
      <c r="M140" s="291" t="s">
        <v>225</v>
      </c>
      <c r="N140" s="3"/>
      <c r="O140" s="137" t="str" cm="1">
        <f t="array" ref="O140">IFERROR(
  INDEX('Scrum Teams'!B$2:B$1010,
    MATCH(1,
      (B140='Scrum Teams'!F$2:F$1010) +
      (B140='Scrum Teams'!G$2:G$1010) +
      (B140='Scrum Teams'!H$2:H$1010) +
      (B140='Scrum Teams'!I$2:I$1010) +
      (B140='Scrum Teams'!J$2:J$1010) +
      (B140='Scrum Teams'!K$2:K$1010) +
      (B140='Scrum Teams'!L$2:L$1010) +
      (B140='Scrum Teams'!M$2:M$1010) +
      (B140='Scrum Teams'!N$2:N$1010) +
      (B140='Scrum Teams'!O$2:O$1010) +
      (B140='Scrum Teams'!P$2:P$1010) +
      (B140='Scrum Teams'!Q$2:Q$1010),
    0)
  ),
  "Not found"
)</f>
        <v>DR_Studio</v>
      </c>
      <c r="P140" s="194" t="s">
        <v>523</v>
      </c>
      <c r="Q140" s="37" t="s">
        <v>227</v>
      </c>
    </row>
    <row r="141" spans="1:17" hidden="1">
      <c r="A141" s="3" t="s">
        <v>92</v>
      </c>
      <c r="B141" s="18" t="s">
        <v>530</v>
      </c>
      <c r="C141" s="3" t="s">
        <v>527</v>
      </c>
      <c r="D141" s="3"/>
      <c r="E141" s="3" t="s">
        <v>89</v>
      </c>
      <c r="F141" s="3"/>
      <c r="G141" s="3" t="s">
        <v>79</v>
      </c>
      <c r="H141" s="291" t="s">
        <v>264</v>
      </c>
      <c r="I141" s="291" t="s">
        <v>248</v>
      </c>
      <c r="J141" s="291"/>
      <c r="K141" s="291" t="s">
        <v>249</v>
      </c>
      <c r="L141" s="291"/>
      <c r="M141" s="291" t="s">
        <v>250</v>
      </c>
      <c r="N141" s="3"/>
      <c r="O141" s="137" t="str" cm="1">
        <f t="array" ref="O141">IFERROR(
  INDEX('Scrum Teams'!B$2:B$1010,
    MATCH(1,
      (B141='Scrum Teams'!F$2:F$1010) +
      (B141='Scrum Teams'!G$2:G$1010) +
      (B141='Scrum Teams'!H$2:H$1010) +
      (B141='Scrum Teams'!I$2:I$1010) +
      (B141='Scrum Teams'!J$2:J$1010) +
      (B141='Scrum Teams'!K$2:K$1010) +
      (B141='Scrum Teams'!L$2:L$1010) +
      (B141='Scrum Teams'!M$2:M$1010) +
      (B141='Scrum Teams'!N$2:N$1010) +
      (B141='Scrum Teams'!O$2:O$1010) +
      (B141='Scrum Teams'!P$2:P$1010) +
      (B141='Scrum Teams'!Q$2:Q$1010),
    0)
  ),
  "Not found"
)</f>
        <v>DR_SRCHAT</v>
      </c>
      <c r="P141" s="194" t="s">
        <v>523</v>
      </c>
      <c r="Q141" s="37" t="s">
        <v>227</v>
      </c>
    </row>
    <row r="142" spans="1:17" hidden="1">
      <c r="A142" s="3" t="s">
        <v>57</v>
      </c>
      <c r="B142" s="18" t="s">
        <v>531</v>
      </c>
      <c r="C142" s="3"/>
      <c r="D142" s="3"/>
      <c r="E142" s="3" t="s">
        <v>56</v>
      </c>
      <c r="F142" s="3"/>
      <c r="G142" s="3" t="s">
        <v>55</v>
      </c>
      <c r="H142" s="291" t="s">
        <v>532</v>
      </c>
      <c r="I142" s="291" t="s">
        <v>510</v>
      </c>
      <c r="J142" s="291" t="s">
        <v>510</v>
      </c>
      <c r="K142" s="291"/>
      <c r="L142" s="291"/>
      <c r="M142" s="291" t="s">
        <v>250</v>
      </c>
      <c r="N142" s="3"/>
      <c r="O142" s="137" t="str" cm="1">
        <f t="array" ref="O142">IFERROR(
  INDEX('Scrum Teams'!B$2:B$1010,
    MATCH(1,
      (B142='Scrum Teams'!F$2:F$1010) +
      (B142='Scrum Teams'!G$2:G$1010) +
      (B142='Scrum Teams'!H$2:H$1010) +
      (B142='Scrum Teams'!I$2:I$1010) +
      (B142='Scrum Teams'!J$2:J$1010) +
      (B142='Scrum Teams'!K$2:K$1010) +
      (B142='Scrum Teams'!L$2:L$1010) +
      (B142='Scrum Teams'!M$2:M$1010) +
      (B142='Scrum Teams'!N$2:N$1010) +
      (B142='Scrum Teams'!O$2:O$1010) +
      (B142='Scrum Teams'!P$2:P$1010) +
      (B142='Scrum Teams'!Q$2:Q$1010),
    0)
  ),
  "Not found"
)</f>
        <v>Analytics-Eng</v>
      </c>
      <c r="P142" s="194" t="s">
        <v>533</v>
      </c>
      <c r="Q142" s="37" t="s">
        <v>307</v>
      </c>
    </row>
    <row r="143" spans="1:17" hidden="1">
      <c r="A143" s="3" t="s">
        <v>57</v>
      </c>
      <c r="B143" s="18" t="s">
        <v>534</v>
      </c>
      <c r="C143" s="3"/>
      <c r="D143" s="3"/>
      <c r="E143" s="3" t="s">
        <v>56</v>
      </c>
      <c r="F143" s="3"/>
      <c r="G143" s="3" t="s">
        <v>55</v>
      </c>
      <c r="H143" s="291" t="s">
        <v>532</v>
      </c>
      <c r="I143" s="291" t="s">
        <v>510</v>
      </c>
      <c r="J143" s="291" t="s">
        <v>510</v>
      </c>
      <c r="K143" s="291"/>
      <c r="L143" s="291"/>
      <c r="M143" s="291" t="s">
        <v>250</v>
      </c>
      <c r="N143" s="3"/>
      <c r="O143" s="137" t="str" cm="1">
        <f t="array" ref="O143">IFERROR(
  INDEX('Scrum Teams'!B$2:B$1010,
    MATCH(1,
      (B143='Scrum Teams'!F$2:F$1010) +
      (B143='Scrum Teams'!G$2:G$1010) +
      (B143='Scrum Teams'!H$2:H$1010) +
      (B143='Scrum Teams'!I$2:I$1010) +
      (B143='Scrum Teams'!J$2:J$1010) +
      (B143='Scrum Teams'!K$2:K$1010) +
      (B143='Scrum Teams'!L$2:L$1010) +
      (B143='Scrum Teams'!M$2:M$1010) +
      (B143='Scrum Teams'!N$2:N$1010) +
      (B143='Scrum Teams'!O$2:O$1010) +
      (B143='Scrum Teams'!P$2:P$1010) +
      (B143='Scrum Teams'!Q$2:Q$1010),
    0)
  ),
  "Not found"
)</f>
        <v>Analytics-Eng</v>
      </c>
      <c r="P143" s="194" t="s">
        <v>533</v>
      </c>
      <c r="Q143" s="37" t="s">
        <v>307</v>
      </c>
    </row>
    <row r="144" spans="1:17" hidden="1">
      <c r="A144" s="3" t="s">
        <v>57</v>
      </c>
      <c r="B144" s="18" t="s">
        <v>535</v>
      </c>
      <c r="C144" s="3"/>
      <c r="D144" s="3"/>
      <c r="E144" s="3" t="s">
        <v>56</v>
      </c>
      <c r="F144" s="3"/>
      <c r="G144" s="3" t="s">
        <v>55</v>
      </c>
      <c r="H144" s="291" t="s">
        <v>509</v>
      </c>
      <c r="I144" s="291" t="s">
        <v>510</v>
      </c>
      <c r="J144" s="291" t="s">
        <v>510</v>
      </c>
      <c r="K144" s="291"/>
      <c r="L144" s="291"/>
      <c r="M144" s="291" t="s">
        <v>250</v>
      </c>
      <c r="N144" s="3"/>
      <c r="O144" s="137" t="str" cm="1">
        <f t="array" ref="O144">IFERROR(
  INDEX('Scrum Teams'!B$2:B$1010,
    MATCH(1,
      (B144='Scrum Teams'!F$2:F$1010) +
      (B144='Scrum Teams'!G$2:G$1010) +
      (B144='Scrum Teams'!H$2:H$1010) +
      (B144='Scrum Teams'!I$2:I$1010) +
      (B144='Scrum Teams'!J$2:J$1010) +
      (B144='Scrum Teams'!K$2:K$1010) +
      (B144='Scrum Teams'!L$2:L$1010) +
      (B144='Scrum Teams'!M$2:M$1010) +
      (B144='Scrum Teams'!N$2:N$1010) +
      (B144='Scrum Teams'!O$2:O$1010) +
      (B144='Scrum Teams'!P$2:P$1010) +
      (B144='Scrum Teams'!Q$2:Q$1010),
    0)
  ),
  "Not found"
)</f>
        <v>Analytics-Eng</v>
      </c>
      <c r="P144" s="194" t="s">
        <v>533</v>
      </c>
      <c r="Q144" s="37" t="s">
        <v>307</v>
      </c>
    </row>
    <row r="145" spans="1:17" hidden="1">
      <c r="A145" s="3" t="s">
        <v>57</v>
      </c>
      <c r="B145" s="18" t="s">
        <v>536</v>
      </c>
      <c r="C145" s="3"/>
      <c r="D145" s="3"/>
      <c r="E145" s="3" t="s">
        <v>56</v>
      </c>
      <c r="F145" s="3"/>
      <c r="G145" s="3" t="s">
        <v>55</v>
      </c>
      <c r="H145" s="291" t="s">
        <v>532</v>
      </c>
      <c r="I145" s="291" t="s">
        <v>510</v>
      </c>
      <c r="J145" s="291" t="s">
        <v>510</v>
      </c>
      <c r="K145" s="291"/>
      <c r="L145" s="291"/>
      <c r="M145" s="291" t="s">
        <v>250</v>
      </c>
      <c r="N145" s="3"/>
      <c r="O145" s="137" t="str" cm="1">
        <f t="array" ref="O145">IFERROR(
  INDEX('Scrum Teams'!B$2:B$1010,
    MATCH(1,
      (B145='Scrum Teams'!F$2:F$1010) +
      (B145='Scrum Teams'!G$2:G$1010) +
      (B145='Scrum Teams'!H$2:H$1010) +
      (B145='Scrum Teams'!I$2:I$1010) +
      (B145='Scrum Teams'!J$2:J$1010) +
      (B145='Scrum Teams'!K$2:K$1010) +
      (B145='Scrum Teams'!L$2:L$1010) +
      (B145='Scrum Teams'!M$2:M$1010) +
      (B145='Scrum Teams'!N$2:N$1010) +
      (B145='Scrum Teams'!O$2:O$1010) +
      (B145='Scrum Teams'!P$2:P$1010) +
      (B145='Scrum Teams'!Q$2:Q$1010),
    0)
  ),
  "Not found"
)</f>
        <v>Analytics-Eng</v>
      </c>
      <c r="P145" s="194" t="s">
        <v>533</v>
      </c>
      <c r="Q145" s="37" t="s">
        <v>307</v>
      </c>
    </row>
    <row r="146" spans="1:17" hidden="1">
      <c r="A146" s="3" t="s">
        <v>57</v>
      </c>
      <c r="B146" s="18" t="s">
        <v>537</v>
      </c>
      <c r="C146" s="3"/>
      <c r="D146" s="3"/>
      <c r="E146" s="3" t="s">
        <v>56</v>
      </c>
      <c r="F146" s="3"/>
      <c r="G146" s="3" t="s">
        <v>55</v>
      </c>
      <c r="H146" s="291" t="s">
        <v>532</v>
      </c>
      <c r="I146" s="291" t="s">
        <v>510</v>
      </c>
      <c r="J146" s="291" t="s">
        <v>510</v>
      </c>
      <c r="K146" s="291"/>
      <c r="L146" s="291"/>
      <c r="M146" s="291" t="s">
        <v>250</v>
      </c>
      <c r="N146" s="3"/>
      <c r="O146" s="137" t="str" cm="1">
        <f t="array" ref="O146">IFERROR(
  INDEX('Scrum Teams'!B$2:B$1010,
    MATCH(1,
      (B146='Scrum Teams'!F$2:F$1010) +
      (B146='Scrum Teams'!G$2:G$1010) +
      (B146='Scrum Teams'!H$2:H$1010) +
      (B146='Scrum Teams'!I$2:I$1010) +
      (B146='Scrum Teams'!J$2:J$1010) +
      (B146='Scrum Teams'!K$2:K$1010) +
      (B146='Scrum Teams'!L$2:L$1010) +
      (B146='Scrum Teams'!M$2:M$1010) +
      (B146='Scrum Teams'!N$2:N$1010) +
      (B146='Scrum Teams'!O$2:O$1010) +
      (B146='Scrum Teams'!P$2:P$1010) +
      (B146='Scrum Teams'!Q$2:Q$1010),
    0)
  ),
  "Not found"
)</f>
        <v>Analytics-Eng</v>
      </c>
      <c r="P146" s="194" t="s">
        <v>533</v>
      </c>
      <c r="Q146" s="37" t="s">
        <v>307</v>
      </c>
    </row>
    <row r="147" spans="1:17" hidden="1">
      <c r="A147" s="3" t="s">
        <v>71</v>
      </c>
      <c r="B147" s="18" t="s">
        <v>538</v>
      </c>
      <c r="C147" s="3" t="s">
        <v>539</v>
      </c>
      <c r="D147" s="3"/>
      <c r="E147" s="3" t="s">
        <v>70</v>
      </c>
      <c r="F147" s="3"/>
      <c r="G147" s="3" t="s">
        <v>69</v>
      </c>
      <c r="H147" s="290" t="s">
        <v>540</v>
      </c>
      <c r="I147" s="291" t="s">
        <v>479</v>
      </c>
      <c r="J147" s="291" t="s">
        <v>479</v>
      </c>
      <c r="K147" s="291" t="s">
        <v>479</v>
      </c>
      <c r="L147" s="291" t="s">
        <v>479</v>
      </c>
      <c r="M147" s="291" t="s">
        <v>479</v>
      </c>
      <c r="N147" s="3"/>
      <c r="O147" s="137" t="str" cm="1">
        <f t="array" ref="O147">IFERROR(
  INDEX('Scrum Teams'!B$2:B$1010,
    MATCH(1,
      (B147='Scrum Teams'!F$2:F$1010) +
      (B147='Scrum Teams'!G$2:G$1010) +
      (B147='Scrum Teams'!H$2:H$1010) +
      (B147='Scrum Teams'!I$2:I$1010) +
      (B147='Scrum Teams'!J$2:J$1010) +
      (B147='Scrum Teams'!K$2:K$1010) +
      (B147='Scrum Teams'!L$2:L$1010) +
      (B147='Scrum Teams'!M$2:M$1010) +
      (B147='Scrum Teams'!N$2:N$1010) +
      (B147='Scrum Teams'!O$2:O$1010) +
      (B147='Scrum Teams'!P$2:P$1010) +
      (B147='Scrum Teams'!Q$2:Q$1010),
    0)
  ),
  "Not found"
)</f>
        <v>Not found</v>
      </c>
      <c r="P147" s="194"/>
      <c r="Q147" s="37"/>
    </row>
    <row r="148" spans="1:17" hidden="1">
      <c r="A148" s="3" t="s">
        <v>71</v>
      </c>
      <c r="B148" s="18" t="s">
        <v>541</v>
      </c>
      <c r="C148" s="3" t="s">
        <v>539</v>
      </c>
      <c r="D148" s="3"/>
      <c r="E148" s="3" t="s">
        <v>70</v>
      </c>
      <c r="F148" s="3"/>
      <c r="G148" s="3" t="s">
        <v>69</v>
      </c>
      <c r="H148" s="290" t="s">
        <v>542</v>
      </c>
      <c r="I148" s="291" t="s">
        <v>479</v>
      </c>
      <c r="J148" s="291" t="s">
        <v>479</v>
      </c>
      <c r="K148" s="291" t="s">
        <v>479</v>
      </c>
      <c r="L148" s="291" t="s">
        <v>479</v>
      </c>
      <c r="M148" s="291" t="s">
        <v>479</v>
      </c>
      <c r="N148" s="3"/>
      <c r="O148" s="137" t="str" cm="1">
        <f t="array" ref="O148">IFERROR(
  INDEX('Scrum Teams'!B$2:B$1010,
    MATCH(1,
      (B148='Scrum Teams'!F$2:F$1010) +
      (B148='Scrum Teams'!G$2:G$1010) +
      (B148='Scrum Teams'!H$2:H$1010) +
      (B148='Scrum Teams'!I$2:I$1010) +
      (B148='Scrum Teams'!J$2:J$1010) +
      (B148='Scrum Teams'!K$2:K$1010) +
      (B148='Scrum Teams'!L$2:L$1010) +
      (B148='Scrum Teams'!M$2:M$1010) +
      (B148='Scrum Teams'!N$2:N$1010) +
      (B148='Scrum Teams'!O$2:O$1010) +
      (B148='Scrum Teams'!P$2:P$1010) +
      (B148='Scrum Teams'!Q$2:Q$1010),
    0)
  ),
  "Not found"
)</f>
        <v>Not found</v>
      </c>
      <c r="P148" s="194"/>
      <c r="Q148" s="37"/>
    </row>
    <row r="149" spans="1:17" hidden="1">
      <c r="A149" s="3" t="s">
        <v>71</v>
      </c>
      <c r="B149" s="18" t="s">
        <v>543</v>
      </c>
      <c r="C149" s="3" t="s">
        <v>539</v>
      </c>
      <c r="D149" s="3"/>
      <c r="E149" s="3" t="s">
        <v>70</v>
      </c>
      <c r="F149" s="3"/>
      <c r="G149" s="3" t="s">
        <v>69</v>
      </c>
      <c r="H149" s="290" t="s">
        <v>539</v>
      </c>
      <c r="I149" s="291" t="s">
        <v>479</v>
      </c>
      <c r="J149" s="291" t="s">
        <v>479</v>
      </c>
      <c r="K149" s="291" t="s">
        <v>479</v>
      </c>
      <c r="L149" s="291" t="s">
        <v>479</v>
      </c>
      <c r="M149" s="291" t="s">
        <v>479</v>
      </c>
      <c r="N149" s="3"/>
      <c r="O149" s="137" t="str" cm="1">
        <f t="array" ref="O149">IFERROR(
  INDEX('Scrum Teams'!B$2:B$1010,
    MATCH(1,
      (B149='Scrum Teams'!F$2:F$1010) +
      (B149='Scrum Teams'!G$2:G$1010) +
      (B149='Scrum Teams'!H$2:H$1010) +
      (B149='Scrum Teams'!I$2:I$1010) +
      (B149='Scrum Teams'!J$2:J$1010) +
      (B149='Scrum Teams'!K$2:K$1010) +
      (B149='Scrum Teams'!L$2:L$1010) +
      (B149='Scrum Teams'!M$2:M$1010) +
      (B149='Scrum Teams'!N$2:N$1010) +
      (B149='Scrum Teams'!O$2:O$1010) +
      (B149='Scrum Teams'!P$2:P$1010) +
      (B149='Scrum Teams'!Q$2:Q$1010),
    0)
  ),
  "Not found"
)</f>
        <v>Not found</v>
      </c>
      <c r="P149" s="194"/>
      <c r="Q149" s="37"/>
    </row>
    <row r="150" spans="1:17" hidden="1">
      <c r="A150" s="3" t="s">
        <v>95</v>
      </c>
      <c r="B150" s="18" t="s">
        <v>544</v>
      </c>
      <c r="C150" s="3" t="s">
        <v>545</v>
      </c>
      <c r="D150" s="3" t="s">
        <v>546</v>
      </c>
      <c r="E150" s="3" t="s">
        <v>94</v>
      </c>
      <c r="F150" s="3"/>
      <c r="G150" s="3" t="s">
        <v>93</v>
      </c>
      <c r="H150" s="291" t="s">
        <v>479</v>
      </c>
      <c r="I150" s="291" t="s">
        <v>479</v>
      </c>
      <c r="J150" s="291" t="s">
        <v>479</v>
      </c>
      <c r="K150" s="291" t="s">
        <v>479</v>
      </c>
      <c r="L150" s="291" t="s">
        <v>479</v>
      </c>
      <c r="M150" s="291" t="s">
        <v>479</v>
      </c>
      <c r="N150" s="3" t="s">
        <v>547</v>
      </c>
      <c r="O150" s="137" t="str" cm="1">
        <f t="array" ref="O150">IFERROR(
  INDEX('Scrum Teams'!B$2:B$1010,
    MATCH(1,
      (B150='Scrum Teams'!F$2:F$1010) +
      (B150='Scrum Teams'!G$2:G$1010) +
      (B150='Scrum Teams'!H$2:H$1010) +
      (B150='Scrum Teams'!I$2:I$1010) +
      (B150='Scrum Teams'!J$2:J$1010) +
      (B150='Scrum Teams'!K$2:K$1010) +
      (B150='Scrum Teams'!L$2:L$1010) +
      (B150='Scrum Teams'!M$2:M$1010) +
      (B150='Scrum Teams'!N$2:N$1010) +
      (B150='Scrum Teams'!O$2:O$1010) +
      (B150='Scrum Teams'!P$2:P$1010) +
      (B150='Scrum Teams'!Q$2:Q$1010),
    0)
  ),
  "Not found"
)</f>
        <v>Not found</v>
      </c>
      <c r="P150" s="194" t="s">
        <v>157</v>
      </c>
      <c r="Q150" s="37" t="s">
        <v>501</v>
      </c>
    </row>
    <row r="151" spans="1:17" hidden="1">
      <c r="A151" s="3" t="s">
        <v>95</v>
      </c>
      <c r="B151" s="18" t="s">
        <v>548</v>
      </c>
      <c r="C151" s="3" t="s">
        <v>549</v>
      </c>
      <c r="D151" s="3"/>
      <c r="E151" s="3" t="s">
        <v>94</v>
      </c>
      <c r="F151" s="3"/>
      <c r="G151" s="3" t="s">
        <v>93</v>
      </c>
      <c r="H151" s="291" t="s">
        <v>479</v>
      </c>
      <c r="I151" s="291" t="s">
        <v>479</v>
      </c>
      <c r="J151" s="291" t="s">
        <v>479</v>
      </c>
      <c r="K151" s="291" t="s">
        <v>479</v>
      </c>
      <c r="L151" s="291" t="s">
        <v>479</v>
      </c>
      <c r="M151" s="291" t="s">
        <v>479</v>
      </c>
      <c r="N151" s="3" t="s">
        <v>547</v>
      </c>
      <c r="O151" s="137" t="str" cm="1">
        <f t="array" ref="O151">IFERROR(
  INDEX('Scrum Teams'!B$2:B$1010,
    MATCH(1,
      (B151='Scrum Teams'!F$2:F$1010) +
      (B151='Scrum Teams'!G$2:G$1010) +
      (B151='Scrum Teams'!H$2:H$1010) +
      (B151='Scrum Teams'!I$2:I$1010) +
      (B151='Scrum Teams'!J$2:J$1010) +
      (B151='Scrum Teams'!K$2:K$1010) +
      (B151='Scrum Teams'!L$2:L$1010) +
      (B151='Scrum Teams'!M$2:M$1010) +
      (B151='Scrum Teams'!N$2:N$1010) +
      (B151='Scrum Teams'!O$2:O$1010) +
      (B151='Scrum Teams'!P$2:P$1010) +
      (B151='Scrum Teams'!Q$2:Q$1010),
    0)
  ),
  "Not found"
)</f>
        <v>Not found</v>
      </c>
      <c r="P151" s="194" t="s">
        <v>157</v>
      </c>
      <c r="Q151" s="37" t="s">
        <v>501</v>
      </c>
    </row>
    <row r="152" spans="1:17" hidden="1">
      <c r="A152" s="3" t="s">
        <v>95</v>
      </c>
      <c r="B152" s="18" t="s">
        <v>550</v>
      </c>
      <c r="C152" s="3" t="s">
        <v>551</v>
      </c>
      <c r="D152" s="3"/>
      <c r="E152" s="3" t="s">
        <v>94</v>
      </c>
      <c r="F152" s="3"/>
      <c r="G152" s="3" t="s">
        <v>93</v>
      </c>
      <c r="H152" s="291" t="s">
        <v>479</v>
      </c>
      <c r="I152" s="291" t="s">
        <v>479</v>
      </c>
      <c r="J152" s="291" t="s">
        <v>479</v>
      </c>
      <c r="K152" s="291" t="s">
        <v>479</v>
      </c>
      <c r="L152" s="291" t="s">
        <v>479</v>
      </c>
      <c r="M152" s="291" t="s">
        <v>479</v>
      </c>
      <c r="N152" s="3" t="s">
        <v>547</v>
      </c>
      <c r="O152" s="137" t="str" cm="1">
        <f t="array" ref="O152">IFERROR(
  INDEX('Scrum Teams'!B$2:B$1010,
    MATCH(1,
      (B152='Scrum Teams'!F$2:F$1010) +
      (B152='Scrum Teams'!G$2:G$1010) +
      (B152='Scrum Teams'!H$2:H$1010) +
      (B152='Scrum Teams'!I$2:I$1010) +
      (B152='Scrum Teams'!J$2:J$1010) +
      (B152='Scrum Teams'!K$2:K$1010) +
      (B152='Scrum Teams'!L$2:L$1010) +
      (B152='Scrum Teams'!M$2:M$1010) +
      (B152='Scrum Teams'!N$2:N$1010) +
      (B152='Scrum Teams'!O$2:O$1010) +
      (B152='Scrum Teams'!P$2:P$1010) +
      (B152='Scrum Teams'!Q$2:Q$1010),
    0)
  ),
  "Not found"
)</f>
        <v>Not found</v>
      </c>
      <c r="P152" s="194" t="s">
        <v>157</v>
      </c>
      <c r="Q152" s="37" t="s">
        <v>501</v>
      </c>
    </row>
    <row r="153" spans="1:17" hidden="1">
      <c r="A153" s="3" t="s">
        <v>95</v>
      </c>
      <c r="B153" s="18" t="s">
        <v>552</v>
      </c>
      <c r="C153" s="3" t="s">
        <v>553</v>
      </c>
      <c r="D153" s="3"/>
      <c r="E153" s="3" t="s">
        <v>94</v>
      </c>
      <c r="F153" s="3"/>
      <c r="G153" s="3" t="s">
        <v>93</v>
      </c>
      <c r="H153" s="291" t="s">
        <v>479</v>
      </c>
      <c r="I153" s="291" t="s">
        <v>479</v>
      </c>
      <c r="J153" s="291" t="s">
        <v>479</v>
      </c>
      <c r="K153" s="291" t="s">
        <v>479</v>
      </c>
      <c r="L153" s="291" t="s">
        <v>479</v>
      </c>
      <c r="M153" s="291" t="s">
        <v>479</v>
      </c>
      <c r="N153" s="3" t="s">
        <v>547</v>
      </c>
      <c r="O153" s="137" t="str" cm="1">
        <f t="array" ref="O153">IFERROR(
  INDEX('Scrum Teams'!B$2:B$1010,
    MATCH(1,
      (B153='Scrum Teams'!F$2:F$1010) +
      (B153='Scrum Teams'!G$2:G$1010) +
      (B153='Scrum Teams'!H$2:H$1010) +
      (B153='Scrum Teams'!I$2:I$1010) +
      (B153='Scrum Teams'!J$2:J$1010) +
      (B153='Scrum Teams'!K$2:K$1010) +
      (B153='Scrum Teams'!L$2:L$1010) +
      (B153='Scrum Teams'!M$2:M$1010) +
      (B153='Scrum Teams'!N$2:N$1010) +
      (B153='Scrum Teams'!O$2:O$1010) +
      (B153='Scrum Teams'!P$2:P$1010) +
      (B153='Scrum Teams'!Q$2:Q$1010),
    0)
  ),
  "Not found"
)</f>
        <v>Not found</v>
      </c>
      <c r="P153" s="194" t="s">
        <v>157</v>
      </c>
      <c r="Q153" s="37" t="s">
        <v>501</v>
      </c>
    </row>
    <row r="154" spans="1:17" hidden="1">
      <c r="A154" s="3" t="s">
        <v>95</v>
      </c>
      <c r="B154" s="18" t="s">
        <v>554</v>
      </c>
      <c r="C154" s="3" t="s">
        <v>555</v>
      </c>
      <c r="D154" s="3"/>
      <c r="E154" s="3" t="s">
        <v>94</v>
      </c>
      <c r="F154" s="3"/>
      <c r="G154" s="3" t="s">
        <v>93</v>
      </c>
      <c r="H154" s="291" t="s">
        <v>479</v>
      </c>
      <c r="I154" s="291" t="s">
        <v>479</v>
      </c>
      <c r="J154" s="291" t="s">
        <v>479</v>
      </c>
      <c r="K154" s="291" t="s">
        <v>479</v>
      </c>
      <c r="L154" s="291" t="s">
        <v>479</v>
      </c>
      <c r="M154" s="291" t="s">
        <v>479</v>
      </c>
      <c r="N154" s="3" t="s">
        <v>547</v>
      </c>
      <c r="O154" s="137" t="str" cm="1">
        <f t="array" ref="O154">IFERROR(
  INDEX('Scrum Teams'!B$2:B$1010,
    MATCH(1,
      (B154='Scrum Teams'!F$2:F$1010) +
      (B154='Scrum Teams'!G$2:G$1010) +
      (B154='Scrum Teams'!H$2:H$1010) +
      (B154='Scrum Teams'!I$2:I$1010) +
      (B154='Scrum Teams'!J$2:J$1010) +
      (B154='Scrum Teams'!K$2:K$1010) +
      (B154='Scrum Teams'!L$2:L$1010) +
      (B154='Scrum Teams'!M$2:M$1010) +
      (B154='Scrum Teams'!N$2:N$1010) +
      (B154='Scrum Teams'!O$2:O$1010) +
      (B154='Scrum Teams'!P$2:P$1010) +
      (B154='Scrum Teams'!Q$2:Q$1010),
    0)
  ),
  "Not found"
)</f>
        <v>Not found</v>
      </c>
      <c r="P154" s="194" t="s">
        <v>157</v>
      </c>
      <c r="Q154" s="37" t="s">
        <v>501</v>
      </c>
    </row>
    <row r="155" spans="1:17" hidden="1">
      <c r="A155" s="3" t="s">
        <v>95</v>
      </c>
      <c r="B155" s="18" t="s">
        <v>556</v>
      </c>
      <c r="C155" s="3" t="s">
        <v>557</v>
      </c>
      <c r="D155" s="3" t="s">
        <v>546</v>
      </c>
      <c r="E155" s="3" t="s">
        <v>94</v>
      </c>
      <c r="F155" s="3"/>
      <c r="G155" s="3" t="s">
        <v>93</v>
      </c>
      <c r="H155" s="291" t="s">
        <v>479</v>
      </c>
      <c r="I155" s="291" t="s">
        <v>479</v>
      </c>
      <c r="J155" s="291" t="s">
        <v>479</v>
      </c>
      <c r="K155" s="291" t="s">
        <v>479</v>
      </c>
      <c r="L155" s="291" t="s">
        <v>479</v>
      </c>
      <c r="M155" s="291" t="s">
        <v>479</v>
      </c>
      <c r="N155" s="3" t="s">
        <v>547</v>
      </c>
      <c r="O155" s="137" t="str" cm="1">
        <f t="array" ref="O155">IFERROR(
  INDEX('Scrum Teams'!B$2:B$1010,
    MATCH(1,
      (B155='Scrum Teams'!F$2:F$1010) +
      (B155='Scrum Teams'!G$2:G$1010) +
      (B155='Scrum Teams'!H$2:H$1010) +
      (B155='Scrum Teams'!I$2:I$1010) +
      (B155='Scrum Teams'!J$2:J$1010) +
      (B155='Scrum Teams'!K$2:K$1010) +
      (B155='Scrum Teams'!L$2:L$1010) +
      (B155='Scrum Teams'!M$2:M$1010) +
      (B155='Scrum Teams'!N$2:N$1010) +
      (B155='Scrum Teams'!O$2:O$1010) +
      (B155='Scrum Teams'!P$2:P$1010) +
      (B155='Scrum Teams'!Q$2:Q$1010),
    0)
  ),
  "Not found"
)</f>
        <v>Not found</v>
      </c>
      <c r="P155" s="194" t="s">
        <v>157</v>
      </c>
      <c r="Q155" s="37" t="s">
        <v>501</v>
      </c>
    </row>
    <row r="156" spans="1:17" hidden="1">
      <c r="A156" s="3" t="s">
        <v>95</v>
      </c>
      <c r="B156" s="18" t="s">
        <v>558</v>
      </c>
      <c r="C156" s="3" t="s">
        <v>546</v>
      </c>
      <c r="D156" s="3" t="s">
        <v>546</v>
      </c>
      <c r="E156" s="3" t="s">
        <v>94</v>
      </c>
      <c r="F156" s="3"/>
      <c r="G156" s="3" t="s">
        <v>93</v>
      </c>
      <c r="H156" s="291" t="s">
        <v>479</v>
      </c>
      <c r="I156" s="291" t="s">
        <v>479</v>
      </c>
      <c r="J156" s="291" t="s">
        <v>479</v>
      </c>
      <c r="K156" s="291" t="s">
        <v>479</v>
      </c>
      <c r="L156" s="291" t="s">
        <v>479</v>
      </c>
      <c r="M156" s="291" t="s">
        <v>479</v>
      </c>
      <c r="N156" s="3" t="s">
        <v>547</v>
      </c>
      <c r="O156" s="137" t="str" cm="1">
        <f t="array" ref="O156">IFERROR(
  INDEX('Scrum Teams'!B$2:B$1010,
    MATCH(1,
      (B156='Scrum Teams'!F$2:F$1010) +
      (B156='Scrum Teams'!G$2:G$1010) +
      (B156='Scrum Teams'!H$2:H$1010) +
      (B156='Scrum Teams'!I$2:I$1010) +
      (B156='Scrum Teams'!J$2:J$1010) +
      (B156='Scrum Teams'!K$2:K$1010) +
      (B156='Scrum Teams'!L$2:L$1010) +
      (B156='Scrum Teams'!M$2:M$1010) +
      (B156='Scrum Teams'!N$2:N$1010) +
      (B156='Scrum Teams'!O$2:O$1010) +
      (B156='Scrum Teams'!P$2:P$1010) +
      (B156='Scrum Teams'!Q$2:Q$1010),
    0)
  ),
  "Not found"
)</f>
        <v>Not found</v>
      </c>
      <c r="P156" s="194" t="s">
        <v>157</v>
      </c>
      <c r="Q156" s="37" t="s">
        <v>501</v>
      </c>
    </row>
    <row r="157" spans="1:17" hidden="1">
      <c r="A157" s="3" t="s">
        <v>95</v>
      </c>
      <c r="B157" s="18" t="s">
        <v>559</v>
      </c>
      <c r="C157" s="3" t="s">
        <v>546</v>
      </c>
      <c r="D157" s="3" t="s">
        <v>546</v>
      </c>
      <c r="E157" s="3" t="s">
        <v>94</v>
      </c>
      <c r="F157" s="3"/>
      <c r="G157" s="3" t="s">
        <v>93</v>
      </c>
      <c r="H157" s="291" t="s">
        <v>479</v>
      </c>
      <c r="I157" s="291" t="s">
        <v>479</v>
      </c>
      <c r="J157" s="291" t="s">
        <v>479</v>
      </c>
      <c r="K157" s="291" t="s">
        <v>479</v>
      </c>
      <c r="L157" s="291" t="s">
        <v>479</v>
      </c>
      <c r="M157" s="291" t="s">
        <v>479</v>
      </c>
      <c r="N157" s="3" t="s">
        <v>547</v>
      </c>
      <c r="O157" s="137" t="str" cm="1">
        <f t="array" ref="O157">IFERROR(
  INDEX('Scrum Teams'!B$2:B$1010,
    MATCH(1,
      (B157='Scrum Teams'!F$2:F$1010) +
      (B157='Scrum Teams'!G$2:G$1010) +
      (B157='Scrum Teams'!H$2:H$1010) +
      (B157='Scrum Teams'!I$2:I$1010) +
      (B157='Scrum Teams'!J$2:J$1010) +
      (B157='Scrum Teams'!K$2:K$1010) +
      (B157='Scrum Teams'!L$2:L$1010) +
      (B157='Scrum Teams'!M$2:M$1010) +
      (B157='Scrum Teams'!N$2:N$1010) +
      (B157='Scrum Teams'!O$2:O$1010) +
      (B157='Scrum Teams'!P$2:P$1010) +
      (B157='Scrum Teams'!Q$2:Q$1010),
    0)
  ),
  "Not found"
)</f>
        <v>Not found</v>
      </c>
      <c r="P157" s="194" t="s">
        <v>157</v>
      </c>
      <c r="Q157" s="37" t="s">
        <v>501</v>
      </c>
    </row>
    <row r="158" spans="1:17" hidden="1">
      <c r="A158" s="3" t="s">
        <v>95</v>
      </c>
      <c r="B158" s="18" t="s">
        <v>560</v>
      </c>
      <c r="C158" s="3" t="s">
        <v>561</v>
      </c>
      <c r="D158" s="3"/>
      <c r="E158" s="3" t="s">
        <v>94</v>
      </c>
      <c r="F158" s="3"/>
      <c r="G158" s="3" t="s">
        <v>93</v>
      </c>
      <c r="H158" s="291" t="s">
        <v>479</v>
      </c>
      <c r="I158" s="291" t="s">
        <v>479</v>
      </c>
      <c r="J158" s="291" t="s">
        <v>479</v>
      </c>
      <c r="K158" s="291" t="s">
        <v>479</v>
      </c>
      <c r="L158" s="291" t="s">
        <v>479</v>
      </c>
      <c r="M158" s="291" t="s">
        <v>479</v>
      </c>
      <c r="N158" s="3" t="s">
        <v>547</v>
      </c>
      <c r="O158" s="137" t="str" cm="1">
        <f t="array" ref="O158">IFERROR(
  INDEX('Scrum Teams'!B$2:B$1010,
    MATCH(1,
      (B158='Scrum Teams'!F$2:F$1010) +
      (B158='Scrum Teams'!G$2:G$1010) +
      (B158='Scrum Teams'!H$2:H$1010) +
      (B158='Scrum Teams'!I$2:I$1010) +
      (B158='Scrum Teams'!J$2:J$1010) +
      (B158='Scrum Teams'!K$2:K$1010) +
      (B158='Scrum Teams'!L$2:L$1010) +
      (B158='Scrum Teams'!M$2:M$1010) +
      (B158='Scrum Teams'!N$2:N$1010) +
      (B158='Scrum Teams'!O$2:O$1010) +
      (B158='Scrum Teams'!P$2:P$1010) +
      (B158='Scrum Teams'!Q$2:Q$1010),
    0)
  ),
  "Not found"
)</f>
        <v>Not found</v>
      </c>
      <c r="P158" s="194" t="s">
        <v>157</v>
      </c>
      <c r="Q158" s="37" t="s">
        <v>501</v>
      </c>
    </row>
    <row r="159" spans="1:17" hidden="1">
      <c r="A159" s="3" t="s">
        <v>95</v>
      </c>
      <c r="B159" s="18" t="s">
        <v>562</v>
      </c>
      <c r="C159" s="3" t="s">
        <v>563</v>
      </c>
      <c r="D159" s="3"/>
      <c r="E159" s="3" t="s">
        <v>564</v>
      </c>
      <c r="F159" s="3"/>
      <c r="G159" s="3" t="s">
        <v>93</v>
      </c>
      <c r="H159" s="291" t="s">
        <v>479</v>
      </c>
      <c r="I159" s="291" t="s">
        <v>479</v>
      </c>
      <c r="J159" s="291" t="s">
        <v>479</v>
      </c>
      <c r="K159" s="291" t="s">
        <v>479</v>
      </c>
      <c r="L159" s="291" t="s">
        <v>479</v>
      </c>
      <c r="M159" s="291" t="s">
        <v>479</v>
      </c>
      <c r="N159" s="3" t="s">
        <v>547</v>
      </c>
      <c r="O159" s="137" t="str" cm="1">
        <f t="array" ref="O159">IFERROR(
  INDEX('Scrum Teams'!B$2:B$1010,
    MATCH(1,
      (B159='Scrum Teams'!F$2:F$1010) +
      (B159='Scrum Teams'!G$2:G$1010) +
      (B159='Scrum Teams'!H$2:H$1010) +
      (B159='Scrum Teams'!I$2:I$1010) +
      (B159='Scrum Teams'!J$2:J$1010) +
      (B159='Scrum Teams'!K$2:K$1010) +
      (B159='Scrum Teams'!L$2:L$1010) +
      (B159='Scrum Teams'!M$2:M$1010) +
      (B159='Scrum Teams'!N$2:N$1010) +
      (B159='Scrum Teams'!O$2:O$1010) +
      (B159='Scrum Teams'!P$2:P$1010) +
      (B159='Scrum Teams'!Q$2:Q$1010),
    0)
  ),
  "Not found"
)</f>
        <v>Not found</v>
      </c>
      <c r="P159" s="194" t="s">
        <v>157</v>
      </c>
      <c r="Q159" s="37" t="s">
        <v>501</v>
      </c>
    </row>
    <row r="160" spans="1:17" hidden="1">
      <c r="A160" s="3" t="s">
        <v>38</v>
      </c>
      <c r="B160" s="22" t="s">
        <v>565</v>
      </c>
      <c r="C160" s="3" t="s">
        <v>566</v>
      </c>
      <c r="D160" s="3"/>
      <c r="E160" s="3" t="s">
        <v>34</v>
      </c>
      <c r="F160" s="3"/>
      <c r="G160" s="3" t="s">
        <v>30</v>
      </c>
      <c r="H160" s="291" t="s">
        <v>567</v>
      </c>
      <c r="I160" s="291" t="s">
        <v>271</v>
      </c>
      <c r="J160" s="291" t="s">
        <v>271</v>
      </c>
      <c r="K160" s="291" t="s">
        <v>272</v>
      </c>
      <c r="L160" s="291"/>
      <c r="M160" s="291" t="s">
        <v>250</v>
      </c>
      <c r="N160" s="3" t="s">
        <v>568</v>
      </c>
      <c r="O160" s="137" t="str" cm="1">
        <f t="array" ref="O160">IFERROR(
  INDEX('Scrum Teams'!B$2:B$1010,
    MATCH(1,
      (B160='Scrum Teams'!F$2:F$1010) +
      (B160='Scrum Teams'!G$2:G$1010) +
      (B160='Scrum Teams'!H$2:H$1010) +
      (B160='Scrum Teams'!I$2:I$1010) +
      (B160='Scrum Teams'!J$2:J$1010) +
      (B160='Scrum Teams'!K$2:K$1010) +
      (B160='Scrum Teams'!L$2:L$1010) +
      (B160='Scrum Teams'!M$2:M$1010) +
      (B160='Scrum Teams'!N$2:N$1010) +
      (B160='Scrum Teams'!O$2:O$1010) +
      (B160='Scrum Teams'!P$2:P$1010) +
      (B160='Scrum Teams'!Q$2:Q$1010),
    0)
  ),
  "Not found"
)</f>
        <v>IOT</v>
      </c>
      <c r="P160" s="194" t="s">
        <v>38</v>
      </c>
      <c r="Q160" s="37"/>
    </row>
    <row r="161" spans="1:17" hidden="1">
      <c r="A161" s="3" t="s">
        <v>38</v>
      </c>
      <c r="B161" s="22" t="s">
        <v>569</v>
      </c>
      <c r="C161" s="3" t="s">
        <v>566</v>
      </c>
      <c r="D161" s="3"/>
      <c r="E161" s="3" t="s">
        <v>34</v>
      </c>
      <c r="F161" s="3"/>
      <c r="G161" s="3" t="s">
        <v>30</v>
      </c>
      <c r="H161" s="291" t="s">
        <v>567</v>
      </c>
      <c r="I161" s="291" t="s">
        <v>271</v>
      </c>
      <c r="J161" s="291" t="s">
        <v>271</v>
      </c>
      <c r="K161" s="291" t="s">
        <v>272</v>
      </c>
      <c r="L161" s="291"/>
      <c r="M161" s="291" t="s">
        <v>250</v>
      </c>
      <c r="N161" s="3" t="s">
        <v>568</v>
      </c>
      <c r="O161" s="137" t="str" cm="1">
        <f t="array" ref="O161">IFERROR(
  INDEX('Scrum Teams'!B$2:B$1010,
    MATCH(1,
      (B161='Scrum Teams'!F$2:F$1010) +
      (B161='Scrum Teams'!G$2:G$1010) +
      (B161='Scrum Teams'!H$2:H$1010) +
      (B161='Scrum Teams'!I$2:I$1010) +
      (B161='Scrum Teams'!J$2:J$1010) +
      (B161='Scrum Teams'!K$2:K$1010) +
      (B161='Scrum Teams'!L$2:L$1010) +
      (B161='Scrum Teams'!M$2:M$1010) +
      (B161='Scrum Teams'!N$2:N$1010) +
      (B161='Scrum Teams'!O$2:O$1010) +
      (B161='Scrum Teams'!P$2:P$1010) +
      (B161='Scrum Teams'!Q$2:Q$1010),
    0)
  ),
  "Not found"
)</f>
        <v>IOT</v>
      </c>
      <c r="P161" s="194" t="s">
        <v>38</v>
      </c>
      <c r="Q161" s="37"/>
    </row>
    <row r="162" spans="1:17" hidden="1">
      <c r="A162" s="3" t="s">
        <v>38</v>
      </c>
      <c r="B162" s="22" t="s">
        <v>570</v>
      </c>
      <c r="C162" s="3" t="s">
        <v>566</v>
      </c>
      <c r="D162" s="3"/>
      <c r="E162" s="3" t="s">
        <v>34</v>
      </c>
      <c r="F162" s="3"/>
      <c r="G162" s="3" t="s">
        <v>30</v>
      </c>
      <c r="H162" s="291" t="s">
        <v>567</v>
      </c>
      <c r="I162" s="291" t="s">
        <v>271</v>
      </c>
      <c r="J162" s="291" t="s">
        <v>271</v>
      </c>
      <c r="K162" s="291" t="s">
        <v>272</v>
      </c>
      <c r="L162" s="291"/>
      <c r="M162" s="291" t="s">
        <v>250</v>
      </c>
      <c r="N162" s="3" t="s">
        <v>568</v>
      </c>
      <c r="O162" s="137" t="str" cm="1">
        <f t="array" ref="O162">IFERROR(
  INDEX('Scrum Teams'!B$2:B$1010,
    MATCH(1,
      (B162='Scrum Teams'!F$2:F$1010) +
      (B162='Scrum Teams'!G$2:G$1010) +
      (B162='Scrum Teams'!H$2:H$1010) +
      (B162='Scrum Teams'!I$2:I$1010) +
      (B162='Scrum Teams'!J$2:J$1010) +
      (B162='Scrum Teams'!K$2:K$1010) +
      (B162='Scrum Teams'!L$2:L$1010) +
      (B162='Scrum Teams'!M$2:M$1010) +
      (B162='Scrum Teams'!N$2:N$1010) +
      (B162='Scrum Teams'!O$2:O$1010) +
      (B162='Scrum Teams'!P$2:P$1010) +
      (B162='Scrum Teams'!Q$2:Q$1010),
    0)
  ),
  "Not found"
)</f>
        <v>IOT</v>
      </c>
      <c r="P162" s="194" t="s">
        <v>38</v>
      </c>
      <c r="Q162" s="37"/>
    </row>
    <row r="163" spans="1:17" hidden="1">
      <c r="A163" s="3" t="s">
        <v>38</v>
      </c>
      <c r="B163" s="22" t="s">
        <v>571</v>
      </c>
      <c r="C163" s="3" t="s">
        <v>566</v>
      </c>
      <c r="D163" s="3"/>
      <c r="E163" s="3" t="s">
        <v>34</v>
      </c>
      <c r="F163" s="3"/>
      <c r="G163" s="3" t="s">
        <v>30</v>
      </c>
      <c r="H163" s="291" t="s">
        <v>572</v>
      </c>
      <c r="I163" s="291" t="s">
        <v>271</v>
      </c>
      <c r="J163" s="291" t="s">
        <v>271</v>
      </c>
      <c r="K163" s="291" t="s">
        <v>272</v>
      </c>
      <c r="L163" s="291"/>
      <c r="M163" s="291" t="s">
        <v>250</v>
      </c>
      <c r="N163" s="3" t="s">
        <v>573</v>
      </c>
      <c r="O163" s="137" t="str" cm="1">
        <f t="array" ref="O163">IFERROR(
  INDEX('Scrum Teams'!B$2:B$1010,
    MATCH(1,
      (B163='Scrum Teams'!F$2:F$1010) +
      (B163='Scrum Teams'!G$2:G$1010) +
      (B163='Scrum Teams'!H$2:H$1010) +
      (B163='Scrum Teams'!I$2:I$1010) +
      (B163='Scrum Teams'!J$2:J$1010) +
      (B163='Scrum Teams'!K$2:K$1010) +
      (B163='Scrum Teams'!L$2:L$1010) +
      (B163='Scrum Teams'!M$2:M$1010) +
      (B163='Scrum Teams'!N$2:N$1010) +
      (B163='Scrum Teams'!O$2:O$1010) +
      (B163='Scrum Teams'!P$2:P$1010) +
      (B163='Scrum Teams'!Q$2:Q$1010),
    0)
  ),
  "Not found"
)</f>
        <v>IOT</v>
      </c>
      <c r="P163" s="194" t="s">
        <v>38</v>
      </c>
      <c r="Q163" s="37"/>
    </row>
    <row r="164" spans="1:17" hidden="1">
      <c r="A164" s="3" t="s">
        <v>42</v>
      </c>
      <c r="B164" s="18" t="s">
        <v>574</v>
      </c>
      <c r="C164" s="3" t="s">
        <v>575</v>
      </c>
      <c r="D164" s="3"/>
      <c r="E164" s="3" t="s">
        <v>30</v>
      </c>
      <c r="F164" s="3"/>
      <c r="G164" s="3" t="s">
        <v>30</v>
      </c>
      <c r="H164" s="290" t="s">
        <v>296</v>
      </c>
      <c r="I164" s="290" t="s">
        <v>296</v>
      </c>
      <c r="J164" s="290" t="s">
        <v>296</v>
      </c>
      <c r="K164" s="290" t="s">
        <v>296</v>
      </c>
      <c r="L164" s="290" t="s">
        <v>296</v>
      </c>
      <c r="M164" s="291" t="s">
        <v>30</v>
      </c>
      <c r="N164" s="3" t="s">
        <v>576</v>
      </c>
      <c r="O164" s="137" t="str" cm="1">
        <f t="array" ref="O164">IFERROR(
  INDEX('Scrum Teams'!B$2:B$1010,
    MATCH(1,
      (B164='Scrum Teams'!F$2:F$1010) +
      (B164='Scrum Teams'!G$2:G$1010) +
      (B164='Scrum Teams'!H$2:H$1010) +
      (B164='Scrum Teams'!I$2:I$1010) +
      (B164='Scrum Teams'!J$2:J$1010) +
      (B164='Scrum Teams'!K$2:K$1010) +
      (B164='Scrum Teams'!L$2:L$1010) +
      (B164='Scrum Teams'!M$2:M$1010) +
      (B164='Scrum Teams'!N$2:N$1010) +
      (B164='Scrum Teams'!O$2:O$1010) +
      (B164='Scrum Teams'!P$2:P$1010) +
      (B164='Scrum Teams'!Q$2:Q$1010),
    0)
  ),
  "Not found"
)</f>
        <v>Not found</v>
      </c>
      <c r="P164" s="194"/>
      <c r="Q164" s="37"/>
    </row>
    <row r="165" spans="1:17" hidden="1">
      <c r="A165" s="3" t="s">
        <v>42</v>
      </c>
      <c r="B165" s="18" t="s">
        <v>577</v>
      </c>
      <c r="C165" s="3" t="s">
        <v>575</v>
      </c>
      <c r="D165" s="3"/>
      <c r="E165" s="3" t="s">
        <v>30</v>
      </c>
      <c r="F165" s="3"/>
      <c r="G165" s="3" t="s">
        <v>30</v>
      </c>
      <c r="H165" s="290" t="s">
        <v>296</v>
      </c>
      <c r="I165" s="290" t="s">
        <v>296</v>
      </c>
      <c r="J165" s="290" t="s">
        <v>296</v>
      </c>
      <c r="K165" s="290" t="s">
        <v>296</v>
      </c>
      <c r="L165" s="290" t="s">
        <v>296</v>
      </c>
      <c r="M165" s="291" t="s">
        <v>30</v>
      </c>
      <c r="N165" s="3" t="s">
        <v>576</v>
      </c>
      <c r="O165" s="137" t="str" cm="1">
        <f t="array" ref="O165">IFERROR(
  INDEX('Scrum Teams'!B$2:B$1010,
    MATCH(1,
      (B165='Scrum Teams'!F$2:F$1010) +
      (B165='Scrum Teams'!G$2:G$1010) +
      (B165='Scrum Teams'!H$2:H$1010) +
      (B165='Scrum Teams'!I$2:I$1010) +
      (B165='Scrum Teams'!J$2:J$1010) +
      (B165='Scrum Teams'!K$2:K$1010) +
      (B165='Scrum Teams'!L$2:L$1010) +
      (B165='Scrum Teams'!M$2:M$1010) +
      (B165='Scrum Teams'!N$2:N$1010) +
      (B165='Scrum Teams'!O$2:O$1010) +
      (B165='Scrum Teams'!P$2:P$1010) +
      (B165='Scrum Teams'!Q$2:Q$1010),
    0)
  ),
  "Not found"
)</f>
        <v>Not found</v>
      </c>
      <c r="P165" s="194"/>
      <c r="Q165" s="37"/>
    </row>
    <row r="166" spans="1:17" hidden="1">
      <c r="A166" s="3" t="s">
        <v>42</v>
      </c>
      <c r="B166" s="18" t="s">
        <v>578</v>
      </c>
      <c r="C166" s="3" t="s">
        <v>575</v>
      </c>
      <c r="D166" s="3"/>
      <c r="E166" s="3" t="s">
        <v>30</v>
      </c>
      <c r="F166" s="3"/>
      <c r="G166" s="3" t="s">
        <v>30</v>
      </c>
      <c r="H166" s="290" t="s">
        <v>296</v>
      </c>
      <c r="I166" s="290" t="s">
        <v>296</v>
      </c>
      <c r="J166" s="290" t="s">
        <v>296</v>
      </c>
      <c r="K166" s="290" t="s">
        <v>296</v>
      </c>
      <c r="L166" s="290" t="s">
        <v>296</v>
      </c>
      <c r="M166" s="291" t="s">
        <v>30</v>
      </c>
      <c r="N166" s="3" t="s">
        <v>576</v>
      </c>
      <c r="O166" s="137" t="str" cm="1">
        <f t="array" ref="O166">IFERROR(
  INDEX('Scrum Teams'!B$2:B$1010,
    MATCH(1,
      (B166='Scrum Teams'!F$2:F$1010) +
      (B166='Scrum Teams'!G$2:G$1010) +
      (B166='Scrum Teams'!H$2:H$1010) +
      (B166='Scrum Teams'!I$2:I$1010) +
      (B166='Scrum Teams'!J$2:J$1010) +
      (B166='Scrum Teams'!K$2:K$1010) +
      (B166='Scrum Teams'!L$2:L$1010) +
      (B166='Scrum Teams'!M$2:M$1010) +
      (B166='Scrum Teams'!N$2:N$1010) +
      (B166='Scrum Teams'!O$2:O$1010) +
      (B166='Scrum Teams'!P$2:P$1010) +
      (B166='Scrum Teams'!Q$2:Q$1010),
    0)
  ),
  "Not found"
)</f>
        <v>Not found</v>
      </c>
      <c r="P166" s="194"/>
      <c r="Q166" s="37"/>
    </row>
    <row r="167" spans="1:17" hidden="1">
      <c r="A167" s="3" t="s">
        <v>41</v>
      </c>
      <c r="B167" s="18" t="s">
        <v>579</v>
      </c>
      <c r="C167" s="3" t="s">
        <v>580</v>
      </c>
      <c r="D167" s="3"/>
      <c r="E167" s="3" t="s">
        <v>30</v>
      </c>
      <c r="F167" s="3"/>
      <c r="G167" s="3" t="s">
        <v>30</v>
      </c>
      <c r="H167" s="291" t="s">
        <v>581</v>
      </c>
      <c r="I167" s="294" t="s">
        <v>582</v>
      </c>
      <c r="J167" s="294" t="s">
        <v>582</v>
      </c>
      <c r="K167" s="294"/>
      <c r="L167" s="294"/>
      <c r="M167" s="291" t="s">
        <v>30</v>
      </c>
      <c r="N167" s="3" t="s">
        <v>576</v>
      </c>
      <c r="O167" s="137" t="str" cm="1">
        <f t="array" ref="O167">IFERROR(
  INDEX('Scrum Teams'!B$2:B$1010,
    MATCH(1,
      (B167='Scrum Teams'!F$2:F$1010) +
      (B167='Scrum Teams'!G$2:G$1010) +
      (B167='Scrum Teams'!H$2:H$1010) +
      (B167='Scrum Teams'!I$2:I$1010) +
      (B167='Scrum Teams'!J$2:J$1010) +
      (B167='Scrum Teams'!K$2:K$1010) +
      (B167='Scrum Teams'!L$2:L$1010) +
      (B167='Scrum Teams'!M$2:M$1010) +
      (B167='Scrum Teams'!N$2:N$1010) +
      (B167='Scrum Teams'!O$2:O$1010) +
      (B167='Scrum Teams'!P$2:P$1010) +
      (B167='Scrum Teams'!Q$2:Q$1010),
    0)
  ),
  "Not found"
)</f>
        <v>Not found</v>
      </c>
      <c r="P167" s="194"/>
      <c r="Q167" s="37"/>
    </row>
    <row r="168" spans="1:17" hidden="1">
      <c r="A168" s="3" t="s">
        <v>41</v>
      </c>
      <c r="B168" s="18" t="s">
        <v>583</v>
      </c>
      <c r="C168" s="3" t="s">
        <v>575</v>
      </c>
      <c r="D168" s="3"/>
      <c r="E168" s="3" t="s">
        <v>30</v>
      </c>
      <c r="F168" s="3"/>
      <c r="G168" s="3" t="s">
        <v>30</v>
      </c>
      <c r="H168" s="291" t="s">
        <v>584</v>
      </c>
      <c r="I168" s="291" t="s">
        <v>585</v>
      </c>
      <c r="J168" s="291"/>
      <c r="K168" s="291" t="s">
        <v>586</v>
      </c>
      <c r="L168" s="291" t="s">
        <v>586</v>
      </c>
      <c r="M168" s="291" t="s">
        <v>30</v>
      </c>
      <c r="N168" s="3" t="s">
        <v>576</v>
      </c>
      <c r="O168" s="137" t="str" cm="1">
        <f t="array" ref="O168">IFERROR(
  INDEX('Scrum Teams'!B$2:B$1010,
    MATCH(1,
      (B168='Scrum Teams'!F$2:F$1010) +
      (B168='Scrum Teams'!G$2:G$1010) +
      (B168='Scrum Teams'!H$2:H$1010) +
      (B168='Scrum Teams'!I$2:I$1010) +
      (B168='Scrum Teams'!J$2:J$1010) +
      (B168='Scrum Teams'!K$2:K$1010) +
      (B168='Scrum Teams'!L$2:L$1010) +
      (B168='Scrum Teams'!M$2:M$1010) +
      (B168='Scrum Teams'!N$2:N$1010) +
      (B168='Scrum Teams'!O$2:O$1010) +
      (B168='Scrum Teams'!P$2:P$1010) +
      (B168='Scrum Teams'!Q$2:Q$1010),
    0)
  ),
  "Not found"
)</f>
        <v>Not found</v>
      </c>
      <c r="P168" s="194"/>
      <c r="Q168" s="37"/>
    </row>
    <row r="169" spans="1:17" hidden="1">
      <c r="A169" s="3" t="s">
        <v>41</v>
      </c>
      <c r="B169" s="18" t="s">
        <v>587</v>
      </c>
      <c r="C169" s="3" t="s">
        <v>575</v>
      </c>
      <c r="D169" s="3"/>
      <c r="E169" s="3" t="s">
        <v>30</v>
      </c>
      <c r="F169" s="3"/>
      <c r="G169" s="3" t="s">
        <v>30</v>
      </c>
      <c r="H169" s="290" t="s">
        <v>296</v>
      </c>
      <c r="I169" s="291" t="s">
        <v>296</v>
      </c>
      <c r="J169" s="291" t="s">
        <v>296</v>
      </c>
      <c r="K169" s="291" t="s">
        <v>296</v>
      </c>
      <c r="L169" s="291" t="s">
        <v>296</v>
      </c>
      <c r="M169" s="291" t="s">
        <v>30</v>
      </c>
      <c r="N169" s="3" t="s">
        <v>576</v>
      </c>
      <c r="O169" s="137" t="str" cm="1">
        <f t="array" ref="O169">IFERROR(
  INDEX('Scrum Teams'!B$2:B$1010,
    MATCH(1,
      (B169='Scrum Teams'!F$2:F$1010) +
      (B169='Scrum Teams'!G$2:G$1010) +
      (B169='Scrum Teams'!H$2:H$1010) +
      (B169='Scrum Teams'!I$2:I$1010) +
      (B169='Scrum Teams'!J$2:J$1010) +
      (B169='Scrum Teams'!K$2:K$1010) +
      (B169='Scrum Teams'!L$2:L$1010) +
      (B169='Scrum Teams'!M$2:M$1010) +
      (B169='Scrum Teams'!N$2:N$1010) +
      (B169='Scrum Teams'!O$2:O$1010) +
      (B169='Scrum Teams'!P$2:P$1010) +
      (B169='Scrum Teams'!Q$2:Q$1010),
    0)
  ),
  "Not found"
)</f>
        <v>Not found</v>
      </c>
      <c r="P169" s="194"/>
      <c r="Q169" s="37"/>
    </row>
    <row r="170" spans="1:17" hidden="1">
      <c r="A170" s="3" t="s">
        <v>7</v>
      </c>
      <c r="B170" s="22" t="s">
        <v>588</v>
      </c>
      <c r="C170" s="3"/>
      <c r="D170" s="3"/>
      <c r="E170" s="3" t="s">
        <v>6</v>
      </c>
      <c r="F170" s="3"/>
      <c r="G170" s="3" t="s">
        <v>5</v>
      </c>
      <c r="H170" s="291" t="s">
        <v>296</v>
      </c>
      <c r="I170" s="291" t="s">
        <v>296</v>
      </c>
      <c r="J170" s="291" t="s">
        <v>296</v>
      </c>
      <c r="K170" s="291" t="s">
        <v>296</v>
      </c>
      <c r="L170" s="291" t="s">
        <v>296</v>
      </c>
      <c r="M170" s="291" t="s">
        <v>5</v>
      </c>
      <c r="N170" s="3"/>
      <c r="O170" s="137" t="str" cm="1">
        <f t="array" ref="O170">IFERROR(
  INDEX('Scrum Teams'!B$2:B$1010,
    MATCH(1,
      (B170='Scrum Teams'!F$2:F$1010) +
      (B170='Scrum Teams'!G$2:G$1010) +
      (B170='Scrum Teams'!H$2:H$1010) +
      (B170='Scrum Teams'!I$2:I$1010) +
      (B170='Scrum Teams'!J$2:J$1010) +
      (B170='Scrum Teams'!K$2:K$1010) +
      (B170='Scrum Teams'!L$2:L$1010) +
      (B170='Scrum Teams'!M$2:M$1010) +
      (B170='Scrum Teams'!N$2:N$1010) +
      (B170='Scrum Teams'!O$2:O$1010) +
      (B170='Scrum Teams'!P$2:P$1010) +
      (B170='Scrum Teams'!Q$2:Q$1010),
    0)
  ),
  "Not found"
)</f>
        <v>Not found</v>
      </c>
      <c r="P170" s="194"/>
      <c r="Q170" s="37"/>
    </row>
    <row r="171" spans="1:17" hidden="1">
      <c r="A171" s="3" t="s">
        <v>35</v>
      </c>
      <c r="B171" s="22" t="s">
        <v>589</v>
      </c>
      <c r="C171" s="3" t="s">
        <v>575</v>
      </c>
      <c r="D171" s="3"/>
      <c r="E171" s="3" t="s">
        <v>34</v>
      </c>
      <c r="F171" s="3"/>
      <c r="G171" s="3" t="s">
        <v>30</v>
      </c>
      <c r="H171" s="291" t="s">
        <v>590</v>
      </c>
      <c r="I171" s="290"/>
      <c r="J171" s="290"/>
      <c r="K171" s="291" t="s">
        <v>586</v>
      </c>
      <c r="L171" s="291" t="s">
        <v>586</v>
      </c>
      <c r="M171" s="291" t="s">
        <v>30</v>
      </c>
      <c r="N171" s="3" t="s">
        <v>576</v>
      </c>
      <c r="O171" s="137" t="str" cm="1">
        <f t="array" ref="O171">IFERROR(
  INDEX('Scrum Teams'!B$2:B$1010,
    MATCH(1,
      (B171='Scrum Teams'!F$2:F$1010) +
      (B171='Scrum Teams'!G$2:G$1010) +
      (B171='Scrum Teams'!H$2:H$1010) +
      (B171='Scrum Teams'!I$2:I$1010) +
      (B171='Scrum Teams'!J$2:J$1010) +
      (B171='Scrum Teams'!K$2:K$1010) +
      (B171='Scrum Teams'!L$2:L$1010) +
      (B171='Scrum Teams'!M$2:M$1010) +
      (B171='Scrum Teams'!N$2:N$1010) +
      (B171='Scrum Teams'!O$2:O$1010) +
      (B171='Scrum Teams'!P$2:P$1010) +
      (B171='Scrum Teams'!Q$2:Q$1010),
    0)
  ),
  "Not found"
)</f>
        <v>Honda PCX</v>
      </c>
      <c r="P171" s="194" t="s">
        <v>591</v>
      </c>
      <c r="Q171" s="37" t="s">
        <v>592</v>
      </c>
    </row>
    <row r="172" spans="1:17" hidden="1">
      <c r="A172" s="3" t="s">
        <v>35</v>
      </c>
      <c r="B172" s="22" t="s">
        <v>593</v>
      </c>
      <c r="C172" s="3" t="s">
        <v>575</v>
      </c>
      <c r="D172" s="3"/>
      <c r="E172" s="3" t="s">
        <v>34</v>
      </c>
      <c r="F172" s="3"/>
      <c r="G172" s="3" t="s">
        <v>30</v>
      </c>
      <c r="H172" s="291" t="s">
        <v>590</v>
      </c>
      <c r="I172" s="290"/>
      <c r="J172" s="290"/>
      <c r="K172" s="291" t="s">
        <v>586</v>
      </c>
      <c r="L172" s="291" t="s">
        <v>586</v>
      </c>
      <c r="M172" s="291" t="s">
        <v>30</v>
      </c>
      <c r="N172" s="3" t="s">
        <v>576</v>
      </c>
      <c r="O172" s="137" t="str" cm="1">
        <f t="array" ref="O172">IFERROR(
  INDEX('Scrum Teams'!B$2:B$1010,
    MATCH(1,
      (B172='Scrum Teams'!F$2:F$1010) +
      (B172='Scrum Teams'!G$2:G$1010) +
      (B172='Scrum Teams'!H$2:H$1010) +
      (B172='Scrum Teams'!I$2:I$1010) +
      (B172='Scrum Teams'!J$2:J$1010) +
      (B172='Scrum Teams'!K$2:K$1010) +
      (B172='Scrum Teams'!L$2:L$1010) +
      (B172='Scrum Teams'!M$2:M$1010) +
      (B172='Scrum Teams'!N$2:N$1010) +
      (B172='Scrum Teams'!O$2:O$1010) +
      (B172='Scrum Teams'!P$2:P$1010) +
      (B172='Scrum Teams'!Q$2:Q$1010),
    0)
  ),
  "Not found"
)</f>
        <v>Honda Integration</v>
      </c>
      <c r="P172" s="194" t="s">
        <v>591</v>
      </c>
      <c r="Q172" s="37" t="s">
        <v>592</v>
      </c>
    </row>
    <row r="173" spans="1:17" hidden="1">
      <c r="A173" s="3" t="s">
        <v>35</v>
      </c>
      <c r="B173" s="22" t="s">
        <v>594</v>
      </c>
      <c r="C173" s="3" t="s">
        <v>575</v>
      </c>
      <c r="D173" s="3"/>
      <c r="E173" s="3" t="s">
        <v>34</v>
      </c>
      <c r="F173" s="3"/>
      <c r="G173" s="3" t="s">
        <v>30</v>
      </c>
      <c r="H173" s="291" t="s">
        <v>584</v>
      </c>
      <c r="I173" s="291" t="s">
        <v>585</v>
      </c>
      <c r="J173" s="290"/>
      <c r="K173" s="291" t="s">
        <v>595</v>
      </c>
      <c r="L173" s="291" t="s">
        <v>595</v>
      </c>
      <c r="M173" s="291" t="s">
        <v>30</v>
      </c>
      <c r="N173" s="3" t="s">
        <v>576</v>
      </c>
      <c r="O173" s="137" t="str" cm="1">
        <f t="array" ref="O173">IFERROR(
  INDEX('Scrum Teams'!B$2:B$1010,
    MATCH(1,
      (B173='Scrum Teams'!F$2:F$1010) +
      (B173='Scrum Teams'!G$2:G$1010) +
      (B173='Scrum Teams'!H$2:H$1010) +
      (B173='Scrum Teams'!I$2:I$1010) +
      (B173='Scrum Teams'!J$2:J$1010) +
      (B173='Scrum Teams'!K$2:K$1010) +
      (B173='Scrum Teams'!L$2:L$1010) +
      (B173='Scrum Teams'!M$2:M$1010) +
      (B173='Scrum Teams'!N$2:N$1010) +
      (B173='Scrum Teams'!O$2:O$1010) +
      (B173='Scrum Teams'!P$2:P$1010) +
      (B173='Scrum Teams'!Q$2:Q$1010),
    0)
  ),
  "Not found"
)</f>
        <v>Honda DX</v>
      </c>
      <c r="P173" s="194" t="s">
        <v>591</v>
      </c>
      <c r="Q173" s="37" t="s">
        <v>592</v>
      </c>
    </row>
    <row r="174" spans="1:17" hidden="1">
      <c r="A174" s="3" t="s">
        <v>35</v>
      </c>
      <c r="B174" s="22" t="s">
        <v>596</v>
      </c>
      <c r="C174" s="3" t="s">
        <v>575</v>
      </c>
      <c r="D174" s="3"/>
      <c r="E174" s="3" t="s">
        <v>34</v>
      </c>
      <c r="F174" s="3"/>
      <c r="G174" s="3" t="s">
        <v>30</v>
      </c>
      <c r="H174" s="291" t="s">
        <v>584</v>
      </c>
      <c r="I174" s="291" t="s">
        <v>585</v>
      </c>
      <c r="J174" s="290"/>
      <c r="K174" s="291" t="s">
        <v>595</v>
      </c>
      <c r="L174" s="291" t="s">
        <v>595</v>
      </c>
      <c r="M174" s="291" t="s">
        <v>30</v>
      </c>
      <c r="N174" s="3" t="s">
        <v>576</v>
      </c>
      <c r="O174" s="137" t="str" cm="1">
        <f t="array" ref="O174">IFERROR(
  INDEX('Scrum Teams'!B$2:B$1010,
    MATCH(1,
      (B174='Scrum Teams'!F$2:F$1010) +
      (B174='Scrum Teams'!G$2:G$1010) +
      (B174='Scrum Teams'!H$2:H$1010) +
      (B174='Scrum Teams'!I$2:I$1010) +
      (B174='Scrum Teams'!J$2:J$1010) +
      (B174='Scrum Teams'!K$2:K$1010) +
      (B174='Scrum Teams'!L$2:L$1010) +
      (B174='Scrum Teams'!M$2:M$1010) +
      (B174='Scrum Teams'!N$2:N$1010) +
      (B174='Scrum Teams'!O$2:O$1010) +
      (B174='Scrum Teams'!P$2:P$1010) +
      (B174='Scrum Teams'!Q$2:Q$1010),
    0)
  ),
  "Not found"
)</f>
        <v>Honda DX</v>
      </c>
      <c r="P174" s="194" t="s">
        <v>591</v>
      </c>
      <c r="Q174" s="37" t="s">
        <v>592</v>
      </c>
    </row>
    <row r="175" spans="1:17" hidden="1">
      <c r="A175" s="3" t="s">
        <v>35</v>
      </c>
      <c r="B175" s="22" t="s">
        <v>597</v>
      </c>
      <c r="C175" s="3" t="s">
        <v>575</v>
      </c>
      <c r="D175" s="3"/>
      <c r="E175" s="3" t="s">
        <v>34</v>
      </c>
      <c r="F175" s="3"/>
      <c r="G175" s="3" t="s">
        <v>30</v>
      </c>
      <c r="H175" s="291" t="s">
        <v>584</v>
      </c>
      <c r="I175" s="291" t="s">
        <v>585</v>
      </c>
      <c r="J175" s="290"/>
      <c r="K175" s="291" t="s">
        <v>595</v>
      </c>
      <c r="L175" s="291" t="s">
        <v>595</v>
      </c>
      <c r="M175" s="291" t="s">
        <v>30</v>
      </c>
      <c r="N175" s="3" t="s">
        <v>576</v>
      </c>
      <c r="O175" s="137" t="str" cm="1">
        <f t="array" ref="O175">IFERROR(
  INDEX('Scrum Teams'!B$2:B$1010,
    MATCH(1,
      (B175='Scrum Teams'!F$2:F$1010) +
      (B175='Scrum Teams'!G$2:G$1010) +
      (B175='Scrum Teams'!H$2:H$1010) +
      (B175='Scrum Teams'!I$2:I$1010) +
      (B175='Scrum Teams'!J$2:J$1010) +
      (B175='Scrum Teams'!K$2:K$1010) +
      (B175='Scrum Teams'!L$2:L$1010) +
      (B175='Scrum Teams'!M$2:M$1010) +
      (B175='Scrum Teams'!N$2:N$1010) +
      (B175='Scrum Teams'!O$2:O$1010) +
      (B175='Scrum Teams'!P$2:P$1010) +
      (B175='Scrum Teams'!Q$2:Q$1010),
    0)
  ),
  "Not found"
)</f>
        <v>Honda DX</v>
      </c>
      <c r="P175" s="194" t="s">
        <v>591</v>
      </c>
      <c r="Q175" s="37" t="s">
        <v>592</v>
      </c>
    </row>
    <row r="176" spans="1:17" hidden="1">
      <c r="A176" s="3" t="s">
        <v>35</v>
      </c>
      <c r="B176" s="22" t="s">
        <v>598</v>
      </c>
      <c r="C176" s="3" t="s">
        <v>575</v>
      </c>
      <c r="D176" s="3"/>
      <c r="E176" s="3" t="s">
        <v>34</v>
      </c>
      <c r="F176" s="3"/>
      <c r="G176" s="3" t="s">
        <v>30</v>
      </c>
      <c r="H176" s="291" t="s">
        <v>584</v>
      </c>
      <c r="I176" s="291" t="s">
        <v>585</v>
      </c>
      <c r="J176" s="290"/>
      <c r="K176" s="291" t="s">
        <v>595</v>
      </c>
      <c r="L176" s="291" t="s">
        <v>595</v>
      </c>
      <c r="M176" s="291" t="s">
        <v>30</v>
      </c>
      <c r="N176" s="3" t="s">
        <v>576</v>
      </c>
      <c r="O176" s="137" t="str" cm="1">
        <f t="array" ref="O176">IFERROR(
  INDEX('Scrum Teams'!B$2:B$1010,
    MATCH(1,
      (B176='Scrum Teams'!F$2:F$1010) +
      (B176='Scrum Teams'!G$2:G$1010) +
      (B176='Scrum Teams'!H$2:H$1010) +
      (B176='Scrum Teams'!I$2:I$1010) +
      (B176='Scrum Teams'!J$2:J$1010) +
      (B176='Scrum Teams'!K$2:K$1010) +
      (B176='Scrum Teams'!L$2:L$1010) +
      (B176='Scrum Teams'!M$2:M$1010) +
      (B176='Scrum Teams'!N$2:N$1010) +
      (B176='Scrum Teams'!O$2:O$1010) +
      (B176='Scrum Teams'!P$2:P$1010) +
      (B176='Scrum Teams'!Q$2:Q$1010),
    0)
  ),
  "Not found"
)</f>
        <v>Honda DX</v>
      </c>
      <c r="P176" s="194" t="s">
        <v>591</v>
      </c>
      <c r="Q176" s="37" t="s">
        <v>592</v>
      </c>
    </row>
    <row r="177" spans="1:17" hidden="1">
      <c r="A177" s="3" t="s">
        <v>35</v>
      </c>
      <c r="B177" s="22" t="s">
        <v>599</v>
      </c>
      <c r="C177" s="3" t="s">
        <v>575</v>
      </c>
      <c r="D177" s="3"/>
      <c r="E177" s="3" t="s">
        <v>34</v>
      </c>
      <c r="F177" s="3"/>
      <c r="G177" s="3" t="s">
        <v>30</v>
      </c>
      <c r="H177" s="291" t="s">
        <v>584</v>
      </c>
      <c r="I177" s="291" t="s">
        <v>585</v>
      </c>
      <c r="J177" s="290"/>
      <c r="K177" s="291" t="s">
        <v>595</v>
      </c>
      <c r="L177" s="291" t="s">
        <v>595</v>
      </c>
      <c r="M177" s="291" t="s">
        <v>30</v>
      </c>
      <c r="N177" s="3" t="s">
        <v>576</v>
      </c>
      <c r="O177" s="137" t="str" cm="1">
        <f t="array" ref="O177">IFERROR(
  INDEX('Scrum Teams'!B$2:B$1010,
    MATCH(1,
      (B177='Scrum Teams'!F$2:F$1010) +
      (B177='Scrum Teams'!G$2:G$1010) +
      (B177='Scrum Teams'!H$2:H$1010) +
      (B177='Scrum Teams'!I$2:I$1010) +
      (B177='Scrum Teams'!J$2:J$1010) +
      (B177='Scrum Teams'!K$2:K$1010) +
      (B177='Scrum Teams'!L$2:L$1010) +
      (B177='Scrum Teams'!M$2:M$1010) +
      (B177='Scrum Teams'!N$2:N$1010) +
      (B177='Scrum Teams'!O$2:O$1010) +
      (B177='Scrum Teams'!P$2:P$1010) +
      (B177='Scrum Teams'!Q$2:Q$1010),
    0)
  ),
  "Not found"
)</f>
        <v>Honda DX</v>
      </c>
      <c r="P177" s="194" t="s">
        <v>591</v>
      </c>
      <c r="Q177" s="37" t="s">
        <v>592</v>
      </c>
    </row>
    <row r="178" spans="1:17" hidden="1">
      <c r="A178" s="3" t="s">
        <v>35</v>
      </c>
      <c r="B178" s="22" t="s">
        <v>600</v>
      </c>
      <c r="C178" s="3" t="s">
        <v>575</v>
      </c>
      <c r="D178" s="3"/>
      <c r="E178" s="3" t="s">
        <v>34</v>
      </c>
      <c r="F178" s="3"/>
      <c r="G178" s="3" t="s">
        <v>30</v>
      </c>
      <c r="H178" s="291" t="s">
        <v>584</v>
      </c>
      <c r="I178" s="291" t="s">
        <v>585</v>
      </c>
      <c r="J178" s="290"/>
      <c r="K178" s="291" t="s">
        <v>595</v>
      </c>
      <c r="L178" s="291" t="s">
        <v>595</v>
      </c>
      <c r="M178" s="291" t="s">
        <v>30</v>
      </c>
      <c r="N178" s="3" t="s">
        <v>576</v>
      </c>
      <c r="O178" s="137" t="str" cm="1">
        <f t="array" ref="O178">IFERROR(
  INDEX('Scrum Teams'!B$2:B$1010,
    MATCH(1,
      (B178='Scrum Teams'!F$2:F$1010) +
      (B178='Scrum Teams'!G$2:G$1010) +
      (B178='Scrum Teams'!H$2:H$1010) +
      (B178='Scrum Teams'!I$2:I$1010) +
      (B178='Scrum Teams'!J$2:J$1010) +
      (B178='Scrum Teams'!K$2:K$1010) +
      (B178='Scrum Teams'!L$2:L$1010) +
      (B178='Scrum Teams'!M$2:M$1010) +
      (B178='Scrum Teams'!N$2:N$1010) +
      (B178='Scrum Teams'!O$2:O$1010) +
      (B178='Scrum Teams'!P$2:P$1010) +
      (B178='Scrum Teams'!Q$2:Q$1010),
    0)
  ),
  "Not found"
)</f>
        <v>Honda SCX</v>
      </c>
      <c r="P178" s="194" t="s">
        <v>591</v>
      </c>
      <c r="Q178" s="37" t="s">
        <v>592</v>
      </c>
    </row>
    <row r="179" spans="1:17" hidden="1">
      <c r="A179" s="3" t="s">
        <v>35</v>
      </c>
      <c r="B179" s="22" t="s">
        <v>601</v>
      </c>
      <c r="C179" s="3" t="s">
        <v>575</v>
      </c>
      <c r="D179" s="3"/>
      <c r="E179" s="3" t="s">
        <v>34</v>
      </c>
      <c r="F179" s="3"/>
      <c r="G179" s="3" t="s">
        <v>30</v>
      </c>
      <c r="H179" s="291" t="s">
        <v>584</v>
      </c>
      <c r="I179" s="291" t="s">
        <v>585</v>
      </c>
      <c r="J179" s="290"/>
      <c r="K179" s="291" t="s">
        <v>595</v>
      </c>
      <c r="L179" s="291" t="s">
        <v>595</v>
      </c>
      <c r="M179" s="291" t="s">
        <v>30</v>
      </c>
      <c r="N179" s="3" t="s">
        <v>576</v>
      </c>
      <c r="O179" s="137" t="str" cm="1">
        <f t="array" ref="O179">IFERROR(
  INDEX('Scrum Teams'!B$2:B$1010,
    MATCH(1,
      (B179='Scrum Teams'!F$2:F$1010) +
      (B179='Scrum Teams'!G$2:G$1010) +
      (B179='Scrum Teams'!H$2:H$1010) +
      (B179='Scrum Teams'!I$2:I$1010) +
      (B179='Scrum Teams'!J$2:J$1010) +
      (B179='Scrum Teams'!K$2:K$1010) +
      (B179='Scrum Teams'!L$2:L$1010) +
      (B179='Scrum Teams'!M$2:M$1010) +
      (B179='Scrum Teams'!N$2:N$1010) +
      (B179='Scrum Teams'!O$2:O$1010) +
      (B179='Scrum Teams'!P$2:P$1010) +
      (B179='Scrum Teams'!Q$2:Q$1010),
    0)
  ),
  "Not found"
)</f>
        <v>Honda DX</v>
      </c>
      <c r="P179" s="194" t="s">
        <v>591</v>
      </c>
      <c r="Q179" s="37" t="s">
        <v>592</v>
      </c>
    </row>
    <row r="180" spans="1:17" hidden="1">
      <c r="A180" s="3" t="s">
        <v>35</v>
      </c>
      <c r="B180" s="22" t="s">
        <v>602</v>
      </c>
      <c r="C180" s="3" t="s">
        <v>575</v>
      </c>
      <c r="D180" s="3"/>
      <c r="E180" s="3" t="s">
        <v>34</v>
      </c>
      <c r="F180" s="3"/>
      <c r="G180" s="3" t="s">
        <v>30</v>
      </c>
      <c r="H180" s="291" t="s">
        <v>584</v>
      </c>
      <c r="I180" s="291" t="s">
        <v>585</v>
      </c>
      <c r="J180" s="290"/>
      <c r="K180" s="291" t="s">
        <v>595</v>
      </c>
      <c r="L180" s="291" t="s">
        <v>595</v>
      </c>
      <c r="M180" s="291" t="s">
        <v>30</v>
      </c>
      <c r="N180" s="3" t="s">
        <v>576</v>
      </c>
      <c r="O180" s="137" t="str" cm="1">
        <f t="array" ref="O180">IFERROR(
  INDEX('Scrum Teams'!B$2:B$1010,
    MATCH(1,
      (B180='Scrum Teams'!F$2:F$1010) +
      (B180='Scrum Teams'!G$2:G$1010) +
      (B180='Scrum Teams'!H$2:H$1010) +
      (B180='Scrum Teams'!I$2:I$1010) +
      (B180='Scrum Teams'!J$2:J$1010) +
      (B180='Scrum Teams'!K$2:K$1010) +
      (B180='Scrum Teams'!L$2:L$1010) +
      (B180='Scrum Teams'!M$2:M$1010) +
      (B180='Scrum Teams'!N$2:N$1010) +
      (B180='Scrum Teams'!O$2:O$1010) +
      (B180='Scrum Teams'!P$2:P$1010) +
      (B180='Scrum Teams'!Q$2:Q$1010),
    0)
  ),
  "Not found"
)</f>
        <v>Honda DX</v>
      </c>
      <c r="P180" s="194" t="s">
        <v>591</v>
      </c>
      <c r="Q180" s="37" t="s">
        <v>592</v>
      </c>
    </row>
    <row r="181" spans="1:17" hidden="1">
      <c r="A181" s="3" t="s">
        <v>35</v>
      </c>
      <c r="B181" s="22" t="s">
        <v>603</v>
      </c>
      <c r="C181" s="3" t="s">
        <v>575</v>
      </c>
      <c r="D181" s="3"/>
      <c r="E181" s="3" t="s">
        <v>34</v>
      </c>
      <c r="F181" s="3"/>
      <c r="G181" s="3" t="s">
        <v>30</v>
      </c>
      <c r="H181" s="291" t="s">
        <v>584</v>
      </c>
      <c r="I181" s="291" t="s">
        <v>585</v>
      </c>
      <c r="J181" s="290"/>
      <c r="K181" s="291" t="s">
        <v>595</v>
      </c>
      <c r="L181" s="291" t="s">
        <v>595</v>
      </c>
      <c r="M181" s="291" t="s">
        <v>30</v>
      </c>
      <c r="N181" s="3" t="s">
        <v>576</v>
      </c>
      <c r="O181" s="137" t="str" cm="1">
        <f t="array" ref="O181">IFERROR(
  INDEX('Scrum Teams'!B$2:B$1010,
    MATCH(1,
      (B181='Scrum Teams'!F$2:F$1010) +
      (B181='Scrum Teams'!G$2:G$1010) +
      (B181='Scrum Teams'!H$2:H$1010) +
      (B181='Scrum Teams'!I$2:I$1010) +
      (B181='Scrum Teams'!J$2:J$1010) +
      (B181='Scrum Teams'!K$2:K$1010) +
      (B181='Scrum Teams'!L$2:L$1010) +
      (B181='Scrum Teams'!M$2:M$1010) +
      (B181='Scrum Teams'!N$2:N$1010) +
      (B181='Scrum Teams'!O$2:O$1010) +
      (B181='Scrum Teams'!P$2:P$1010) +
      (B181='Scrum Teams'!Q$2:Q$1010),
    0)
  ),
  "Not found"
)</f>
        <v>Honda DX</v>
      </c>
      <c r="P181" s="194" t="s">
        <v>591</v>
      </c>
      <c r="Q181" s="37" t="s">
        <v>592</v>
      </c>
    </row>
    <row r="182" spans="1:17" hidden="1">
      <c r="A182" s="3" t="s">
        <v>35</v>
      </c>
      <c r="B182" s="22" t="s">
        <v>604</v>
      </c>
      <c r="C182" s="3" t="s">
        <v>575</v>
      </c>
      <c r="D182" s="3"/>
      <c r="E182" s="3" t="s">
        <v>34</v>
      </c>
      <c r="F182" s="3"/>
      <c r="G182" s="3" t="s">
        <v>30</v>
      </c>
      <c r="H182" s="291" t="s">
        <v>584</v>
      </c>
      <c r="I182" s="291" t="s">
        <v>585</v>
      </c>
      <c r="J182" s="290"/>
      <c r="K182" s="291" t="s">
        <v>595</v>
      </c>
      <c r="L182" s="291" t="s">
        <v>595</v>
      </c>
      <c r="M182" s="291" t="s">
        <v>30</v>
      </c>
      <c r="N182" s="3" t="s">
        <v>576</v>
      </c>
      <c r="O182" s="137" t="str" cm="1">
        <f t="array" ref="O182">IFERROR(
  INDEX('Scrum Teams'!B$2:B$1010,
    MATCH(1,
      (B182='Scrum Teams'!F$2:F$1010) +
      (B182='Scrum Teams'!G$2:G$1010) +
      (B182='Scrum Teams'!H$2:H$1010) +
      (B182='Scrum Teams'!I$2:I$1010) +
      (B182='Scrum Teams'!J$2:J$1010) +
      (B182='Scrum Teams'!K$2:K$1010) +
      (B182='Scrum Teams'!L$2:L$1010) +
      (B182='Scrum Teams'!M$2:M$1010) +
      (B182='Scrum Teams'!N$2:N$1010) +
      (B182='Scrum Teams'!O$2:O$1010) +
      (B182='Scrum Teams'!P$2:P$1010) +
      (B182='Scrum Teams'!Q$2:Q$1010),
    0)
  ),
  "Not found"
)</f>
        <v>Honda DX</v>
      </c>
      <c r="P182" s="194" t="s">
        <v>591</v>
      </c>
      <c r="Q182" s="37" t="s">
        <v>592</v>
      </c>
    </row>
    <row r="183" spans="1:17" hidden="1">
      <c r="A183" s="3" t="s">
        <v>35</v>
      </c>
      <c r="B183" s="22" t="s">
        <v>605</v>
      </c>
      <c r="C183" s="3" t="s">
        <v>575</v>
      </c>
      <c r="D183" s="3"/>
      <c r="E183" s="3" t="s">
        <v>34</v>
      </c>
      <c r="F183" s="3"/>
      <c r="G183" s="3" t="s">
        <v>30</v>
      </c>
      <c r="H183" s="291" t="s">
        <v>584</v>
      </c>
      <c r="I183" s="291" t="s">
        <v>585</v>
      </c>
      <c r="J183" s="290"/>
      <c r="K183" s="291" t="s">
        <v>595</v>
      </c>
      <c r="L183" s="291" t="s">
        <v>595</v>
      </c>
      <c r="M183" s="291" t="s">
        <v>30</v>
      </c>
      <c r="N183" s="3" t="s">
        <v>576</v>
      </c>
      <c r="O183" s="137" t="str" cm="1">
        <f t="array" ref="O183">IFERROR(
  INDEX('Scrum Teams'!B$2:B$1010,
    MATCH(1,
      (B183='Scrum Teams'!F$2:F$1010) +
      (B183='Scrum Teams'!G$2:G$1010) +
      (B183='Scrum Teams'!H$2:H$1010) +
      (B183='Scrum Teams'!I$2:I$1010) +
      (B183='Scrum Teams'!J$2:J$1010) +
      (B183='Scrum Teams'!K$2:K$1010) +
      (B183='Scrum Teams'!L$2:L$1010) +
      (B183='Scrum Teams'!M$2:M$1010) +
      (B183='Scrum Teams'!N$2:N$1010) +
      (B183='Scrum Teams'!O$2:O$1010) +
      (B183='Scrum Teams'!P$2:P$1010) +
      (B183='Scrum Teams'!Q$2:Q$1010),
    0)
  ),
  "Not found"
)</f>
        <v>Honda DX</v>
      </c>
      <c r="P183" s="194" t="s">
        <v>591</v>
      </c>
      <c r="Q183" s="37" t="s">
        <v>592</v>
      </c>
    </row>
    <row r="184" spans="1:17" hidden="1">
      <c r="A184" s="41" t="s">
        <v>35</v>
      </c>
      <c r="B184" s="47" t="s">
        <v>606</v>
      </c>
      <c r="C184" s="41" t="s">
        <v>575</v>
      </c>
      <c r="D184" s="41"/>
      <c r="E184" s="3" t="s">
        <v>34</v>
      </c>
      <c r="F184" s="3"/>
      <c r="G184" s="3" t="s">
        <v>30</v>
      </c>
      <c r="H184" s="291" t="s">
        <v>584</v>
      </c>
      <c r="I184" s="293" t="s">
        <v>585</v>
      </c>
      <c r="J184" s="290"/>
      <c r="K184" s="291" t="s">
        <v>595</v>
      </c>
      <c r="L184" s="291" t="s">
        <v>595</v>
      </c>
      <c r="M184" s="291" t="s">
        <v>30</v>
      </c>
      <c r="N184" s="41" t="s">
        <v>576</v>
      </c>
      <c r="O184" s="137" t="str" cm="1">
        <f t="array" ref="O184">IFERROR(
  INDEX('Scrum Teams'!B$2:B$1010,
    MATCH(1,
      (B184='Scrum Teams'!F$2:F$1010) +
      (B184='Scrum Teams'!G$2:G$1010) +
      (B184='Scrum Teams'!H$2:H$1010) +
      (B184='Scrum Teams'!I$2:I$1010) +
      (B184='Scrum Teams'!J$2:J$1010) +
      (B184='Scrum Teams'!K$2:K$1010) +
      (B184='Scrum Teams'!L$2:L$1010) +
      (B184='Scrum Teams'!M$2:M$1010) +
      (B184='Scrum Teams'!N$2:N$1010) +
      (B184='Scrum Teams'!O$2:O$1010) +
      (B184='Scrum Teams'!P$2:P$1010) +
      (B184='Scrum Teams'!Q$2:Q$1010),
    0)
  ),
  "Not found"
)</f>
        <v>Honda DX</v>
      </c>
      <c r="P184" s="194" t="s">
        <v>591</v>
      </c>
      <c r="Q184" s="37" t="s">
        <v>592</v>
      </c>
    </row>
    <row r="185" spans="1:17" hidden="1">
      <c r="A185" s="3" t="s">
        <v>35</v>
      </c>
      <c r="B185" s="22" t="s">
        <v>607</v>
      </c>
      <c r="C185" s="3" t="s">
        <v>575</v>
      </c>
      <c r="D185" s="3"/>
      <c r="E185" s="3" t="s">
        <v>34</v>
      </c>
      <c r="F185" s="3"/>
      <c r="G185" s="3" t="s">
        <v>30</v>
      </c>
      <c r="H185" s="291" t="s">
        <v>584</v>
      </c>
      <c r="I185" s="291" t="s">
        <v>585</v>
      </c>
      <c r="J185" s="290"/>
      <c r="K185" s="291" t="s">
        <v>595</v>
      </c>
      <c r="L185" s="291" t="s">
        <v>595</v>
      </c>
      <c r="M185" s="291" t="s">
        <v>30</v>
      </c>
      <c r="N185" s="3" t="s">
        <v>576</v>
      </c>
      <c r="O185" s="137" t="str" cm="1">
        <f t="array" ref="O185">IFERROR(
  INDEX('Scrum Teams'!B$2:B$1010,
    MATCH(1,
      (B185='Scrum Teams'!F$2:F$1010) +
      (B185='Scrum Teams'!G$2:G$1010) +
      (B185='Scrum Teams'!H$2:H$1010) +
      (B185='Scrum Teams'!I$2:I$1010) +
      (B185='Scrum Teams'!J$2:J$1010) +
      (B185='Scrum Teams'!K$2:K$1010) +
      (B185='Scrum Teams'!L$2:L$1010) +
      (B185='Scrum Teams'!M$2:M$1010) +
      (B185='Scrum Teams'!N$2:N$1010) +
      (B185='Scrum Teams'!O$2:O$1010) +
      (B185='Scrum Teams'!P$2:P$1010) +
      (B185='Scrum Teams'!Q$2:Q$1010),
    0)
  ),
  "Not found"
)</f>
        <v>Honda DX</v>
      </c>
      <c r="P185" s="194" t="s">
        <v>591</v>
      </c>
      <c r="Q185" s="37" t="s">
        <v>592</v>
      </c>
    </row>
    <row r="186" spans="1:17" hidden="1">
      <c r="A186" s="3" t="s">
        <v>35</v>
      </c>
      <c r="B186" s="22" t="s">
        <v>608</v>
      </c>
      <c r="C186" s="3" t="s">
        <v>575</v>
      </c>
      <c r="D186" s="3"/>
      <c r="E186" s="3" t="s">
        <v>34</v>
      </c>
      <c r="F186" s="3"/>
      <c r="G186" s="3" t="s">
        <v>30</v>
      </c>
      <c r="H186" s="291" t="s">
        <v>584</v>
      </c>
      <c r="I186" s="291" t="s">
        <v>585</v>
      </c>
      <c r="J186" s="290"/>
      <c r="K186" s="291" t="s">
        <v>595</v>
      </c>
      <c r="L186" s="291" t="s">
        <v>595</v>
      </c>
      <c r="M186" s="291" t="s">
        <v>30</v>
      </c>
      <c r="N186" s="3" t="s">
        <v>576</v>
      </c>
      <c r="O186" s="137" t="str" cm="1">
        <f t="array" ref="O186">IFERROR(
  INDEX('Scrum Teams'!B$2:B$1010,
    MATCH(1,
      (B186='Scrum Teams'!F$2:F$1010) +
      (B186='Scrum Teams'!G$2:G$1010) +
      (B186='Scrum Teams'!H$2:H$1010) +
      (B186='Scrum Teams'!I$2:I$1010) +
      (B186='Scrum Teams'!J$2:J$1010) +
      (B186='Scrum Teams'!K$2:K$1010) +
      (B186='Scrum Teams'!L$2:L$1010) +
      (B186='Scrum Teams'!M$2:M$1010) +
      (B186='Scrum Teams'!N$2:N$1010) +
      (B186='Scrum Teams'!O$2:O$1010) +
      (B186='Scrum Teams'!P$2:P$1010) +
      (B186='Scrum Teams'!Q$2:Q$1010),
    0)
  ),
  "Not found"
)</f>
        <v>Honda PCX</v>
      </c>
      <c r="P186" s="194" t="s">
        <v>591</v>
      </c>
      <c r="Q186" s="37" t="s">
        <v>592</v>
      </c>
    </row>
    <row r="187" spans="1:17" hidden="1">
      <c r="A187" s="3" t="s">
        <v>37</v>
      </c>
      <c r="B187" s="22" t="s">
        <v>609</v>
      </c>
      <c r="C187" s="3" t="s">
        <v>575</v>
      </c>
      <c r="D187" s="3"/>
      <c r="E187" s="3" t="s">
        <v>34</v>
      </c>
      <c r="F187" s="3"/>
      <c r="G187" s="3" t="s">
        <v>30</v>
      </c>
      <c r="H187" s="291" t="s">
        <v>610</v>
      </c>
      <c r="I187" s="290"/>
      <c r="J187" s="290"/>
      <c r="K187" s="291" t="s">
        <v>595</v>
      </c>
      <c r="L187" s="291" t="s">
        <v>595</v>
      </c>
      <c r="M187" s="291" t="s">
        <v>30</v>
      </c>
      <c r="N187" s="3"/>
      <c r="O187" s="137" t="str" cm="1">
        <f t="array" ref="O187">IFERROR(
  INDEX('Scrum Teams'!B$2:B$1010,
    MATCH(1,
      (B187='Scrum Teams'!F$2:F$1010) +
      (B187='Scrum Teams'!G$2:G$1010) +
      (B187='Scrum Teams'!H$2:H$1010) +
      (B187='Scrum Teams'!I$2:I$1010) +
      (B187='Scrum Teams'!J$2:J$1010) +
      (B187='Scrum Teams'!K$2:K$1010) +
      (B187='Scrum Teams'!L$2:L$1010) +
      (B187='Scrum Teams'!M$2:M$1010) +
      (B187='Scrum Teams'!N$2:N$1010) +
      (B187='Scrum Teams'!O$2:O$1010) +
      (B187='Scrum Teams'!P$2:P$1010) +
      (B187='Scrum Teams'!Q$2:Q$1010),
    0)
  ),
  "Not found"
)</f>
        <v>Honda Fleet</v>
      </c>
      <c r="P187" s="195" t="s">
        <v>591</v>
      </c>
      <c r="Q187" s="37" t="s">
        <v>592</v>
      </c>
    </row>
    <row r="188" spans="1:17" hidden="1">
      <c r="A188" s="3" t="s">
        <v>37</v>
      </c>
      <c r="B188" s="22" t="s">
        <v>611</v>
      </c>
      <c r="C188" s="3" t="s">
        <v>575</v>
      </c>
      <c r="D188" s="3"/>
      <c r="E188" s="3" t="s">
        <v>34</v>
      </c>
      <c r="F188" s="3"/>
      <c r="G188" s="3" t="s">
        <v>30</v>
      </c>
      <c r="H188" s="291" t="s">
        <v>610</v>
      </c>
      <c r="I188" s="290"/>
      <c r="J188" s="290"/>
      <c r="K188" s="291" t="s">
        <v>595</v>
      </c>
      <c r="L188" s="291" t="s">
        <v>595</v>
      </c>
      <c r="M188" s="291" t="s">
        <v>30</v>
      </c>
      <c r="N188" s="3"/>
      <c r="O188" s="137" t="str" cm="1">
        <f t="array" ref="O188">IFERROR(
  INDEX('Scrum Teams'!B$2:B$1010,
    MATCH(1,
      (B188='Scrum Teams'!F$2:F$1010) +
      (B188='Scrum Teams'!G$2:G$1010) +
      (B188='Scrum Teams'!H$2:H$1010) +
      (B188='Scrum Teams'!I$2:I$1010) +
      (B188='Scrum Teams'!J$2:J$1010) +
      (B188='Scrum Teams'!K$2:K$1010) +
      (B188='Scrum Teams'!L$2:L$1010) +
      (B188='Scrum Teams'!M$2:M$1010) +
      (B188='Scrum Teams'!N$2:N$1010) +
      (B188='Scrum Teams'!O$2:O$1010) +
      (B188='Scrum Teams'!P$2:P$1010) +
      (B188='Scrum Teams'!Q$2:Q$1010),
    0)
  ),
  "Not found"
)</f>
        <v>Honda Fleet</v>
      </c>
      <c r="P188" s="195" t="s">
        <v>591</v>
      </c>
      <c r="Q188" s="37" t="s">
        <v>592</v>
      </c>
    </row>
    <row r="189" spans="1:17" hidden="1">
      <c r="A189" s="3" t="s">
        <v>37</v>
      </c>
      <c r="B189" s="22" t="s">
        <v>612</v>
      </c>
      <c r="C189" s="3" t="s">
        <v>575</v>
      </c>
      <c r="D189" s="3"/>
      <c r="E189" s="3" t="s">
        <v>34</v>
      </c>
      <c r="F189" s="3"/>
      <c r="G189" s="3" t="s">
        <v>30</v>
      </c>
      <c r="H189" s="291" t="s">
        <v>610</v>
      </c>
      <c r="I189" s="290"/>
      <c r="J189" s="290"/>
      <c r="K189" s="291" t="s">
        <v>595</v>
      </c>
      <c r="L189" s="291" t="s">
        <v>595</v>
      </c>
      <c r="M189" s="291" t="s">
        <v>30</v>
      </c>
      <c r="N189" s="3"/>
      <c r="O189" s="137" t="str" cm="1">
        <f t="array" ref="O189">IFERROR(
  INDEX('Scrum Teams'!B$2:B$1010,
    MATCH(1,
      (B189='Scrum Teams'!F$2:F$1010) +
      (B189='Scrum Teams'!G$2:G$1010) +
      (B189='Scrum Teams'!H$2:H$1010) +
      (B189='Scrum Teams'!I$2:I$1010) +
      (B189='Scrum Teams'!J$2:J$1010) +
      (B189='Scrum Teams'!K$2:K$1010) +
      (B189='Scrum Teams'!L$2:L$1010) +
      (B189='Scrum Teams'!M$2:M$1010) +
      (B189='Scrum Teams'!N$2:N$1010) +
      (B189='Scrum Teams'!O$2:O$1010) +
      (B189='Scrum Teams'!P$2:P$1010) +
      (B189='Scrum Teams'!Q$2:Q$1010),
    0)
  ),
  "Not found"
)</f>
        <v>Honda Fleet</v>
      </c>
      <c r="P189" s="195" t="s">
        <v>591</v>
      </c>
      <c r="Q189" s="37" t="s">
        <v>592</v>
      </c>
    </row>
    <row r="190" spans="1:17" hidden="1">
      <c r="A190" s="3" t="s">
        <v>37</v>
      </c>
      <c r="B190" s="22" t="s">
        <v>613</v>
      </c>
      <c r="C190" s="3" t="s">
        <v>575</v>
      </c>
      <c r="D190" s="3"/>
      <c r="E190" s="3" t="s">
        <v>34</v>
      </c>
      <c r="F190" s="3"/>
      <c r="G190" s="3" t="s">
        <v>30</v>
      </c>
      <c r="H190" s="291" t="s">
        <v>610</v>
      </c>
      <c r="I190" s="290"/>
      <c r="J190" s="290"/>
      <c r="K190" s="291" t="s">
        <v>595</v>
      </c>
      <c r="L190" s="291" t="s">
        <v>595</v>
      </c>
      <c r="M190" s="291" t="s">
        <v>30</v>
      </c>
      <c r="N190" s="3"/>
      <c r="O190" s="137" t="str" cm="1">
        <f t="array" ref="O190">IFERROR(
  INDEX('Scrum Teams'!B$2:B$1010,
    MATCH(1,
      (B190='Scrum Teams'!F$2:F$1010) +
      (B190='Scrum Teams'!G$2:G$1010) +
      (B190='Scrum Teams'!H$2:H$1010) +
      (B190='Scrum Teams'!I$2:I$1010) +
      (B190='Scrum Teams'!J$2:J$1010) +
      (B190='Scrum Teams'!K$2:K$1010) +
      (B190='Scrum Teams'!L$2:L$1010) +
      (B190='Scrum Teams'!M$2:M$1010) +
      (B190='Scrum Teams'!N$2:N$1010) +
      (B190='Scrum Teams'!O$2:O$1010) +
      (B190='Scrum Teams'!P$2:P$1010) +
      (B190='Scrum Teams'!Q$2:Q$1010),
    0)
  ),
  "Not found"
)</f>
        <v>Honda Fleet</v>
      </c>
      <c r="P190" s="195" t="s">
        <v>591</v>
      </c>
      <c r="Q190" s="37" t="s">
        <v>592</v>
      </c>
    </row>
    <row r="191" spans="1:17" hidden="1">
      <c r="A191" s="3" t="s">
        <v>37</v>
      </c>
      <c r="B191" s="22" t="s">
        <v>614</v>
      </c>
      <c r="C191" s="3" t="s">
        <v>575</v>
      </c>
      <c r="D191" s="3"/>
      <c r="E191" s="3" t="s">
        <v>34</v>
      </c>
      <c r="F191" s="3"/>
      <c r="G191" s="3" t="s">
        <v>30</v>
      </c>
      <c r="H191" s="291" t="s">
        <v>610</v>
      </c>
      <c r="I191" s="290"/>
      <c r="J191" s="290"/>
      <c r="K191" s="291" t="s">
        <v>595</v>
      </c>
      <c r="L191" s="291" t="s">
        <v>595</v>
      </c>
      <c r="M191" s="291" t="s">
        <v>30</v>
      </c>
      <c r="N191" s="3"/>
      <c r="O191" s="137" t="str" cm="1">
        <f t="array" ref="O191">IFERROR(
  INDEX('Scrum Teams'!B$2:B$1010,
    MATCH(1,
      (B191='Scrum Teams'!F$2:F$1010) +
      (B191='Scrum Teams'!G$2:G$1010) +
      (B191='Scrum Teams'!H$2:H$1010) +
      (B191='Scrum Teams'!I$2:I$1010) +
      (B191='Scrum Teams'!J$2:J$1010) +
      (B191='Scrum Teams'!K$2:K$1010) +
      (B191='Scrum Teams'!L$2:L$1010) +
      (B191='Scrum Teams'!M$2:M$1010) +
      (B191='Scrum Teams'!N$2:N$1010) +
      (B191='Scrum Teams'!O$2:O$1010) +
      (B191='Scrum Teams'!P$2:P$1010) +
      (B191='Scrum Teams'!Q$2:Q$1010),
    0)
  ),
  "Not found"
)</f>
        <v>Honda Fleet</v>
      </c>
      <c r="P191" s="195" t="s">
        <v>591</v>
      </c>
      <c r="Q191" s="37" t="s">
        <v>592</v>
      </c>
    </row>
    <row r="192" spans="1:17" hidden="1">
      <c r="A192" s="3" t="s">
        <v>37</v>
      </c>
      <c r="B192" s="22" t="s">
        <v>615</v>
      </c>
      <c r="C192" s="3" t="s">
        <v>575</v>
      </c>
      <c r="D192" s="3"/>
      <c r="E192" s="3" t="s">
        <v>34</v>
      </c>
      <c r="F192" s="3"/>
      <c r="G192" s="3" t="s">
        <v>30</v>
      </c>
      <c r="H192" s="291" t="s">
        <v>610</v>
      </c>
      <c r="I192" s="290"/>
      <c r="J192" s="290"/>
      <c r="K192" s="291" t="s">
        <v>595</v>
      </c>
      <c r="L192" s="291" t="s">
        <v>595</v>
      </c>
      <c r="M192" s="291" t="s">
        <v>30</v>
      </c>
      <c r="N192" s="3"/>
      <c r="O192" s="137" t="str" cm="1">
        <f t="array" ref="O192">IFERROR(
  INDEX('Scrum Teams'!B$2:B$1010,
    MATCH(1,
      (B192='Scrum Teams'!F$2:F$1010) +
      (B192='Scrum Teams'!G$2:G$1010) +
      (B192='Scrum Teams'!H$2:H$1010) +
      (B192='Scrum Teams'!I$2:I$1010) +
      (B192='Scrum Teams'!J$2:J$1010) +
      (B192='Scrum Teams'!K$2:K$1010) +
      (B192='Scrum Teams'!L$2:L$1010) +
      (B192='Scrum Teams'!M$2:M$1010) +
      (B192='Scrum Teams'!N$2:N$1010) +
      (B192='Scrum Teams'!O$2:O$1010) +
      (B192='Scrum Teams'!P$2:P$1010) +
      (B192='Scrum Teams'!Q$2:Q$1010),
    0)
  ),
  "Not found"
)</f>
        <v>Honda Fleet</v>
      </c>
      <c r="P192" s="195" t="s">
        <v>591</v>
      </c>
      <c r="Q192" s="37" t="s">
        <v>592</v>
      </c>
    </row>
    <row r="193" spans="1:18" hidden="1">
      <c r="A193" s="3" t="s">
        <v>37</v>
      </c>
      <c r="B193" s="22" t="s">
        <v>616</v>
      </c>
      <c r="C193" s="3" t="s">
        <v>575</v>
      </c>
      <c r="D193" s="3"/>
      <c r="E193" s="3" t="s">
        <v>34</v>
      </c>
      <c r="F193" s="3"/>
      <c r="G193" s="3" t="s">
        <v>30</v>
      </c>
      <c r="H193" s="291" t="s">
        <v>610</v>
      </c>
      <c r="I193" s="290"/>
      <c r="J193" s="290"/>
      <c r="K193" s="291" t="s">
        <v>595</v>
      </c>
      <c r="L193" s="291" t="s">
        <v>595</v>
      </c>
      <c r="M193" s="291" t="s">
        <v>30</v>
      </c>
      <c r="N193" s="3"/>
      <c r="O193" s="137" t="str" cm="1">
        <f t="array" ref="O193">IFERROR(
  INDEX('Scrum Teams'!B$2:B$1010,
    MATCH(1,
      (B193='Scrum Teams'!F$2:F$1010) +
      (B193='Scrum Teams'!G$2:G$1010) +
      (B193='Scrum Teams'!H$2:H$1010) +
      (B193='Scrum Teams'!I$2:I$1010) +
      (B193='Scrum Teams'!J$2:J$1010) +
      (B193='Scrum Teams'!K$2:K$1010) +
      (B193='Scrum Teams'!L$2:L$1010) +
      (B193='Scrum Teams'!M$2:M$1010) +
      (B193='Scrum Teams'!N$2:N$1010) +
      (B193='Scrum Teams'!O$2:O$1010) +
      (B193='Scrum Teams'!P$2:P$1010) +
      (B193='Scrum Teams'!Q$2:Q$1010),
    0)
  ),
  "Not found"
)</f>
        <v>Honda Fleet</v>
      </c>
      <c r="P193" s="195" t="s">
        <v>591</v>
      </c>
      <c r="Q193" s="37" t="s">
        <v>592</v>
      </c>
    </row>
    <row r="194" spans="1:18" hidden="1">
      <c r="A194" s="3" t="s">
        <v>37</v>
      </c>
      <c r="B194" s="22" t="s">
        <v>617</v>
      </c>
      <c r="C194" s="3" t="s">
        <v>575</v>
      </c>
      <c r="D194" s="3"/>
      <c r="E194" s="3" t="s">
        <v>34</v>
      </c>
      <c r="F194" s="3"/>
      <c r="G194" s="3" t="s">
        <v>30</v>
      </c>
      <c r="H194" s="291" t="s">
        <v>610</v>
      </c>
      <c r="I194" s="290"/>
      <c r="J194" s="290"/>
      <c r="K194" s="291" t="s">
        <v>595</v>
      </c>
      <c r="L194" s="291" t="s">
        <v>595</v>
      </c>
      <c r="M194" s="291" t="s">
        <v>30</v>
      </c>
      <c r="N194" s="3"/>
      <c r="O194" s="137" t="str" cm="1">
        <f t="array" ref="O194">IFERROR(
  INDEX('Scrum Teams'!B$2:B$1010,
    MATCH(1,
      (B194='Scrum Teams'!F$2:F$1010) +
      (B194='Scrum Teams'!G$2:G$1010) +
      (B194='Scrum Teams'!H$2:H$1010) +
      (B194='Scrum Teams'!I$2:I$1010) +
      (B194='Scrum Teams'!J$2:J$1010) +
      (B194='Scrum Teams'!K$2:K$1010) +
      (B194='Scrum Teams'!L$2:L$1010) +
      (B194='Scrum Teams'!M$2:M$1010) +
      (B194='Scrum Teams'!N$2:N$1010) +
      (B194='Scrum Teams'!O$2:O$1010) +
      (B194='Scrum Teams'!P$2:P$1010) +
      (B194='Scrum Teams'!Q$2:Q$1010),
    0)
  ),
  "Not found"
)</f>
        <v>Honda Fleet</v>
      </c>
      <c r="P194" s="195" t="s">
        <v>591</v>
      </c>
      <c r="Q194" s="37" t="s">
        <v>592</v>
      </c>
    </row>
    <row r="195" spans="1:18" hidden="1">
      <c r="A195" s="3" t="s">
        <v>37</v>
      </c>
      <c r="B195" s="22" t="s">
        <v>618</v>
      </c>
      <c r="C195" s="3" t="s">
        <v>575</v>
      </c>
      <c r="D195" s="3"/>
      <c r="E195" s="3" t="s">
        <v>34</v>
      </c>
      <c r="F195" s="3"/>
      <c r="G195" s="3" t="s">
        <v>30</v>
      </c>
      <c r="H195" s="291" t="s">
        <v>610</v>
      </c>
      <c r="I195" s="290"/>
      <c r="J195" s="290"/>
      <c r="K195" s="291" t="s">
        <v>595</v>
      </c>
      <c r="L195" s="291" t="s">
        <v>595</v>
      </c>
      <c r="M195" s="291" t="s">
        <v>30</v>
      </c>
      <c r="N195" s="3"/>
      <c r="O195" s="137" t="str" cm="1">
        <f t="array" ref="O195">IFERROR(
  INDEX('Scrum Teams'!B$2:B$1010,
    MATCH(1,
      (B195='Scrum Teams'!F$2:F$1010) +
      (B195='Scrum Teams'!G$2:G$1010) +
      (B195='Scrum Teams'!H$2:H$1010) +
      (B195='Scrum Teams'!I$2:I$1010) +
      (B195='Scrum Teams'!J$2:J$1010) +
      (B195='Scrum Teams'!K$2:K$1010) +
      (B195='Scrum Teams'!L$2:L$1010) +
      (B195='Scrum Teams'!M$2:M$1010) +
      (B195='Scrum Teams'!N$2:N$1010) +
      (B195='Scrum Teams'!O$2:O$1010) +
      (B195='Scrum Teams'!P$2:P$1010) +
      (B195='Scrum Teams'!Q$2:Q$1010),
    0)
  ),
  "Not found"
)</f>
        <v>Honda Fleet</v>
      </c>
      <c r="P195" s="195" t="s">
        <v>591</v>
      </c>
      <c r="Q195" s="37" t="s">
        <v>592</v>
      </c>
    </row>
    <row r="196" spans="1:18" hidden="1">
      <c r="A196" s="3" t="s">
        <v>37</v>
      </c>
      <c r="B196" s="22" t="s">
        <v>619</v>
      </c>
      <c r="C196" s="3" t="s">
        <v>575</v>
      </c>
      <c r="D196" s="3"/>
      <c r="E196" s="3" t="s">
        <v>34</v>
      </c>
      <c r="F196" s="3"/>
      <c r="G196" s="3" t="s">
        <v>30</v>
      </c>
      <c r="H196" s="291" t="s">
        <v>610</v>
      </c>
      <c r="I196" s="290"/>
      <c r="J196" s="290"/>
      <c r="K196" s="291" t="s">
        <v>595</v>
      </c>
      <c r="L196" s="291" t="s">
        <v>595</v>
      </c>
      <c r="M196" s="291" t="s">
        <v>30</v>
      </c>
      <c r="N196" s="3"/>
      <c r="O196" s="137" t="str" cm="1">
        <f t="array" ref="O196">IFERROR(
  INDEX('Scrum Teams'!B$2:B$1010,
    MATCH(1,
      (B196='Scrum Teams'!F$2:F$1010) +
      (B196='Scrum Teams'!G$2:G$1010) +
      (B196='Scrum Teams'!H$2:H$1010) +
      (B196='Scrum Teams'!I$2:I$1010) +
      (B196='Scrum Teams'!J$2:J$1010) +
      (B196='Scrum Teams'!K$2:K$1010) +
      (B196='Scrum Teams'!L$2:L$1010) +
      (B196='Scrum Teams'!M$2:M$1010) +
      (B196='Scrum Teams'!N$2:N$1010) +
      (B196='Scrum Teams'!O$2:O$1010) +
      (B196='Scrum Teams'!P$2:P$1010) +
      (B196='Scrum Teams'!Q$2:Q$1010),
    0)
  ),
  "Not found"
)</f>
        <v>Honda Fleet</v>
      </c>
      <c r="P196" s="195" t="s">
        <v>591</v>
      </c>
      <c r="Q196" s="37" t="s">
        <v>592</v>
      </c>
    </row>
    <row r="197" spans="1:18" hidden="1">
      <c r="A197" s="3" t="s">
        <v>15</v>
      </c>
      <c r="B197" s="22" t="s">
        <v>620</v>
      </c>
      <c r="C197" s="3" t="s">
        <v>621</v>
      </c>
      <c r="D197" s="3" t="s">
        <v>551</v>
      </c>
      <c r="E197" s="3" t="s">
        <v>14</v>
      </c>
      <c r="F197" s="3" t="s">
        <v>168</v>
      </c>
      <c r="G197" s="3" t="s">
        <v>9</v>
      </c>
      <c r="H197" s="251" t="s">
        <v>622</v>
      </c>
      <c r="I197" s="252"/>
      <c r="J197" s="252"/>
      <c r="K197" s="252" t="s">
        <v>272</v>
      </c>
      <c r="L197" s="252"/>
      <c r="M197" s="252" t="s">
        <v>250</v>
      </c>
      <c r="N197" s="3"/>
      <c r="O197" s="137" t="str" cm="1">
        <f t="array" ref="O197">IFERROR(
  INDEX('Scrum Teams'!B$2:B$1010,
    MATCH(1,
      (B197='Scrum Teams'!F$2:F$1010) +
      (B197='Scrum Teams'!G$2:G$1010) +
      (B197='Scrum Teams'!H$2:H$1010) +
      (B197='Scrum Teams'!I$2:I$1010) +
      (B197='Scrum Teams'!J$2:J$1010) +
      (B197='Scrum Teams'!K$2:K$1010) +
      (B197='Scrum Teams'!L$2:L$1010) +
      (B197='Scrum Teams'!M$2:M$1010) +
      (B197='Scrum Teams'!N$2:N$1010) +
      (B197='Scrum Teams'!O$2:O$1010) +
      (B197='Scrum Teams'!P$2:P$1010) +
      (B197='Scrum Teams'!Q$2:Q$1010),
    0)
  ),
  "Not found"
)</f>
        <v>Setup_Mgt</v>
      </c>
      <c r="P197" s="194" t="s">
        <v>623</v>
      </c>
      <c r="Q197" s="37" t="s">
        <v>275</v>
      </c>
      <c r="R197" t="s">
        <v>624</v>
      </c>
    </row>
    <row r="198" spans="1:18" hidden="1">
      <c r="A198" s="3" t="s">
        <v>15</v>
      </c>
      <c r="B198" s="22" t="s">
        <v>625</v>
      </c>
      <c r="C198" s="3" t="s">
        <v>621</v>
      </c>
      <c r="D198" s="3" t="s">
        <v>551</v>
      </c>
      <c r="E198" s="3" t="s">
        <v>14</v>
      </c>
      <c r="F198" s="3" t="s">
        <v>168</v>
      </c>
      <c r="G198" s="3" t="s">
        <v>9</v>
      </c>
      <c r="H198" s="249" t="s">
        <v>622</v>
      </c>
      <c r="I198" s="252"/>
      <c r="J198" s="252"/>
      <c r="K198" s="295" t="s">
        <v>272</v>
      </c>
      <c r="L198" s="252"/>
      <c r="M198" s="295" t="s">
        <v>250</v>
      </c>
      <c r="N198" s="3"/>
      <c r="O198" s="137" t="str" cm="1">
        <f t="array" ref="O198">IFERROR(
  INDEX('Scrum Teams'!B$2:B$1010,
    MATCH(1,
      (B198='Scrum Teams'!F$2:F$1010) +
      (B198='Scrum Teams'!G$2:G$1010) +
      (B198='Scrum Teams'!H$2:H$1010) +
      (B198='Scrum Teams'!I$2:I$1010) +
      (B198='Scrum Teams'!J$2:J$1010) +
      (B198='Scrum Teams'!K$2:K$1010) +
      (B198='Scrum Teams'!L$2:L$1010) +
      (B198='Scrum Teams'!M$2:M$1010) +
      (B198='Scrum Teams'!N$2:N$1010) +
      (B198='Scrum Teams'!O$2:O$1010) +
      (B198='Scrum Teams'!P$2:P$1010) +
      (B198='Scrum Teams'!Q$2:Q$1010),
    0)
  ),
  "Not found"
)</f>
        <v>Setup_Adoption</v>
      </c>
      <c r="P198" s="194" t="s">
        <v>623</v>
      </c>
      <c r="Q198" s="37" t="s">
        <v>275</v>
      </c>
      <c r="R198" t="s">
        <v>626</v>
      </c>
    </row>
    <row r="199" spans="1:18" hidden="1">
      <c r="A199" s="3" t="s">
        <v>15</v>
      </c>
      <c r="B199" s="22" t="s">
        <v>627</v>
      </c>
      <c r="C199" s="3" t="s">
        <v>628</v>
      </c>
      <c r="D199" s="3"/>
      <c r="E199" s="3" t="s">
        <v>14</v>
      </c>
      <c r="F199" s="3" t="s">
        <v>168</v>
      </c>
      <c r="G199" s="3" t="s">
        <v>9</v>
      </c>
      <c r="H199" s="249" t="s">
        <v>622</v>
      </c>
      <c r="I199" s="252"/>
      <c r="J199" s="252"/>
      <c r="K199" s="295" t="s">
        <v>272</v>
      </c>
      <c r="L199" s="252"/>
      <c r="M199" s="295" t="s">
        <v>250</v>
      </c>
      <c r="N199" s="3"/>
      <c r="O199" s="137" t="str" cm="1">
        <f t="array" ref="O199">IFERROR(
  INDEX('Scrum Teams'!B$2:B$1010,
    MATCH(1,
      (B199='Scrum Teams'!F$2:F$1010) +
      (B199='Scrum Teams'!G$2:G$1010) +
      (B199='Scrum Teams'!H$2:H$1010) +
      (B199='Scrum Teams'!I$2:I$1010) +
      (B199='Scrum Teams'!J$2:J$1010) +
      (B199='Scrum Teams'!K$2:K$1010) +
      (B199='Scrum Teams'!L$2:L$1010) +
      (B199='Scrum Teams'!M$2:M$1010) +
      (B199='Scrum Teams'!N$2:N$1010) +
      (B199='Scrum Teams'!O$2:O$1010) +
      (B199='Scrum Teams'!P$2:P$1010) +
      (B199='Scrum Teams'!Q$2:Q$1010),
    0)
  ),
  "Not found"
)</f>
        <v>Launch_Center</v>
      </c>
      <c r="P199" s="194" t="s">
        <v>623</v>
      </c>
      <c r="Q199" s="37" t="s">
        <v>275</v>
      </c>
    </row>
    <row r="200" spans="1:18" hidden="1">
      <c r="A200" s="3" t="s">
        <v>15</v>
      </c>
      <c r="B200" s="22" t="s">
        <v>629</v>
      </c>
      <c r="C200" s="3" t="s">
        <v>628</v>
      </c>
      <c r="D200" s="3"/>
      <c r="E200" s="3" t="s">
        <v>14</v>
      </c>
      <c r="F200" s="3" t="s">
        <v>168</v>
      </c>
      <c r="G200" s="3" t="s">
        <v>9</v>
      </c>
      <c r="H200" s="256" t="s">
        <v>296</v>
      </c>
      <c r="I200" s="256" t="s">
        <v>296</v>
      </c>
      <c r="J200" s="249" t="s">
        <v>296</v>
      </c>
      <c r="K200" s="249" t="s">
        <v>296</v>
      </c>
      <c r="L200" s="249" t="s">
        <v>296</v>
      </c>
      <c r="M200" s="249" t="s">
        <v>296</v>
      </c>
      <c r="N200" s="3"/>
      <c r="O200" s="137" t="str" cm="1">
        <f t="array" ref="O200">IFERROR(
  INDEX('Scrum Teams'!B$2:B$1010,
    MATCH(1,
      (B200='Scrum Teams'!F$2:F$1010) +
      (B200='Scrum Teams'!G$2:G$1010) +
      (B200='Scrum Teams'!H$2:H$1010) +
      (B200='Scrum Teams'!I$2:I$1010) +
      (B200='Scrum Teams'!J$2:J$1010) +
      (B200='Scrum Teams'!K$2:K$1010) +
      (B200='Scrum Teams'!L$2:L$1010) +
      (B200='Scrum Teams'!M$2:M$1010) +
      (B200='Scrum Teams'!N$2:N$1010) +
      (B200='Scrum Teams'!O$2:O$1010) +
      (B200='Scrum Teams'!P$2:P$1010) +
      (B200='Scrum Teams'!Q$2:Q$1010),
    0)
  ),
  "Not found"
)</f>
        <v>MAutomation</v>
      </c>
      <c r="P200" s="194" t="s">
        <v>623</v>
      </c>
      <c r="Q200" s="37" t="s">
        <v>275</v>
      </c>
    </row>
    <row r="201" spans="1:18" hidden="1">
      <c r="A201" s="3" t="s">
        <v>15</v>
      </c>
      <c r="B201" s="22" t="s">
        <v>630</v>
      </c>
      <c r="C201" s="3" t="s">
        <v>628</v>
      </c>
      <c r="D201" s="3"/>
      <c r="E201" s="3" t="s">
        <v>14</v>
      </c>
      <c r="F201" s="3" t="s">
        <v>168</v>
      </c>
      <c r="G201" s="248" t="s">
        <v>9</v>
      </c>
      <c r="H201" s="257" t="s">
        <v>296</v>
      </c>
      <c r="I201" s="257" t="s">
        <v>296</v>
      </c>
      <c r="J201" s="249" t="s">
        <v>296</v>
      </c>
      <c r="K201" s="249" t="s">
        <v>296</v>
      </c>
      <c r="L201" s="249" t="s">
        <v>296</v>
      </c>
      <c r="M201" s="249" t="s">
        <v>296</v>
      </c>
      <c r="N201" s="3"/>
      <c r="O201" s="137" t="str" cm="1">
        <f t="array" ref="O201">IFERROR(
  INDEX('Scrum Teams'!B$2:B$1010,
    MATCH(1,
      (B201='Scrum Teams'!F$2:F$1010) +
      (B201='Scrum Teams'!G$2:G$1010) +
      (B201='Scrum Teams'!H$2:H$1010) +
      (B201='Scrum Teams'!I$2:I$1010) +
      (B201='Scrum Teams'!J$2:J$1010) +
      (B201='Scrum Teams'!K$2:K$1010) +
      (B201='Scrum Teams'!L$2:L$1010) +
      (B201='Scrum Teams'!M$2:M$1010) +
      (B201='Scrum Teams'!N$2:N$1010) +
      (B201='Scrum Teams'!O$2:O$1010) +
      (B201='Scrum Teams'!P$2:P$1010) +
      (B201='Scrum Teams'!Q$2:Q$1010),
    0)
  ),
  "Not found"
)</f>
        <v>CAutomation</v>
      </c>
      <c r="P201" s="194" t="s">
        <v>623</v>
      </c>
      <c r="Q201" s="37" t="s">
        <v>275</v>
      </c>
    </row>
    <row r="202" spans="1:18" hidden="1">
      <c r="A202" s="3" t="s">
        <v>15</v>
      </c>
      <c r="B202" s="22" t="s">
        <v>631</v>
      </c>
      <c r="C202" s="3" t="s">
        <v>628</v>
      </c>
      <c r="D202" s="3"/>
      <c r="E202" s="3" t="s">
        <v>14</v>
      </c>
      <c r="F202" s="3" t="s">
        <v>168</v>
      </c>
      <c r="G202" s="248" t="s">
        <v>9</v>
      </c>
      <c r="H202" s="257" t="s">
        <v>296</v>
      </c>
      <c r="I202" s="257" t="s">
        <v>296</v>
      </c>
      <c r="J202" s="249" t="s">
        <v>296</v>
      </c>
      <c r="K202" s="249" t="s">
        <v>296</v>
      </c>
      <c r="L202" s="249" t="s">
        <v>296</v>
      </c>
      <c r="M202" s="249" t="s">
        <v>296</v>
      </c>
      <c r="N202" s="3"/>
      <c r="O202" s="137" t="str" cm="1">
        <f t="array" ref="O202">IFERROR(
  INDEX('Scrum Teams'!B$2:B$1010,
    MATCH(1,
      (B202='Scrum Teams'!F$2:F$1010) +
      (B202='Scrum Teams'!G$2:G$1010) +
      (B202='Scrum Teams'!H$2:H$1010) +
      (B202='Scrum Teams'!I$2:I$1010) +
      (B202='Scrum Teams'!J$2:J$1010) +
      (B202='Scrum Teams'!K$2:K$1010) +
      (B202='Scrum Teams'!L$2:L$1010) +
      (B202='Scrum Teams'!M$2:M$1010) +
      (B202='Scrum Teams'!N$2:N$1010) +
      (B202='Scrum Teams'!O$2:O$1010) +
      (B202='Scrum Teams'!P$2:P$1010) +
      (B202='Scrum Teams'!Q$2:Q$1010),
    0)
  ),
  "Not found"
)</f>
        <v>GAutomation</v>
      </c>
      <c r="P202" s="194" t="s">
        <v>623</v>
      </c>
      <c r="Q202" s="37" t="s">
        <v>275</v>
      </c>
    </row>
    <row r="203" spans="1:18" hidden="1">
      <c r="A203" s="3" t="s">
        <v>15</v>
      </c>
      <c r="B203" s="22" t="s">
        <v>632</v>
      </c>
      <c r="C203" s="3" t="s">
        <v>551</v>
      </c>
      <c r="D203" s="3" t="s">
        <v>551</v>
      </c>
      <c r="E203" s="3" t="s">
        <v>14</v>
      </c>
      <c r="F203" s="3" t="s">
        <v>168</v>
      </c>
      <c r="G203" s="248" t="s">
        <v>9</v>
      </c>
      <c r="H203" s="258" t="s">
        <v>633</v>
      </c>
      <c r="I203" s="257"/>
      <c r="J203" s="252"/>
      <c r="K203" s="295" t="s">
        <v>272</v>
      </c>
      <c r="L203" s="252"/>
      <c r="M203" s="295" t="s">
        <v>250</v>
      </c>
      <c r="N203" s="3"/>
      <c r="O203" s="137" t="str" cm="1">
        <f t="array" ref="O203">IFERROR(
  INDEX('Scrum Teams'!B$2:B$1010,
    MATCH(1,
      (B203='Scrum Teams'!F$2:F$1010) +
      (B203='Scrum Teams'!G$2:G$1010) +
      (B203='Scrum Teams'!H$2:H$1010) +
      (B203='Scrum Teams'!I$2:I$1010) +
      (B203='Scrum Teams'!J$2:J$1010) +
      (B203='Scrum Teams'!K$2:K$1010) +
      (B203='Scrum Teams'!L$2:L$1010) +
      (B203='Scrum Teams'!M$2:M$1010) +
      (B203='Scrum Teams'!N$2:N$1010) +
      (B203='Scrum Teams'!O$2:O$1010) +
      (B203='Scrum Teams'!P$2:P$1010) +
      (B203='Scrum Teams'!Q$2:Q$1010),
    0)
  ),
  "Not found"
)</f>
        <v>PLG</v>
      </c>
      <c r="P203" s="194" t="s">
        <v>623</v>
      </c>
      <c r="Q203" s="37" t="s">
        <v>275</v>
      </c>
      <c r="R203" t="s">
        <v>634</v>
      </c>
    </row>
    <row r="204" spans="1:18" hidden="1">
      <c r="A204" s="3" t="s">
        <v>15</v>
      </c>
      <c r="B204" s="22" t="s">
        <v>635</v>
      </c>
      <c r="C204" s="3" t="s">
        <v>551</v>
      </c>
      <c r="D204" s="3" t="s">
        <v>551</v>
      </c>
      <c r="E204" s="3" t="s">
        <v>14</v>
      </c>
      <c r="F204" s="3" t="s">
        <v>168</v>
      </c>
      <c r="G204" s="248" t="s">
        <v>9</v>
      </c>
      <c r="H204" s="296" t="s">
        <v>296</v>
      </c>
      <c r="I204" s="257" t="s">
        <v>296</v>
      </c>
      <c r="J204" s="249" t="s">
        <v>296</v>
      </c>
      <c r="K204" s="249" t="s">
        <v>296</v>
      </c>
      <c r="L204" s="249" t="s">
        <v>296</v>
      </c>
      <c r="M204" s="253" t="s">
        <v>250</v>
      </c>
      <c r="N204" s="3"/>
      <c r="O204" s="137" t="str" cm="1">
        <f t="array" ref="O204">IFERROR(
  INDEX('Scrum Teams'!B$2:B$1010,
    MATCH(1,
      (B204='Scrum Teams'!F$2:F$1010) +
      (B204='Scrum Teams'!G$2:G$1010) +
      (B204='Scrum Teams'!H$2:H$1010) +
      (B204='Scrum Teams'!I$2:I$1010) +
      (B204='Scrum Teams'!J$2:J$1010) +
      (B204='Scrum Teams'!K$2:K$1010) +
      (B204='Scrum Teams'!L$2:L$1010) +
      (B204='Scrum Teams'!M$2:M$1010) +
      (B204='Scrum Teams'!N$2:N$1010) +
      (B204='Scrum Teams'!O$2:O$1010) +
      (B204='Scrum Teams'!P$2:P$1010) +
      (B204='Scrum Teams'!Q$2:Q$1010),
    0)
  ),
  "Not found"
)</f>
        <v>Schema_Curator</v>
      </c>
      <c r="P204" s="194" t="s">
        <v>623</v>
      </c>
      <c r="Q204" s="37" t="s">
        <v>275</v>
      </c>
    </row>
    <row r="205" spans="1:18" hidden="1">
      <c r="A205" s="3" t="s">
        <v>15</v>
      </c>
      <c r="B205" s="22" t="s">
        <v>636</v>
      </c>
      <c r="C205" s="3" t="s">
        <v>628</v>
      </c>
      <c r="D205" s="3"/>
      <c r="E205" s="3" t="s">
        <v>14</v>
      </c>
      <c r="F205" s="3" t="s">
        <v>168</v>
      </c>
      <c r="G205" s="248" t="s">
        <v>9</v>
      </c>
      <c r="H205" s="257" t="s">
        <v>622</v>
      </c>
      <c r="I205" s="257"/>
      <c r="J205" s="252"/>
      <c r="K205" s="295" t="s">
        <v>272</v>
      </c>
      <c r="L205" s="252"/>
      <c r="M205" s="295" t="s">
        <v>250</v>
      </c>
      <c r="N205" s="3" t="s">
        <v>637</v>
      </c>
      <c r="O205" s="137" t="str" cm="1">
        <f t="array" ref="O205">IFERROR(
  INDEX('Scrum Teams'!B$2:B$1010,
    MATCH(1,
      (B205='Scrum Teams'!F$2:F$1010) +
      (B205='Scrum Teams'!G$2:G$1010) +
      (B205='Scrum Teams'!H$2:H$1010) +
      (B205='Scrum Teams'!I$2:I$1010) +
      (B205='Scrum Teams'!J$2:J$1010) +
      (B205='Scrum Teams'!K$2:K$1010) +
      (B205='Scrum Teams'!L$2:L$1010) +
      (B205='Scrum Teams'!M$2:M$1010) +
      (B205='Scrum Teams'!N$2:N$1010) +
      (B205='Scrum Teams'!O$2:O$1010) +
      (B205='Scrum Teams'!P$2:P$1010) +
      (B205='Scrum Teams'!Q$2:Q$1010),
    0)
  ),
  "Not found"
)</f>
        <v>TAO</v>
      </c>
      <c r="P205" s="194" t="s">
        <v>623</v>
      </c>
      <c r="Q205" s="37" t="s">
        <v>275</v>
      </c>
    </row>
    <row r="206" spans="1:18" hidden="1">
      <c r="A206" s="3" t="s">
        <v>84</v>
      </c>
      <c r="B206" s="22" t="s">
        <v>638</v>
      </c>
      <c r="C206" s="3" t="s">
        <v>639</v>
      </c>
      <c r="D206" s="3"/>
      <c r="E206" s="3" t="s">
        <v>83</v>
      </c>
      <c r="F206" s="3"/>
      <c r="G206" s="3" t="s">
        <v>79</v>
      </c>
      <c r="H206" s="294" t="s">
        <v>640</v>
      </c>
      <c r="I206" s="295" t="s">
        <v>339</v>
      </c>
      <c r="J206" s="295" t="s">
        <v>339</v>
      </c>
      <c r="K206" s="295" t="s">
        <v>313</v>
      </c>
      <c r="L206" s="253" t="s">
        <v>313</v>
      </c>
      <c r="M206" s="295" t="s">
        <v>225</v>
      </c>
      <c r="N206" s="3" t="s">
        <v>641</v>
      </c>
      <c r="O206" s="137" t="str" cm="1">
        <f t="array" ref="O206">IFERROR(
  INDEX('Scrum Teams'!B$2:B$1010,
    MATCH(1,
      (B206='Scrum Teams'!F$2:F$1010) +
      (B206='Scrum Teams'!G$2:G$1010) +
      (B206='Scrum Teams'!H$2:H$1010) +
      (B206='Scrum Teams'!I$2:I$1010) +
      (B206='Scrum Teams'!J$2:J$1010) +
      (B206='Scrum Teams'!K$2:K$1010) +
      (B206='Scrum Teams'!L$2:L$1010) +
      (B206='Scrum Teams'!M$2:M$1010) +
      (B206='Scrum Teams'!N$2:N$1010) +
      (B206='Scrum Teams'!O$2:O$1010) +
      (B206='Scrum Teams'!P$2:P$1010) +
      (B206='Scrum Teams'!Q$2:Q$1010),
    0)
  ),
  "Not found"
)</f>
        <v>Ganga</v>
      </c>
      <c r="P206" s="194" t="s">
        <v>145</v>
      </c>
      <c r="Q206" s="37" t="s">
        <v>227</v>
      </c>
    </row>
    <row r="207" spans="1:18" hidden="1">
      <c r="A207" s="3" t="s">
        <v>84</v>
      </c>
      <c r="B207" s="22" t="s">
        <v>642</v>
      </c>
      <c r="C207" s="3" t="s">
        <v>643</v>
      </c>
      <c r="D207" s="3" t="s">
        <v>643</v>
      </c>
      <c r="E207" s="3" t="s">
        <v>83</v>
      </c>
      <c r="F207" s="3"/>
      <c r="G207" s="3" t="s">
        <v>79</v>
      </c>
      <c r="H207" s="249" t="s">
        <v>644</v>
      </c>
      <c r="I207" s="239" t="s">
        <v>312</v>
      </c>
      <c r="J207" s="290" t="s">
        <v>312</v>
      </c>
      <c r="K207" s="295" t="s">
        <v>313</v>
      </c>
      <c r="L207" s="253" t="s">
        <v>313</v>
      </c>
      <c r="M207" s="290" t="s">
        <v>225</v>
      </c>
      <c r="N207" s="3" t="s">
        <v>641</v>
      </c>
      <c r="O207" s="137" t="str" cm="1">
        <f t="array" ref="O207">IFERROR(
  INDEX('Scrum Teams'!B$2:B$1010,
    MATCH(1,
      (B207='Scrum Teams'!F$2:F$1010) +
      (B207='Scrum Teams'!G$2:G$1010) +
      (B207='Scrum Teams'!H$2:H$1010) +
      (B207='Scrum Teams'!I$2:I$1010) +
      (B207='Scrum Teams'!J$2:J$1010) +
      (B207='Scrum Teams'!K$2:K$1010) +
      (B207='Scrum Teams'!L$2:L$1010) +
      (B207='Scrum Teams'!M$2:M$1010) +
      (B207='Scrum Teams'!N$2:N$1010) +
      (B207='Scrum Teams'!O$2:O$1010) +
      (B207='Scrum Teams'!P$2:P$1010) +
      (B207='Scrum Teams'!Q$2:Q$1010),
    0)
  ),
  "Not found"
)</f>
        <v>Yamuna</v>
      </c>
      <c r="P207" s="194" t="s">
        <v>145</v>
      </c>
      <c r="Q207" s="37" t="s">
        <v>227</v>
      </c>
    </row>
    <row r="208" spans="1:18" hidden="1">
      <c r="A208" s="3" t="s">
        <v>84</v>
      </c>
      <c r="B208" s="22" t="s">
        <v>645</v>
      </c>
      <c r="C208" s="3" t="s">
        <v>346</v>
      </c>
      <c r="D208" s="3"/>
      <c r="E208" s="3" t="s">
        <v>83</v>
      </c>
      <c r="F208" s="3"/>
      <c r="G208" s="3" t="s">
        <v>79</v>
      </c>
      <c r="H208" s="290" t="s">
        <v>646</v>
      </c>
      <c r="I208" s="295" t="s">
        <v>339</v>
      </c>
      <c r="J208" s="295" t="s">
        <v>339</v>
      </c>
      <c r="K208" s="295" t="s">
        <v>313</v>
      </c>
      <c r="L208" s="253" t="s">
        <v>313</v>
      </c>
      <c r="M208" s="295" t="s">
        <v>225</v>
      </c>
      <c r="N208" s="3" t="s">
        <v>641</v>
      </c>
      <c r="O208" s="137" t="str" cm="1">
        <f t="array" ref="O208">IFERROR(
  INDEX('Scrum Teams'!B$2:B$1010,
    MATCH(1,
      (B208='Scrum Teams'!F$2:F$1010) +
      (B208='Scrum Teams'!G$2:G$1010) +
      (B208='Scrum Teams'!H$2:H$1010) +
      (B208='Scrum Teams'!I$2:I$1010) +
      (B208='Scrum Teams'!J$2:J$1010) +
      (B208='Scrum Teams'!K$2:K$1010) +
      (B208='Scrum Teams'!L$2:L$1010) +
      (B208='Scrum Teams'!M$2:M$1010) +
      (B208='Scrum Teams'!N$2:N$1010) +
      (B208='Scrum Teams'!O$2:O$1010) +
      (B208='Scrum Teams'!P$2:P$1010) +
      (B208='Scrum Teams'!Q$2:Q$1010),
    0)
  ),
  "Not found"
)</f>
        <v>Saryu</v>
      </c>
      <c r="P208" s="194" t="s">
        <v>145</v>
      </c>
      <c r="Q208" s="37" t="s">
        <v>227</v>
      </c>
    </row>
    <row r="209" spans="1:17" hidden="1">
      <c r="A209" s="3" t="s">
        <v>84</v>
      </c>
      <c r="B209" s="22" t="s">
        <v>647</v>
      </c>
      <c r="C209" s="3" t="s">
        <v>648</v>
      </c>
      <c r="D209" s="3"/>
      <c r="E209" s="3" t="s">
        <v>83</v>
      </c>
      <c r="F209" s="3"/>
      <c r="G209" s="3" t="s">
        <v>79</v>
      </c>
      <c r="H209" s="291" t="s">
        <v>320</v>
      </c>
      <c r="I209" s="3" t="s">
        <v>312</v>
      </c>
      <c r="J209" s="291" t="s">
        <v>312</v>
      </c>
      <c r="K209" s="290" t="s">
        <v>313</v>
      </c>
      <c r="L209" s="291" t="s">
        <v>313</v>
      </c>
      <c r="M209" s="291" t="s">
        <v>225</v>
      </c>
      <c r="N209" s="3" t="s">
        <v>641</v>
      </c>
      <c r="O209" s="137" t="str" cm="1">
        <f t="array" ref="O209">IFERROR(
  INDEX('Scrum Teams'!B$2:B$1010,
    MATCH(1,
      (B209='Scrum Teams'!F$2:F$1010) +
      (B209='Scrum Teams'!G$2:G$1010) +
      (B209='Scrum Teams'!H$2:H$1010) +
      (B209='Scrum Teams'!I$2:I$1010) +
      (B209='Scrum Teams'!J$2:J$1010) +
      (B209='Scrum Teams'!K$2:K$1010) +
      (B209='Scrum Teams'!L$2:L$1010) +
      (B209='Scrum Teams'!M$2:M$1010) +
      (B209='Scrum Teams'!N$2:N$1010) +
      (B209='Scrum Teams'!O$2:O$1010) +
      (B209='Scrum Teams'!P$2:P$1010) +
      (B209='Scrum Teams'!Q$2:Q$1010),
    0)
  ),
  "Not found"
)</f>
        <v>Godavari</v>
      </c>
      <c r="P209" s="194" t="s">
        <v>145</v>
      </c>
      <c r="Q209" s="37" t="s">
        <v>227</v>
      </c>
    </row>
    <row r="210" spans="1:17" hidden="1">
      <c r="A210" s="3" t="s">
        <v>84</v>
      </c>
      <c r="B210" s="22" t="s">
        <v>649</v>
      </c>
      <c r="C210" s="41" t="s">
        <v>648</v>
      </c>
      <c r="D210" s="41"/>
      <c r="E210" s="3" t="s">
        <v>83</v>
      </c>
      <c r="F210" s="3"/>
      <c r="G210" s="3" t="s">
        <v>79</v>
      </c>
      <c r="H210" s="290" t="s">
        <v>650</v>
      </c>
      <c r="I210" s="239" t="s">
        <v>312</v>
      </c>
      <c r="J210" s="290" t="s">
        <v>312</v>
      </c>
      <c r="K210" s="295" t="s">
        <v>313</v>
      </c>
      <c r="L210" s="253" t="s">
        <v>313</v>
      </c>
      <c r="M210" s="290" t="s">
        <v>225</v>
      </c>
      <c r="N210" s="3" t="s">
        <v>641</v>
      </c>
      <c r="O210" s="137" t="str" cm="1">
        <f t="array" ref="O210">IFERROR(
  INDEX('Scrum Teams'!B$2:B$1010,
    MATCH(1,
      (B210='Scrum Teams'!F$2:F$1010) +
      (B210='Scrum Teams'!G$2:G$1010) +
      (B210='Scrum Teams'!H$2:H$1010) +
      (B210='Scrum Teams'!I$2:I$1010) +
      (B210='Scrum Teams'!J$2:J$1010) +
      (B210='Scrum Teams'!K$2:K$1010) +
      (B210='Scrum Teams'!L$2:L$1010) +
      (B210='Scrum Teams'!M$2:M$1010) +
      (B210='Scrum Teams'!N$2:N$1010) +
      (B210='Scrum Teams'!O$2:O$1010) +
      (B210='Scrum Teams'!P$2:P$1010) +
      (B210='Scrum Teams'!Q$2:Q$1010),
    0)
  ),
  "Not found"
)</f>
        <v>Godavari</v>
      </c>
      <c r="P210" s="194" t="s">
        <v>145</v>
      </c>
      <c r="Q210" s="37" t="s">
        <v>227</v>
      </c>
    </row>
    <row r="211" spans="1:17" hidden="1">
      <c r="A211" s="3" t="s">
        <v>84</v>
      </c>
      <c r="B211" s="47" t="s">
        <v>651</v>
      </c>
      <c r="C211" s="41" t="s">
        <v>643</v>
      </c>
      <c r="D211" s="41"/>
      <c r="E211" s="3" t="s">
        <v>83</v>
      </c>
      <c r="F211" s="3"/>
      <c r="G211" s="3" t="s">
        <v>79</v>
      </c>
      <c r="H211" s="291" t="s">
        <v>311</v>
      </c>
      <c r="I211" s="3" t="s">
        <v>312</v>
      </c>
      <c r="J211" s="291" t="s">
        <v>312</v>
      </c>
      <c r="K211" s="290" t="s">
        <v>313</v>
      </c>
      <c r="L211" s="291" t="s">
        <v>313</v>
      </c>
      <c r="M211" s="291" t="s">
        <v>225</v>
      </c>
      <c r="N211" s="3" t="s">
        <v>641</v>
      </c>
      <c r="O211" s="137" t="str" cm="1">
        <f t="array" ref="O211">IFERROR(
  INDEX('Scrum Teams'!B$2:B$1010,
    MATCH(1,
      (B211='Scrum Teams'!F$2:F$1010) +
      (B211='Scrum Teams'!G$2:G$1010) +
      (B211='Scrum Teams'!H$2:H$1010) +
      (B211='Scrum Teams'!I$2:I$1010) +
      (B211='Scrum Teams'!J$2:J$1010) +
      (B211='Scrum Teams'!K$2:K$1010) +
      (B211='Scrum Teams'!L$2:L$1010) +
      (B211='Scrum Teams'!M$2:M$1010) +
      (B211='Scrum Teams'!N$2:N$1010) +
      (B211='Scrum Teams'!O$2:O$1010) +
      (B211='Scrum Teams'!P$2:P$1010) +
      (B211='Scrum Teams'!Q$2:Q$1010),
    0)
  ),
  "Not found"
)</f>
        <v>Yamuna</v>
      </c>
      <c r="P211" s="194" t="s">
        <v>145</v>
      </c>
      <c r="Q211" s="37" t="s">
        <v>227</v>
      </c>
    </row>
    <row r="212" spans="1:17" hidden="1">
      <c r="A212" s="3" t="s">
        <v>84</v>
      </c>
      <c r="B212" s="47" t="s">
        <v>652</v>
      </c>
      <c r="C212" s="41" t="s">
        <v>648</v>
      </c>
      <c r="D212" s="41"/>
      <c r="E212" s="3" t="s">
        <v>83</v>
      </c>
      <c r="F212" s="3"/>
      <c r="G212" s="3" t="s">
        <v>79</v>
      </c>
      <c r="H212" s="290" t="s">
        <v>650</v>
      </c>
      <c r="I212" s="239" t="s">
        <v>312</v>
      </c>
      <c r="J212" s="290" t="s">
        <v>312</v>
      </c>
      <c r="K212" s="295" t="s">
        <v>313</v>
      </c>
      <c r="L212" s="253" t="s">
        <v>313</v>
      </c>
      <c r="M212" s="290" t="s">
        <v>225</v>
      </c>
      <c r="N212" s="3" t="s">
        <v>641</v>
      </c>
      <c r="O212" s="137" t="str" cm="1">
        <f t="array" ref="O212">IFERROR(
  INDEX('Scrum Teams'!B$2:B$1010,
    MATCH(1,
      (B212='Scrum Teams'!F$2:F$1010) +
      (B212='Scrum Teams'!G$2:G$1010) +
      (B212='Scrum Teams'!H$2:H$1010) +
      (B212='Scrum Teams'!I$2:I$1010) +
      (B212='Scrum Teams'!J$2:J$1010) +
      (B212='Scrum Teams'!K$2:K$1010) +
      (B212='Scrum Teams'!L$2:L$1010) +
      (B212='Scrum Teams'!M$2:M$1010) +
      (B212='Scrum Teams'!N$2:N$1010) +
      (B212='Scrum Teams'!O$2:O$1010) +
      (B212='Scrum Teams'!P$2:P$1010) +
      (B212='Scrum Teams'!Q$2:Q$1010),
    0)
  ),
  "Not found"
)</f>
        <v>Godavari</v>
      </c>
      <c r="P212" s="194" t="s">
        <v>145</v>
      </c>
      <c r="Q212" s="37" t="s">
        <v>227</v>
      </c>
    </row>
    <row r="213" spans="1:17" hidden="1">
      <c r="A213" s="3" t="s">
        <v>84</v>
      </c>
      <c r="B213" s="22" t="s">
        <v>653</v>
      </c>
      <c r="C213" s="41" t="s">
        <v>648</v>
      </c>
      <c r="D213" s="41"/>
      <c r="E213" s="3" t="s">
        <v>83</v>
      </c>
      <c r="F213" s="3"/>
      <c r="G213" s="3" t="s">
        <v>79</v>
      </c>
      <c r="H213" s="249" t="s">
        <v>644</v>
      </c>
      <c r="I213" s="239" t="s">
        <v>312</v>
      </c>
      <c r="J213" s="290" t="s">
        <v>312</v>
      </c>
      <c r="K213" s="295" t="s">
        <v>313</v>
      </c>
      <c r="L213" s="253" t="s">
        <v>313</v>
      </c>
      <c r="M213" s="290" t="s">
        <v>225</v>
      </c>
      <c r="N213" s="3" t="s">
        <v>641</v>
      </c>
      <c r="O213" s="137" t="str" cm="1">
        <f t="array" ref="O213">IFERROR(
  INDEX('Scrum Teams'!B$2:B$1010,
    MATCH(1,
      (B213='Scrum Teams'!F$2:F$1010) +
      (B213='Scrum Teams'!G$2:G$1010) +
      (B213='Scrum Teams'!H$2:H$1010) +
      (B213='Scrum Teams'!I$2:I$1010) +
      (B213='Scrum Teams'!J$2:J$1010) +
      (B213='Scrum Teams'!K$2:K$1010) +
      (B213='Scrum Teams'!L$2:L$1010) +
      (B213='Scrum Teams'!M$2:M$1010) +
      (B213='Scrum Teams'!N$2:N$1010) +
      (B213='Scrum Teams'!O$2:O$1010) +
      (B213='Scrum Teams'!P$2:P$1010) +
      (B213='Scrum Teams'!Q$2:Q$1010),
    0)
  ),
  "Not found"
)</f>
        <v>Krishna</v>
      </c>
      <c r="P213" s="194" t="s">
        <v>145</v>
      </c>
      <c r="Q213" s="37" t="s">
        <v>227</v>
      </c>
    </row>
    <row r="214" spans="1:17" hidden="1">
      <c r="A214" s="41" t="s">
        <v>29</v>
      </c>
      <c r="B214" s="47" t="s">
        <v>29</v>
      </c>
      <c r="C214" s="41" t="s">
        <v>23</v>
      </c>
      <c r="D214" s="41"/>
      <c r="E214" s="41" t="s">
        <v>23</v>
      </c>
      <c r="F214" s="41"/>
      <c r="G214" s="41" t="s">
        <v>23</v>
      </c>
      <c r="H214" s="290" t="s">
        <v>296</v>
      </c>
      <c r="I214" s="290" t="s">
        <v>296</v>
      </c>
      <c r="J214" s="290" t="s">
        <v>296</v>
      </c>
      <c r="K214" s="290" t="s">
        <v>296</v>
      </c>
      <c r="L214" s="290" t="s">
        <v>296</v>
      </c>
      <c r="M214" s="290" t="s">
        <v>296</v>
      </c>
      <c r="N214" s="41"/>
      <c r="O214" s="137" t="str" cm="1">
        <f t="array" ref="O214">IFERROR(
  INDEX('Scrum Teams'!B$2:B$1010,
    MATCH(1,
      (B214='Scrum Teams'!F$2:F$1010) +
      (B214='Scrum Teams'!G$2:G$1010) +
      (B214='Scrum Teams'!H$2:H$1010) +
      (B214='Scrum Teams'!I$2:I$1010) +
      (B214='Scrum Teams'!J$2:J$1010) +
      (B214='Scrum Teams'!K$2:K$1010) +
      (B214='Scrum Teams'!L$2:L$1010) +
      (B214='Scrum Teams'!M$2:M$1010) +
      (B214='Scrum Teams'!N$2:N$1010) +
      (B214='Scrum Teams'!O$2:O$1010) +
      (B214='Scrum Teams'!P$2:P$1010) +
      (B214='Scrum Teams'!Q$2:Q$1010),
    0)
  ),
  "Not found"
)</f>
        <v>Not found</v>
      </c>
      <c r="P214" s="195"/>
      <c r="Q214" s="48"/>
    </row>
    <row r="215" spans="1:17" hidden="1">
      <c r="A215" s="41" t="s">
        <v>90</v>
      </c>
      <c r="B215" s="47" t="s">
        <v>654</v>
      </c>
      <c r="C215" s="41" t="s">
        <v>655</v>
      </c>
      <c r="D215" s="41"/>
      <c r="E215" s="41" t="s">
        <v>89</v>
      </c>
      <c r="F215" s="41"/>
      <c r="G215" s="3" t="s">
        <v>79</v>
      </c>
      <c r="H215" s="259" t="s">
        <v>656</v>
      </c>
      <c r="I215" s="260" t="s">
        <v>248</v>
      </c>
      <c r="J215" s="296"/>
      <c r="K215" s="297" t="s">
        <v>249</v>
      </c>
      <c r="L215" s="296"/>
      <c r="M215" s="298" t="s">
        <v>250</v>
      </c>
      <c r="N215" s="41"/>
      <c r="O215" s="137" t="str" cm="1">
        <f t="array" ref="O215">IFERROR(
  INDEX('Scrum Teams'!B$2:B$1010,
    MATCH(1,
      (B215='Scrum Teams'!F$2:F$1010) +
      (B215='Scrum Teams'!G$2:G$1010) +
      (B215='Scrum Teams'!H$2:H$1010) +
      (B215='Scrum Teams'!I$2:I$1010) +
      (B215='Scrum Teams'!J$2:J$1010) +
      (B215='Scrum Teams'!K$2:K$1010) +
      (B215='Scrum Teams'!L$2:L$1010) +
      (B215='Scrum Teams'!M$2:M$1010) +
      (B215='Scrum Teams'!N$2:N$1010) +
      (B215='Scrum Teams'!O$2:O$1010) +
      (B215='Scrum Teams'!P$2:P$1010) +
      (B215='Scrum Teams'!Q$2:Q$1010),
    0)
  ),
  "Not found"
)</f>
        <v>AIBDC</v>
      </c>
      <c r="P215" s="194" t="s">
        <v>155</v>
      </c>
      <c r="Q215" s="37" t="s">
        <v>227</v>
      </c>
    </row>
    <row r="216" spans="1:17" hidden="1">
      <c r="A216" s="41" t="s">
        <v>90</v>
      </c>
      <c r="B216" s="47" t="s">
        <v>657</v>
      </c>
      <c r="C216" s="41" t="s">
        <v>655</v>
      </c>
      <c r="D216" s="41"/>
      <c r="E216" s="41" t="s">
        <v>89</v>
      </c>
      <c r="F216" s="41"/>
      <c r="G216" s="3" t="s">
        <v>79</v>
      </c>
      <c r="H216" s="261" t="s">
        <v>656</v>
      </c>
      <c r="I216" s="254" t="s">
        <v>248</v>
      </c>
      <c r="J216" s="296"/>
      <c r="K216" s="297" t="s">
        <v>249</v>
      </c>
      <c r="L216" s="296"/>
      <c r="M216" s="298" t="s">
        <v>250</v>
      </c>
      <c r="N216" s="41"/>
      <c r="O216" s="137" t="str" cm="1">
        <f t="array" ref="O216">IFERROR(
  INDEX('Scrum Teams'!B$2:B$1010,
    MATCH(1,
      (B216='Scrum Teams'!F$2:F$1010) +
      (B216='Scrum Teams'!G$2:G$1010) +
      (B216='Scrum Teams'!H$2:H$1010) +
      (B216='Scrum Teams'!I$2:I$1010) +
      (B216='Scrum Teams'!J$2:J$1010) +
      (B216='Scrum Teams'!K$2:K$1010) +
      (B216='Scrum Teams'!L$2:L$1010) +
      (B216='Scrum Teams'!M$2:M$1010) +
      (B216='Scrum Teams'!N$2:N$1010) +
      (B216='Scrum Teams'!O$2:O$1010) +
      (B216='Scrum Teams'!P$2:P$1010) +
      (B216='Scrum Teams'!Q$2:Q$1010),
    0)
  ),
  "Not found"
)</f>
        <v>AIBDC</v>
      </c>
      <c r="P216" s="194" t="s">
        <v>155</v>
      </c>
      <c r="Q216" s="37" t="s">
        <v>227</v>
      </c>
    </row>
    <row r="217" spans="1:17" hidden="1">
      <c r="A217" s="41" t="s">
        <v>90</v>
      </c>
      <c r="B217" s="47" t="s">
        <v>658</v>
      </c>
      <c r="C217" s="41" t="s">
        <v>655</v>
      </c>
      <c r="D217" s="41"/>
      <c r="E217" s="41" t="s">
        <v>89</v>
      </c>
      <c r="F217" s="41"/>
      <c r="G217" s="3" t="s">
        <v>79</v>
      </c>
      <c r="H217" s="261" t="s">
        <v>656</v>
      </c>
      <c r="I217" s="254" t="s">
        <v>248</v>
      </c>
      <c r="J217" s="296"/>
      <c r="K217" s="297" t="s">
        <v>249</v>
      </c>
      <c r="L217" s="296"/>
      <c r="M217" s="298" t="s">
        <v>250</v>
      </c>
      <c r="N217" s="41"/>
      <c r="O217" s="137" t="str" cm="1">
        <f t="array" ref="O217">IFERROR(
  INDEX('Scrum Teams'!B$2:B$1010,
    MATCH(1,
      (B217='Scrum Teams'!F$2:F$1010) +
      (B217='Scrum Teams'!G$2:G$1010) +
      (B217='Scrum Teams'!H$2:H$1010) +
      (B217='Scrum Teams'!I$2:I$1010) +
      (B217='Scrum Teams'!J$2:J$1010) +
      (B217='Scrum Teams'!K$2:K$1010) +
      (B217='Scrum Teams'!L$2:L$1010) +
      (B217='Scrum Teams'!M$2:M$1010) +
      (B217='Scrum Teams'!N$2:N$1010) +
      (B217='Scrum Teams'!O$2:O$1010) +
      (B217='Scrum Teams'!P$2:P$1010) +
      (B217='Scrum Teams'!Q$2:Q$1010),
    0)
  ),
  "Not found"
)</f>
        <v>AIBDC</v>
      </c>
      <c r="P217" s="194" t="s">
        <v>155</v>
      </c>
      <c r="Q217" s="37" t="s">
        <v>227</v>
      </c>
    </row>
    <row r="218" spans="1:17" hidden="1">
      <c r="A218" s="41" t="s">
        <v>90</v>
      </c>
      <c r="B218" s="47" t="s">
        <v>659</v>
      </c>
      <c r="C218" s="41" t="s">
        <v>655</v>
      </c>
      <c r="D218" s="41"/>
      <c r="E218" s="41" t="s">
        <v>89</v>
      </c>
      <c r="F218" s="41"/>
      <c r="G218" s="3" t="s">
        <v>79</v>
      </c>
      <c r="H218" s="261" t="s">
        <v>656</v>
      </c>
      <c r="I218" s="254" t="s">
        <v>248</v>
      </c>
      <c r="J218" s="296"/>
      <c r="K218" s="297" t="s">
        <v>249</v>
      </c>
      <c r="L218" s="296"/>
      <c r="M218" s="298" t="s">
        <v>250</v>
      </c>
      <c r="N218" s="41"/>
      <c r="O218" s="137" t="str" cm="1">
        <f t="array" ref="O218">IFERROR(
  INDEX('Scrum Teams'!B$2:B$1010,
    MATCH(1,
      (B218='Scrum Teams'!F$2:F$1010) +
      (B218='Scrum Teams'!G$2:G$1010) +
      (B218='Scrum Teams'!H$2:H$1010) +
      (B218='Scrum Teams'!I$2:I$1010) +
      (B218='Scrum Teams'!J$2:J$1010) +
      (B218='Scrum Teams'!K$2:K$1010) +
      (B218='Scrum Teams'!L$2:L$1010) +
      (B218='Scrum Teams'!M$2:M$1010) +
      (B218='Scrum Teams'!N$2:N$1010) +
      (B218='Scrum Teams'!O$2:O$1010) +
      (B218='Scrum Teams'!P$2:P$1010) +
      (B218='Scrum Teams'!Q$2:Q$1010),
    0)
  ),
  "Not found"
)</f>
        <v>AIBDC</v>
      </c>
      <c r="P218" s="194" t="s">
        <v>155</v>
      </c>
      <c r="Q218" s="37" t="s">
        <v>227</v>
      </c>
    </row>
    <row r="219" spans="1:17" hidden="1">
      <c r="A219" s="41" t="s">
        <v>90</v>
      </c>
      <c r="B219" s="47" t="s">
        <v>660</v>
      </c>
      <c r="C219" s="41" t="s">
        <v>655</v>
      </c>
      <c r="D219" s="41"/>
      <c r="E219" s="41" t="s">
        <v>89</v>
      </c>
      <c r="F219" s="41"/>
      <c r="G219" s="3" t="s">
        <v>79</v>
      </c>
      <c r="H219" s="261"/>
      <c r="I219" s="254"/>
      <c r="J219" s="296"/>
      <c r="K219" s="297"/>
      <c r="L219" s="296"/>
      <c r="M219" s="298" t="s">
        <v>250</v>
      </c>
      <c r="N219" s="41"/>
      <c r="O219" s="137" t="str" cm="1">
        <f t="array" ref="O219">IFERROR(
  INDEX('Scrum Teams'!B$2:B$1010,
    MATCH(1,
      (B219='Scrum Teams'!F$2:F$1010) +
      (B219='Scrum Teams'!G$2:G$1010) +
      (B219='Scrum Teams'!H$2:H$1010) +
      (B219='Scrum Teams'!I$2:I$1010) +
      (B219='Scrum Teams'!J$2:J$1010) +
      (B219='Scrum Teams'!K$2:K$1010) +
      (B219='Scrum Teams'!L$2:L$1010) +
      (B219='Scrum Teams'!M$2:M$1010) +
      (B219='Scrum Teams'!N$2:N$1010) +
      (B219='Scrum Teams'!O$2:O$1010) +
      (B219='Scrum Teams'!P$2:P$1010) +
      (B219='Scrum Teams'!Q$2:Q$1010),
    0)
  ),
  "Not found"
)</f>
        <v>Not found</v>
      </c>
      <c r="P219" s="194" t="s">
        <v>155</v>
      </c>
      <c r="Q219" s="37" t="s">
        <v>227</v>
      </c>
    </row>
    <row r="220" spans="1:17" hidden="1">
      <c r="A220" s="41" t="s">
        <v>90</v>
      </c>
      <c r="B220" s="47" t="s">
        <v>661</v>
      </c>
      <c r="C220" s="41" t="s">
        <v>655</v>
      </c>
      <c r="D220" s="41"/>
      <c r="E220" s="41" t="s">
        <v>89</v>
      </c>
      <c r="F220" s="41"/>
      <c r="G220" s="3" t="s">
        <v>79</v>
      </c>
      <c r="H220" s="261" t="s">
        <v>656</v>
      </c>
      <c r="I220" s="254" t="s">
        <v>248</v>
      </c>
      <c r="J220" s="296"/>
      <c r="K220" s="297" t="s">
        <v>249</v>
      </c>
      <c r="L220" s="296"/>
      <c r="M220" s="298" t="s">
        <v>250</v>
      </c>
      <c r="N220" s="41"/>
      <c r="O220" s="137" t="str" cm="1">
        <f t="array" ref="O220">IFERROR(
  INDEX('Scrum Teams'!B$2:B$1010,
    MATCH(1,
      (B220='Scrum Teams'!F$2:F$1010) +
      (B220='Scrum Teams'!G$2:G$1010) +
      (B220='Scrum Teams'!H$2:H$1010) +
      (B220='Scrum Teams'!I$2:I$1010) +
      (B220='Scrum Teams'!J$2:J$1010) +
      (B220='Scrum Teams'!K$2:K$1010) +
      (B220='Scrum Teams'!L$2:L$1010) +
      (B220='Scrum Teams'!M$2:M$1010) +
      (B220='Scrum Teams'!N$2:N$1010) +
      (B220='Scrum Teams'!O$2:O$1010) +
      (B220='Scrum Teams'!P$2:P$1010) +
      (B220='Scrum Teams'!Q$2:Q$1010),
    0)
  ),
  "Not found"
)</f>
        <v>AIBDC</v>
      </c>
      <c r="P220" s="194" t="s">
        <v>155</v>
      </c>
      <c r="Q220" s="37" t="s">
        <v>227</v>
      </c>
    </row>
    <row r="221" spans="1:17" hidden="1">
      <c r="A221" s="41" t="s">
        <v>36</v>
      </c>
      <c r="B221" s="47" t="s">
        <v>662</v>
      </c>
      <c r="C221" s="3" t="s">
        <v>575</v>
      </c>
      <c r="D221" s="41"/>
      <c r="E221" s="41" t="s">
        <v>34</v>
      </c>
      <c r="F221" s="41"/>
      <c r="G221" s="3" t="s">
        <v>30</v>
      </c>
      <c r="H221" s="293" t="s">
        <v>663</v>
      </c>
      <c r="I221" s="290"/>
      <c r="J221" s="290"/>
      <c r="K221" s="290"/>
      <c r="L221" s="290"/>
      <c r="M221" s="290" t="s">
        <v>30</v>
      </c>
      <c r="N221" s="41"/>
      <c r="O221" s="137" t="str" cm="1">
        <f t="array" ref="O221">IFERROR(
  INDEX('Scrum Teams'!B$2:B$1010,
    MATCH(1,
      (B221='Scrum Teams'!F$2:F$1010) +
      (B221='Scrum Teams'!G$2:G$1010) +
      (B221='Scrum Teams'!H$2:H$1010) +
      (B221='Scrum Teams'!I$2:I$1010) +
      (B221='Scrum Teams'!J$2:J$1010) +
      (B221='Scrum Teams'!K$2:K$1010) +
      (B221='Scrum Teams'!L$2:L$1010) +
      (B221='Scrum Teams'!M$2:M$1010) +
      (B221='Scrum Teams'!N$2:N$1010) +
      (B221='Scrum Teams'!O$2:O$1010) +
      (B221='Scrum Teams'!P$2:P$1010) +
      (B221='Scrum Teams'!Q$2:Q$1010),
    0)
  ),
  "Not found"
)</f>
        <v>Genesis</v>
      </c>
      <c r="P221" s="194" t="s">
        <v>154</v>
      </c>
      <c r="Q221" s="37" t="s">
        <v>664</v>
      </c>
    </row>
    <row r="222" spans="1:17" hidden="1">
      <c r="A222" s="41" t="s">
        <v>36</v>
      </c>
      <c r="B222" s="47" t="s">
        <v>665</v>
      </c>
      <c r="C222" s="3" t="s">
        <v>575</v>
      </c>
      <c r="D222" s="41"/>
      <c r="E222" s="41" t="s">
        <v>34</v>
      </c>
      <c r="F222" s="41"/>
      <c r="G222" s="3" t="s">
        <v>30</v>
      </c>
      <c r="H222" s="290" t="s">
        <v>663</v>
      </c>
      <c r="I222" s="290"/>
      <c r="J222" s="290"/>
      <c r="K222" s="290"/>
      <c r="L222" s="290"/>
      <c r="M222" s="290" t="s">
        <v>30</v>
      </c>
      <c r="N222" s="41"/>
      <c r="O222" s="137" t="str" cm="1">
        <f t="array" ref="O222">IFERROR(
  INDEX('Scrum Teams'!B$2:B$1010,
    MATCH(1,
      (B222='Scrum Teams'!F$2:F$1010) +
      (B222='Scrum Teams'!G$2:G$1010) +
      (B222='Scrum Teams'!H$2:H$1010) +
      (B222='Scrum Teams'!I$2:I$1010) +
      (B222='Scrum Teams'!J$2:J$1010) +
      (B222='Scrum Teams'!K$2:K$1010) +
      (B222='Scrum Teams'!L$2:L$1010) +
      (B222='Scrum Teams'!M$2:M$1010) +
      (B222='Scrum Teams'!N$2:N$1010) +
      (B222='Scrum Teams'!O$2:O$1010) +
      (B222='Scrum Teams'!P$2:P$1010) +
      (B222='Scrum Teams'!Q$2:Q$1010),
    0)
  ),
  "Not found"
)</f>
        <v>Genesis</v>
      </c>
      <c r="P222" s="194" t="s">
        <v>154</v>
      </c>
      <c r="Q222" s="37" t="s">
        <v>664</v>
      </c>
    </row>
    <row r="223" spans="1:17" hidden="1">
      <c r="A223" s="41" t="s">
        <v>36</v>
      </c>
      <c r="B223" s="47" t="s">
        <v>666</v>
      </c>
      <c r="C223" s="3" t="s">
        <v>575</v>
      </c>
      <c r="D223" s="41"/>
      <c r="E223" s="41" t="s">
        <v>34</v>
      </c>
      <c r="F223" s="41"/>
      <c r="G223" s="3" t="s">
        <v>30</v>
      </c>
      <c r="H223" s="290" t="s">
        <v>663</v>
      </c>
      <c r="I223" s="290"/>
      <c r="J223" s="290"/>
      <c r="K223" s="290"/>
      <c r="L223" s="290"/>
      <c r="M223" s="290" t="s">
        <v>30</v>
      </c>
      <c r="N223" s="41"/>
      <c r="O223" s="137" t="str" cm="1">
        <f t="array" ref="O223">IFERROR(
  INDEX('Scrum Teams'!B$2:B$1010,
    MATCH(1,
      (B223='Scrum Teams'!F$2:F$1010) +
      (B223='Scrum Teams'!G$2:G$1010) +
      (B223='Scrum Teams'!H$2:H$1010) +
      (B223='Scrum Teams'!I$2:I$1010) +
      (B223='Scrum Teams'!J$2:J$1010) +
      (B223='Scrum Teams'!K$2:K$1010) +
      (B223='Scrum Teams'!L$2:L$1010) +
      (B223='Scrum Teams'!M$2:M$1010) +
      (B223='Scrum Teams'!N$2:N$1010) +
      (B223='Scrum Teams'!O$2:O$1010) +
      (B223='Scrum Teams'!P$2:P$1010) +
      (B223='Scrum Teams'!Q$2:Q$1010),
    0)
  ),
  "Not found"
)</f>
        <v>Genesis</v>
      </c>
      <c r="P223" s="194" t="s">
        <v>154</v>
      </c>
      <c r="Q223" s="37" t="s">
        <v>664</v>
      </c>
    </row>
    <row r="224" spans="1:17" hidden="1">
      <c r="A224" s="41" t="s">
        <v>36</v>
      </c>
      <c r="B224" s="47" t="s">
        <v>667</v>
      </c>
      <c r="C224" s="3" t="s">
        <v>575</v>
      </c>
      <c r="D224" s="41"/>
      <c r="E224" s="41" t="s">
        <v>34</v>
      </c>
      <c r="F224" s="41"/>
      <c r="G224" s="3" t="s">
        <v>30</v>
      </c>
      <c r="H224" s="290" t="s">
        <v>663</v>
      </c>
      <c r="I224" s="290"/>
      <c r="J224" s="290"/>
      <c r="K224" s="290"/>
      <c r="L224" s="290"/>
      <c r="M224" s="290" t="s">
        <v>30</v>
      </c>
      <c r="N224" s="239"/>
      <c r="O224" s="137" t="str" cm="1">
        <f t="array" ref="O224">IFERROR(
  INDEX('Scrum Teams'!B$2:B$1010,
    MATCH(1,
      (B224='Scrum Teams'!F$2:F$1010) +
      (B224='Scrum Teams'!G$2:G$1010) +
      (B224='Scrum Teams'!H$2:H$1010) +
      (B224='Scrum Teams'!I$2:I$1010) +
      (B224='Scrum Teams'!J$2:J$1010) +
      (B224='Scrum Teams'!K$2:K$1010) +
      (B224='Scrum Teams'!L$2:L$1010) +
      (B224='Scrum Teams'!M$2:M$1010) +
      (B224='Scrum Teams'!N$2:N$1010) +
      (B224='Scrum Teams'!O$2:O$1010) +
      (B224='Scrum Teams'!P$2:P$1010) +
      (B224='Scrum Teams'!Q$2:Q$1010),
    0)
  ),
  "Not found"
)</f>
        <v>Genesis</v>
      </c>
      <c r="P224" s="194" t="s">
        <v>154</v>
      </c>
      <c r="Q224" s="37" t="s">
        <v>664</v>
      </c>
    </row>
    <row r="225" spans="1:17" hidden="1">
      <c r="A225" s="41" t="s">
        <v>77</v>
      </c>
      <c r="B225" s="47" t="s">
        <v>77</v>
      </c>
      <c r="C225" s="41" t="s">
        <v>668</v>
      </c>
      <c r="D225" s="41"/>
      <c r="E225" s="41" t="s">
        <v>76</v>
      </c>
      <c r="F225" s="41"/>
      <c r="G225" s="3" t="s">
        <v>73</v>
      </c>
      <c r="H225" s="290" t="s">
        <v>296</v>
      </c>
      <c r="I225" s="290" t="s">
        <v>296</v>
      </c>
      <c r="J225" s="290" t="s">
        <v>296</v>
      </c>
      <c r="K225" s="290" t="s">
        <v>296</v>
      </c>
      <c r="L225" s="290" t="s">
        <v>296</v>
      </c>
      <c r="M225" s="290" t="s">
        <v>296</v>
      </c>
      <c r="N225" s="41"/>
      <c r="O225" s="137" t="str" cm="1">
        <f t="array" ref="O225">IFERROR(
  INDEX('Scrum Teams'!B$2:B$1010,
    MATCH(1,
      (B225='Scrum Teams'!F$2:F$1010) +
      (B225='Scrum Teams'!G$2:G$1010) +
      (B225='Scrum Teams'!H$2:H$1010) +
      (B225='Scrum Teams'!I$2:I$1010) +
      (B225='Scrum Teams'!J$2:J$1010) +
      (B225='Scrum Teams'!K$2:K$1010) +
      (B225='Scrum Teams'!L$2:L$1010) +
      (B225='Scrum Teams'!M$2:M$1010) +
      (B225='Scrum Teams'!N$2:N$1010) +
      (B225='Scrum Teams'!O$2:O$1010) +
      (B225='Scrum Teams'!P$2:P$1010) +
      (B225='Scrum Teams'!Q$2:Q$1010),
    0)
  ),
  "Not found"
)</f>
        <v>Not found</v>
      </c>
      <c r="P225" s="194"/>
      <c r="Q225" s="37"/>
    </row>
    <row r="226" spans="1:17" hidden="1">
      <c r="A226" s="41" t="s">
        <v>22</v>
      </c>
      <c r="B226" s="47" t="s">
        <v>22</v>
      </c>
      <c r="C226" s="41" t="s">
        <v>669</v>
      </c>
      <c r="D226" s="41"/>
      <c r="E226" s="41" t="s">
        <v>21</v>
      </c>
      <c r="F226" s="41"/>
      <c r="G226" s="3" t="s">
        <v>20</v>
      </c>
      <c r="H226" s="293" t="s">
        <v>296</v>
      </c>
      <c r="I226" s="293" t="s">
        <v>296</v>
      </c>
      <c r="J226" s="293" t="s">
        <v>296</v>
      </c>
      <c r="K226" s="293" t="s">
        <v>296</v>
      </c>
      <c r="L226" s="293" t="s">
        <v>296</v>
      </c>
      <c r="M226" s="293" t="s">
        <v>296</v>
      </c>
      <c r="N226" s="41"/>
      <c r="O226" s="137" t="str" cm="1">
        <f t="array" ref="O226">IFERROR(
  INDEX('Scrum Teams'!B$2:B$1010,
    MATCH(1,
      (B226='Scrum Teams'!F$2:F$1010) +
      (B226='Scrum Teams'!G$2:G$1010) +
      (B226='Scrum Teams'!H$2:H$1010) +
      (B226='Scrum Teams'!I$2:I$1010) +
      (B226='Scrum Teams'!J$2:J$1010) +
      (B226='Scrum Teams'!K$2:K$1010) +
      (B226='Scrum Teams'!L$2:L$1010) +
      (B226='Scrum Teams'!M$2:M$1010) +
      (B226='Scrum Teams'!N$2:N$1010) +
      (B226='Scrum Teams'!O$2:O$1010) +
      (B226='Scrum Teams'!P$2:P$1010) +
      (B226='Scrum Teams'!Q$2:Q$1010),
    0)
  ),
  "Not found"
)</f>
        <v>Not found</v>
      </c>
      <c r="P226" s="195" t="s">
        <v>22</v>
      </c>
      <c r="Q226" s="48"/>
    </row>
    <row r="227" spans="1:17" hidden="1">
      <c r="A227" s="41" t="s">
        <v>19</v>
      </c>
      <c r="B227" s="47" t="s">
        <v>670</v>
      </c>
      <c r="C227" s="41"/>
      <c r="D227" s="41"/>
      <c r="E227" s="41" t="s">
        <v>18</v>
      </c>
      <c r="F227" s="41"/>
      <c r="G227" s="41" t="s">
        <v>17</v>
      </c>
      <c r="H227" s="293" t="s">
        <v>296</v>
      </c>
      <c r="I227" s="293" t="s">
        <v>296</v>
      </c>
      <c r="J227" s="293" t="s">
        <v>296</v>
      </c>
      <c r="K227" s="293" t="s">
        <v>296</v>
      </c>
      <c r="L227" s="293" t="s">
        <v>296</v>
      </c>
      <c r="M227" s="293" t="s">
        <v>296</v>
      </c>
      <c r="N227" s="41"/>
      <c r="O227" s="137" t="str" cm="1">
        <f t="array" ref="O227">IFERROR(
  INDEX('Scrum Teams'!B$2:B$1010,
    MATCH(1,
      (B227='Scrum Teams'!F$2:F$1010) +
      (B227='Scrum Teams'!G$2:G$1010) +
      (B227='Scrum Teams'!H$2:H$1010) +
      (B227='Scrum Teams'!I$2:I$1010) +
      (B227='Scrum Teams'!J$2:J$1010) +
      (B227='Scrum Teams'!K$2:K$1010) +
      (B227='Scrum Teams'!L$2:L$1010) +
      (B227='Scrum Teams'!M$2:M$1010) +
      (B227='Scrum Teams'!N$2:N$1010) +
      (B227='Scrum Teams'!O$2:O$1010) +
      (B227='Scrum Teams'!P$2:P$1010) +
      (B227='Scrum Teams'!Q$2:Q$1010),
    0)
  ),
  "Not found"
)</f>
        <v>Not found</v>
      </c>
      <c r="P227" s="195"/>
      <c r="Q227" s="48" t="s">
        <v>671</v>
      </c>
    </row>
    <row r="228" spans="1:17" hidden="1">
      <c r="A228" s="41" t="s">
        <v>19</v>
      </c>
      <c r="B228" s="47" t="s">
        <v>672</v>
      </c>
      <c r="C228" s="41"/>
      <c r="D228" s="41"/>
      <c r="E228" s="41" t="s">
        <v>18</v>
      </c>
      <c r="F228" s="41"/>
      <c r="G228" s="41" t="s">
        <v>17</v>
      </c>
      <c r="H228" s="293" t="s">
        <v>296</v>
      </c>
      <c r="I228" s="293" t="s">
        <v>296</v>
      </c>
      <c r="J228" s="293" t="s">
        <v>296</v>
      </c>
      <c r="K228" s="293" t="s">
        <v>296</v>
      </c>
      <c r="L228" s="293" t="s">
        <v>296</v>
      </c>
      <c r="M228" s="293" t="s">
        <v>296</v>
      </c>
      <c r="N228" s="41"/>
      <c r="O228" s="137" t="str" cm="1">
        <f t="array" ref="O228">IFERROR(
  INDEX('Scrum Teams'!B$2:B$1010,
    MATCH(1,
      (B228='Scrum Teams'!F$2:F$1010) +
      (B228='Scrum Teams'!G$2:G$1010) +
      (B228='Scrum Teams'!H$2:H$1010) +
      (B228='Scrum Teams'!I$2:I$1010) +
      (B228='Scrum Teams'!J$2:J$1010) +
      (B228='Scrum Teams'!K$2:K$1010) +
      (B228='Scrum Teams'!L$2:L$1010) +
      (B228='Scrum Teams'!M$2:M$1010) +
      (B228='Scrum Teams'!N$2:N$1010) +
      (B228='Scrum Teams'!O$2:O$1010) +
      (B228='Scrum Teams'!P$2:P$1010) +
      (B228='Scrum Teams'!Q$2:Q$1010),
    0)
  ),
  "Not found"
)</f>
        <v>Not found</v>
      </c>
      <c r="P228" s="195"/>
      <c r="Q228" s="48" t="s">
        <v>671</v>
      </c>
    </row>
    <row r="229" spans="1:17" hidden="1">
      <c r="A229" s="41" t="s">
        <v>19</v>
      </c>
      <c r="B229" s="47" t="s">
        <v>673</v>
      </c>
      <c r="C229" s="41"/>
      <c r="D229" s="41"/>
      <c r="E229" s="41" t="s">
        <v>18</v>
      </c>
      <c r="F229" s="41"/>
      <c r="G229" s="41" t="s">
        <v>17</v>
      </c>
      <c r="H229" s="293" t="s">
        <v>296</v>
      </c>
      <c r="I229" s="293" t="s">
        <v>296</v>
      </c>
      <c r="J229" s="293" t="s">
        <v>296</v>
      </c>
      <c r="K229" s="293" t="s">
        <v>296</v>
      </c>
      <c r="L229" s="293" t="s">
        <v>296</v>
      </c>
      <c r="M229" s="293" t="s">
        <v>296</v>
      </c>
      <c r="N229" s="41"/>
      <c r="O229" s="137" t="str" cm="1">
        <f t="array" ref="O229">IFERROR(
  INDEX('Scrum Teams'!B$2:B$1010,
    MATCH(1,
      (B229='Scrum Teams'!F$2:F$1010) +
      (B229='Scrum Teams'!G$2:G$1010) +
      (B229='Scrum Teams'!H$2:H$1010) +
      (B229='Scrum Teams'!I$2:I$1010) +
      (B229='Scrum Teams'!J$2:J$1010) +
      (B229='Scrum Teams'!K$2:K$1010) +
      (B229='Scrum Teams'!L$2:L$1010) +
      (B229='Scrum Teams'!M$2:M$1010) +
      (B229='Scrum Teams'!N$2:N$1010) +
      (B229='Scrum Teams'!O$2:O$1010) +
      (B229='Scrum Teams'!P$2:P$1010) +
      (B229='Scrum Teams'!Q$2:Q$1010),
    0)
  ),
  "Not found"
)</f>
        <v>Not found</v>
      </c>
      <c r="P229" s="195"/>
      <c r="Q229" s="48" t="s">
        <v>671</v>
      </c>
    </row>
    <row r="230" spans="1:17" hidden="1">
      <c r="A230" s="41" t="s">
        <v>19</v>
      </c>
      <c r="B230" s="47" t="s">
        <v>674</v>
      </c>
      <c r="C230" s="41"/>
      <c r="D230" s="41"/>
      <c r="E230" s="41" t="s">
        <v>18</v>
      </c>
      <c r="F230" s="41"/>
      <c r="G230" s="41" t="s">
        <v>17</v>
      </c>
      <c r="H230" s="293" t="s">
        <v>296</v>
      </c>
      <c r="I230" s="293" t="s">
        <v>296</v>
      </c>
      <c r="J230" s="293" t="s">
        <v>296</v>
      </c>
      <c r="K230" s="293" t="s">
        <v>296</v>
      </c>
      <c r="L230" s="293" t="s">
        <v>296</v>
      </c>
      <c r="M230" s="293" t="s">
        <v>296</v>
      </c>
      <c r="N230" s="41"/>
      <c r="O230" s="137" t="str" cm="1">
        <f t="array" ref="O230">IFERROR(
  INDEX('Scrum Teams'!B$2:B$1010,
    MATCH(1,
      (B230='Scrum Teams'!F$2:F$1010) +
      (B230='Scrum Teams'!G$2:G$1010) +
      (B230='Scrum Teams'!H$2:H$1010) +
      (B230='Scrum Teams'!I$2:I$1010) +
      (B230='Scrum Teams'!J$2:J$1010) +
      (B230='Scrum Teams'!K$2:K$1010) +
      (B230='Scrum Teams'!L$2:L$1010) +
      (B230='Scrum Teams'!M$2:M$1010) +
      (B230='Scrum Teams'!N$2:N$1010) +
      (B230='Scrum Teams'!O$2:O$1010) +
      (B230='Scrum Teams'!P$2:P$1010) +
      (B230='Scrum Teams'!Q$2:Q$1010),
    0)
  ),
  "Not found"
)</f>
        <v>Not found</v>
      </c>
      <c r="P230" s="195"/>
      <c r="Q230" s="48" t="s">
        <v>671</v>
      </c>
    </row>
    <row r="231" spans="1:17" hidden="1">
      <c r="A231" s="41" t="s">
        <v>19</v>
      </c>
      <c r="B231" s="47" t="s">
        <v>675</v>
      </c>
      <c r="C231" s="41"/>
      <c r="D231" s="41"/>
      <c r="E231" s="41" t="s">
        <v>18</v>
      </c>
      <c r="F231" s="41"/>
      <c r="G231" s="41" t="s">
        <v>17</v>
      </c>
      <c r="H231" s="293" t="s">
        <v>296</v>
      </c>
      <c r="I231" s="293" t="s">
        <v>296</v>
      </c>
      <c r="J231" s="293" t="s">
        <v>296</v>
      </c>
      <c r="K231" s="293" t="s">
        <v>296</v>
      </c>
      <c r="L231" s="293" t="s">
        <v>296</v>
      </c>
      <c r="M231" s="293" t="s">
        <v>296</v>
      </c>
      <c r="N231" s="41"/>
      <c r="O231" s="137" t="str" cm="1">
        <f t="array" ref="O231">IFERROR(
  INDEX('Scrum Teams'!B$2:B$1010,
    MATCH(1,
      (B231='Scrum Teams'!F$2:F$1010) +
      (B231='Scrum Teams'!G$2:G$1010) +
      (B231='Scrum Teams'!H$2:H$1010) +
      (B231='Scrum Teams'!I$2:I$1010) +
      (B231='Scrum Teams'!J$2:J$1010) +
      (B231='Scrum Teams'!K$2:K$1010) +
      (B231='Scrum Teams'!L$2:L$1010) +
      (B231='Scrum Teams'!M$2:M$1010) +
      (B231='Scrum Teams'!N$2:N$1010) +
      (B231='Scrum Teams'!O$2:O$1010) +
      (B231='Scrum Teams'!P$2:P$1010) +
      (B231='Scrum Teams'!Q$2:Q$1010),
    0)
  ),
  "Not found"
)</f>
        <v>Not found</v>
      </c>
      <c r="P231" s="195"/>
      <c r="Q231" s="48" t="s">
        <v>671</v>
      </c>
    </row>
    <row r="232" spans="1:17" hidden="1">
      <c r="A232" s="41" t="s">
        <v>101</v>
      </c>
      <c r="B232" s="47" t="s">
        <v>101</v>
      </c>
      <c r="C232" s="41"/>
      <c r="D232" s="41"/>
      <c r="E232" s="41"/>
      <c r="F232" s="41"/>
      <c r="G232" s="41" t="s">
        <v>100</v>
      </c>
      <c r="H232" s="293" t="s">
        <v>296</v>
      </c>
      <c r="I232" s="293" t="s">
        <v>296</v>
      </c>
      <c r="J232" s="293" t="s">
        <v>296</v>
      </c>
      <c r="K232" s="293" t="s">
        <v>296</v>
      </c>
      <c r="L232" s="293" t="s">
        <v>296</v>
      </c>
      <c r="M232" s="290" t="s">
        <v>296</v>
      </c>
      <c r="N232" s="59" t="s">
        <v>547</v>
      </c>
      <c r="O232" s="137" t="str" cm="1">
        <f t="array" ref="O232">IFERROR(
  INDEX('Scrum Teams'!B$2:B$1010,
    MATCH(1,
      (B232='Scrum Teams'!F$2:F$1010) +
      (B232='Scrum Teams'!G$2:G$1010) +
      (B232='Scrum Teams'!H$2:H$1010) +
      (B232='Scrum Teams'!I$2:I$1010) +
      (B232='Scrum Teams'!J$2:J$1010) +
      (B232='Scrum Teams'!K$2:K$1010) +
      (B232='Scrum Teams'!L$2:L$1010) +
      (B232='Scrum Teams'!M$2:M$1010) +
      (B232='Scrum Teams'!N$2:N$1010) +
      (B232='Scrum Teams'!O$2:O$1010) +
      (B232='Scrum Teams'!P$2:P$1010) +
      (B232='Scrum Teams'!Q$2:Q$1010),
    0)
  ),
  "Not found"
)</f>
        <v>Not found</v>
      </c>
      <c r="P232" s="195"/>
      <c r="Q232" s="48"/>
    </row>
    <row r="233" spans="1:17" hidden="1">
      <c r="A233" s="41" t="s">
        <v>63</v>
      </c>
      <c r="B233" s="47" t="s">
        <v>676</v>
      </c>
      <c r="C233" s="41" t="s">
        <v>677</v>
      </c>
      <c r="D233" s="41" t="s">
        <v>678</v>
      </c>
      <c r="E233" s="41" t="s">
        <v>55</v>
      </c>
      <c r="F233" s="41"/>
      <c r="G233" s="41" t="s">
        <v>55</v>
      </c>
      <c r="H233" s="299" t="s">
        <v>329</v>
      </c>
      <c r="I233" s="291" t="s">
        <v>315</v>
      </c>
      <c r="J233" s="291" t="s">
        <v>315</v>
      </c>
      <c r="K233" s="291" t="s">
        <v>309</v>
      </c>
      <c r="L233" s="291"/>
      <c r="M233" s="291" t="s">
        <v>98</v>
      </c>
      <c r="N233" s="41" t="s">
        <v>679</v>
      </c>
      <c r="O233" s="137" t="str" cm="1">
        <f t="array" ref="O233">IFERROR(
  INDEX('Scrum Teams'!B$2:B$1010,
    MATCH(1,
      (B233='Scrum Teams'!F$2:F$1010) +
      (B233='Scrum Teams'!G$2:G$1010) +
      (B233='Scrum Teams'!H$2:H$1010) +
      (B233='Scrum Teams'!I$2:I$1010) +
      (B233='Scrum Teams'!J$2:J$1010) +
      (B233='Scrum Teams'!K$2:K$1010) +
      (B233='Scrum Teams'!L$2:L$1010) +
      (B233='Scrum Teams'!M$2:M$1010) +
      (B233='Scrum Teams'!N$2:N$1010) +
      (B233='Scrum Teams'!O$2:O$1010) +
      (B233='Scrum Teams'!P$2:P$1010) +
      (B233='Scrum Teams'!Q$2:Q$1010),
    0)
  ),
  "Not found"
)</f>
        <v>VDP &amp; Rewrite</v>
      </c>
      <c r="P233" s="195" t="s">
        <v>63</v>
      </c>
      <c r="Q233" s="37" t="s">
        <v>307</v>
      </c>
    </row>
    <row r="234" spans="1:17" hidden="1">
      <c r="A234" s="41" t="s">
        <v>63</v>
      </c>
      <c r="B234" s="47" t="s">
        <v>680</v>
      </c>
      <c r="C234" s="41" t="s">
        <v>677</v>
      </c>
      <c r="D234" s="41" t="s">
        <v>678</v>
      </c>
      <c r="E234" s="41" t="s">
        <v>55</v>
      </c>
      <c r="F234" s="41"/>
      <c r="G234" s="41" t="s">
        <v>55</v>
      </c>
      <c r="H234" s="291" t="s">
        <v>681</v>
      </c>
      <c r="I234" s="291" t="s">
        <v>338</v>
      </c>
      <c r="J234" s="291" t="s">
        <v>339</v>
      </c>
      <c r="K234" s="291" t="s">
        <v>313</v>
      </c>
      <c r="L234" s="291" t="s">
        <v>313</v>
      </c>
      <c r="M234" s="291" t="s">
        <v>225</v>
      </c>
      <c r="N234" s="41" t="s">
        <v>682</v>
      </c>
      <c r="O234" s="137" t="str" cm="1">
        <f t="array" ref="O234">IFERROR(
  INDEX('Scrum Teams'!B$2:B$1010,
    MATCH(1,
      (B234='Scrum Teams'!F$2:F$1010) +
      (B234='Scrum Teams'!G$2:G$1010) +
      (B234='Scrum Teams'!H$2:H$1010) +
      (B234='Scrum Teams'!I$2:I$1010) +
      (B234='Scrum Teams'!J$2:J$1010) +
      (B234='Scrum Teams'!K$2:K$1010) +
      (B234='Scrum Teams'!L$2:L$1010) +
      (B234='Scrum Teams'!M$2:M$1010) +
      (B234='Scrum Teams'!N$2:N$1010) +
      (B234='Scrum Teams'!O$2:O$1010) +
      (B234='Scrum Teams'!P$2:P$1010) +
      (B234='Scrum Teams'!Q$2:Q$1010),
    0)
  ),
  "Not found"
)</f>
        <v>VDP &amp; Rewrite</v>
      </c>
      <c r="P234" s="195" t="s">
        <v>63</v>
      </c>
      <c r="Q234" s="37" t="s">
        <v>307</v>
      </c>
    </row>
    <row r="235" spans="1:17" hidden="1">
      <c r="A235" s="41" t="s">
        <v>63</v>
      </c>
      <c r="B235" s="47" t="s">
        <v>683</v>
      </c>
      <c r="C235" s="41" t="s">
        <v>677</v>
      </c>
      <c r="D235" s="41" t="s">
        <v>678</v>
      </c>
      <c r="E235" s="41" t="s">
        <v>55</v>
      </c>
      <c r="F235" s="41"/>
      <c r="G235" s="41" t="s">
        <v>55</v>
      </c>
      <c r="H235" s="291" t="s">
        <v>681</v>
      </c>
      <c r="I235" s="291" t="s">
        <v>338</v>
      </c>
      <c r="J235" s="291" t="s">
        <v>339</v>
      </c>
      <c r="K235" s="291" t="s">
        <v>313</v>
      </c>
      <c r="L235" s="291" t="s">
        <v>313</v>
      </c>
      <c r="M235" s="291" t="s">
        <v>225</v>
      </c>
      <c r="N235" s="59" t="s">
        <v>679</v>
      </c>
      <c r="O235" s="137" t="str" cm="1">
        <f t="array" ref="O235">IFERROR(
  INDEX('Scrum Teams'!B$2:B$1010,
    MATCH(1,
      (B235='Scrum Teams'!F$2:F$1010) +
      (B235='Scrum Teams'!G$2:G$1010) +
      (B235='Scrum Teams'!H$2:H$1010) +
      (B235='Scrum Teams'!I$2:I$1010) +
      (B235='Scrum Teams'!J$2:J$1010) +
      (B235='Scrum Teams'!K$2:K$1010) +
      (B235='Scrum Teams'!L$2:L$1010) +
      (B235='Scrum Teams'!M$2:M$1010) +
      (B235='Scrum Teams'!N$2:N$1010) +
      (B235='Scrum Teams'!O$2:O$1010) +
      (B235='Scrum Teams'!P$2:P$1010) +
      (B235='Scrum Teams'!Q$2:Q$1010),
    0)
  ),
  "Not found"
)</f>
        <v>R3, LD &amp; Automation</v>
      </c>
      <c r="P235" s="195" t="s">
        <v>63</v>
      </c>
      <c r="Q235" s="37" t="s">
        <v>307</v>
      </c>
    </row>
    <row r="236" spans="1:17" hidden="1">
      <c r="A236" s="41" t="s">
        <v>63</v>
      </c>
      <c r="B236" s="47" t="s">
        <v>684</v>
      </c>
      <c r="C236" s="41" t="s">
        <v>677</v>
      </c>
      <c r="D236" s="41" t="s">
        <v>678</v>
      </c>
      <c r="E236" s="41" t="s">
        <v>55</v>
      </c>
      <c r="F236" s="41"/>
      <c r="G236" s="41" t="s">
        <v>55</v>
      </c>
      <c r="H236" s="291" t="s">
        <v>397</v>
      </c>
      <c r="I236" s="291" t="s">
        <v>339</v>
      </c>
      <c r="J236" s="291" t="s">
        <v>339</v>
      </c>
      <c r="K236" s="291" t="s">
        <v>313</v>
      </c>
      <c r="L236" s="291" t="s">
        <v>313</v>
      </c>
      <c r="M236" s="291" t="s">
        <v>225</v>
      </c>
      <c r="N236" s="59" t="s">
        <v>679</v>
      </c>
      <c r="O236" s="137" t="str" cm="1">
        <f t="array" ref="O236">IFERROR(
  INDEX('Scrum Teams'!B$2:B$1010,
    MATCH(1,
      (B236='Scrum Teams'!F$2:F$1010) +
      (B236='Scrum Teams'!G$2:G$1010) +
      (B236='Scrum Teams'!H$2:H$1010) +
      (B236='Scrum Teams'!I$2:I$1010) +
      (B236='Scrum Teams'!J$2:J$1010) +
      (B236='Scrum Teams'!K$2:K$1010) +
      (B236='Scrum Teams'!L$2:L$1010) +
      (B236='Scrum Teams'!M$2:M$1010) +
      (B236='Scrum Teams'!N$2:N$1010) +
      (B236='Scrum Teams'!O$2:O$1010) +
      (B236='Scrum Teams'!P$2:P$1010) +
      (B236='Scrum Teams'!Q$2:Q$1010),
    0)
  ),
  "Not found"
)</f>
        <v>Tax &amp; Fee</v>
      </c>
      <c r="P236" s="195" t="s">
        <v>63</v>
      </c>
      <c r="Q236" s="37" t="s">
        <v>307</v>
      </c>
    </row>
    <row r="237" spans="1:17" hidden="1">
      <c r="A237" s="41" t="s">
        <v>63</v>
      </c>
      <c r="B237" s="47" t="s">
        <v>685</v>
      </c>
      <c r="C237" s="41" t="s">
        <v>677</v>
      </c>
      <c r="D237" s="41" t="s">
        <v>678</v>
      </c>
      <c r="E237" s="41" t="s">
        <v>55</v>
      </c>
      <c r="F237" s="41"/>
      <c r="G237" s="41" t="s">
        <v>55</v>
      </c>
      <c r="H237" s="291" t="s">
        <v>397</v>
      </c>
      <c r="I237" s="291" t="s">
        <v>339</v>
      </c>
      <c r="J237" s="291" t="s">
        <v>339</v>
      </c>
      <c r="K237" s="291" t="s">
        <v>313</v>
      </c>
      <c r="L237" s="291" t="s">
        <v>313</v>
      </c>
      <c r="M237" s="291" t="s">
        <v>225</v>
      </c>
      <c r="N237" s="59" t="s">
        <v>679</v>
      </c>
      <c r="O237" s="137" t="str" cm="1">
        <f t="array" ref="O237">IFERROR(
  INDEX('Scrum Teams'!B$2:B$1010,
    MATCH(1,
      (B237='Scrum Teams'!F$2:F$1010) +
      (B237='Scrum Teams'!G$2:G$1010) +
      (B237='Scrum Teams'!H$2:H$1010) +
      (B237='Scrum Teams'!I$2:I$1010) +
      (B237='Scrum Teams'!J$2:J$1010) +
      (B237='Scrum Teams'!K$2:K$1010) +
      (B237='Scrum Teams'!L$2:L$1010) +
      (B237='Scrum Teams'!M$2:M$1010) +
      (B237='Scrum Teams'!N$2:N$1010) +
      (B237='Scrum Teams'!O$2:O$1010) +
      (B237='Scrum Teams'!P$2:P$1010) +
      (B237='Scrum Teams'!Q$2:Q$1010),
    0)
  ),
  "Not found"
)</f>
        <v>Tax &amp; Fee</v>
      </c>
      <c r="P237" s="195" t="s">
        <v>63</v>
      </c>
      <c r="Q237" s="37" t="s">
        <v>307</v>
      </c>
    </row>
    <row r="238" spans="1:17" hidden="1">
      <c r="A238" s="41" t="s">
        <v>63</v>
      </c>
      <c r="B238" s="47" t="s">
        <v>686</v>
      </c>
      <c r="C238" s="41" t="s">
        <v>677</v>
      </c>
      <c r="D238" s="41" t="s">
        <v>678</v>
      </c>
      <c r="E238" s="41" t="s">
        <v>55</v>
      </c>
      <c r="F238" s="41"/>
      <c r="G238" s="41" t="s">
        <v>55</v>
      </c>
      <c r="H238" s="291" t="s">
        <v>681</v>
      </c>
      <c r="I238" s="291" t="s">
        <v>338</v>
      </c>
      <c r="J238" s="291" t="s">
        <v>339</v>
      </c>
      <c r="K238" s="291" t="s">
        <v>313</v>
      </c>
      <c r="L238" s="291" t="s">
        <v>313</v>
      </c>
      <c r="M238" s="291" t="s">
        <v>225</v>
      </c>
      <c r="N238" s="59"/>
      <c r="O238" s="137" t="str" cm="1">
        <f t="array" ref="O238">IFERROR(
  INDEX('Scrum Teams'!B$2:B$1010,
    MATCH(1,
      (B238='Scrum Teams'!F$2:F$1010) +
      (B238='Scrum Teams'!G$2:G$1010) +
      (B238='Scrum Teams'!H$2:H$1010) +
      (B238='Scrum Teams'!I$2:I$1010) +
      (B238='Scrum Teams'!J$2:J$1010) +
      (B238='Scrum Teams'!K$2:K$1010) +
      (B238='Scrum Teams'!L$2:L$1010) +
      (B238='Scrum Teams'!M$2:M$1010) +
      (B238='Scrum Teams'!N$2:N$1010) +
      (B238='Scrum Teams'!O$2:O$1010) +
      (B238='Scrum Teams'!P$2:P$1010) +
      (B238='Scrum Teams'!Q$2:Q$1010),
    0)
  ),
  "Not found"
)</f>
        <v>R3, LD &amp; Automation</v>
      </c>
      <c r="P238" s="195" t="s">
        <v>63</v>
      </c>
      <c r="Q238" s="37" t="s">
        <v>307</v>
      </c>
    </row>
    <row r="239" spans="1:17" hidden="1">
      <c r="A239" s="41" t="s">
        <v>63</v>
      </c>
      <c r="B239" s="47" t="s">
        <v>687</v>
      </c>
      <c r="C239" s="41" t="s">
        <v>677</v>
      </c>
      <c r="D239" s="41" t="s">
        <v>678</v>
      </c>
      <c r="E239" s="41" t="s">
        <v>55</v>
      </c>
      <c r="F239" s="41"/>
      <c r="G239" s="41" t="s">
        <v>55</v>
      </c>
      <c r="H239" s="291" t="s">
        <v>688</v>
      </c>
      <c r="I239" s="291"/>
      <c r="J239" s="291"/>
      <c r="K239" s="291" t="s">
        <v>689</v>
      </c>
      <c r="L239" s="291"/>
      <c r="M239" s="291" t="s">
        <v>5</v>
      </c>
      <c r="N239" s="59"/>
      <c r="O239" s="137" t="str" cm="1">
        <f t="array" ref="O239">IFERROR(
  INDEX('Scrum Teams'!B$2:B$1010,
    MATCH(1,
      (B239='Scrum Teams'!F$2:F$1010) +
      (B239='Scrum Teams'!G$2:G$1010) +
      (B239='Scrum Teams'!H$2:H$1010) +
      (B239='Scrum Teams'!I$2:I$1010) +
      (B239='Scrum Teams'!J$2:J$1010) +
      (B239='Scrum Teams'!K$2:K$1010) +
      (B239='Scrum Teams'!L$2:L$1010) +
      (B239='Scrum Teams'!M$2:M$1010) +
      (B239='Scrum Teams'!N$2:N$1010) +
      (B239='Scrum Teams'!O$2:O$1010) +
      (B239='Scrum Teams'!P$2:P$1010) +
      (B239='Scrum Teams'!Q$2:Q$1010),
    0)
  ),
  "Not found"
)</f>
        <v>R3, LD &amp; Automation</v>
      </c>
      <c r="P239" s="195" t="s">
        <v>63</v>
      </c>
      <c r="Q239" s="37" t="s">
        <v>307</v>
      </c>
    </row>
    <row r="240" spans="1:17" hidden="1">
      <c r="A240" s="41" t="s">
        <v>63</v>
      </c>
      <c r="B240" s="47" t="s">
        <v>690</v>
      </c>
      <c r="C240" s="43" t="s">
        <v>691</v>
      </c>
      <c r="D240" s="41" t="s">
        <v>678</v>
      </c>
      <c r="E240" s="41" t="s">
        <v>55</v>
      </c>
      <c r="F240" s="41"/>
      <c r="G240" s="41" t="s">
        <v>55</v>
      </c>
      <c r="H240" s="262" t="s">
        <v>692</v>
      </c>
      <c r="I240" s="250"/>
      <c r="J240" s="250"/>
      <c r="K240" s="243" t="s">
        <v>249</v>
      </c>
      <c r="L240" s="250"/>
      <c r="M240" s="291" t="s">
        <v>250</v>
      </c>
      <c r="N240" s="59"/>
      <c r="O240" s="137" t="str" cm="1">
        <f t="array" ref="O240">IFERROR(
  INDEX('Scrum Teams'!B$2:B$1010,
    MATCH(1,
      (B240='Scrum Teams'!F$2:F$1010) +
      (B240='Scrum Teams'!G$2:G$1010) +
      (B240='Scrum Teams'!H$2:H$1010) +
      (B240='Scrum Teams'!I$2:I$1010) +
      (B240='Scrum Teams'!J$2:J$1010) +
      (B240='Scrum Teams'!K$2:K$1010) +
      (B240='Scrum Teams'!L$2:L$1010) +
      (B240='Scrum Teams'!M$2:M$1010) +
      (B240='Scrum Teams'!N$2:N$1010) +
      (B240='Scrum Teams'!O$2:O$1010) +
      (B240='Scrum Teams'!P$2:P$1010) +
      (B240='Scrum Teams'!Q$2:Q$1010),
    0)
  ),
  "Not found"
)</f>
        <v>SCP</v>
      </c>
      <c r="P240" s="195" t="s">
        <v>63</v>
      </c>
      <c r="Q240" s="37" t="s">
        <v>307</v>
      </c>
    </row>
    <row r="241" spans="1:17" hidden="1">
      <c r="A241" s="41" t="s">
        <v>63</v>
      </c>
      <c r="B241" s="47" t="s">
        <v>693</v>
      </c>
      <c r="C241" s="41" t="s">
        <v>678</v>
      </c>
      <c r="D241" s="41" t="s">
        <v>678</v>
      </c>
      <c r="E241" s="41" t="s">
        <v>55</v>
      </c>
      <c r="F241" s="41"/>
      <c r="G241" s="41" t="s">
        <v>55</v>
      </c>
      <c r="H241" s="291" t="s">
        <v>681</v>
      </c>
      <c r="I241" s="291" t="s">
        <v>338</v>
      </c>
      <c r="J241" s="291" t="s">
        <v>339</v>
      </c>
      <c r="K241" s="291" t="s">
        <v>313</v>
      </c>
      <c r="L241" s="291" t="s">
        <v>313</v>
      </c>
      <c r="M241" s="291" t="s">
        <v>225</v>
      </c>
      <c r="N241" s="59"/>
      <c r="O241" s="137" t="str" cm="1">
        <f t="array" ref="O241">IFERROR(
  INDEX('Scrum Teams'!B$2:B$1010,
    MATCH(1,
      (B241='Scrum Teams'!F$2:F$1010) +
      (B241='Scrum Teams'!G$2:G$1010) +
      (B241='Scrum Teams'!H$2:H$1010) +
      (B241='Scrum Teams'!I$2:I$1010) +
      (B241='Scrum Teams'!J$2:J$1010) +
      (B241='Scrum Teams'!K$2:K$1010) +
      (B241='Scrum Teams'!L$2:L$1010) +
      (B241='Scrum Teams'!M$2:M$1010) +
      (B241='Scrum Teams'!N$2:N$1010) +
      (B241='Scrum Teams'!O$2:O$1010) +
      (B241='Scrum Teams'!P$2:P$1010) +
      (B241='Scrum Teams'!Q$2:Q$1010),
    0)
  ),
  "Not found"
)</f>
        <v>Not found</v>
      </c>
      <c r="P241" s="195" t="s">
        <v>63</v>
      </c>
      <c r="Q241" s="37" t="s">
        <v>307</v>
      </c>
    </row>
    <row r="242" spans="1:17" hidden="1">
      <c r="A242" s="41" t="s">
        <v>63</v>
      </c>
      <c r="B242" s="47" t="s">
        <v>694</v>
      </c>
      <c r="C242" s="41" t="s">
        <v>678</v>
      </c>
      <c r="D242" s="41" t="s">
        <v>678</v>
      </c>
      <c r="E242" s="41" t="s">
        <v>55</v>
      </c>
      <c r="F242" s="41"/>
      <c r="G242" s="41" t="s">
        <v>55</v>
      </c>
      <c r="H242" s="291" t="s">
        <v>681</v>
      </c>
      <c r="I242" s="291" t="s">
        <v>338</v>
      </c>
      <c r="J242" s="291" t="s">
        <v>339</v>
      </c>
      <c r="K242" s="291" t="s">
        <v>313</v>
      </c>
      <c r="L242" s="291" t="s">
        <v>313</v>
      </c>
      <c r="M242" s="291" t="s">
        <v>225</v>
      </c>
      <c r="N242" s="59"/>
      <c r="O242" s="137" t="str" cm="1">
        <f t="array" ref="O242">IFERROR(
  INDEX('Scrum Teams'!B$2:B$1010,
    MATCH(1,
      (B242='Scrum Teams'!F$2:F$1010) +
      (B242='Scrum Teams'!G$2:G$1010) +
      (B242='Scrum Teams'!H$2:H$1010) +
      (B242='Scrum Teams'!I$2:I$1010) +
      (B242='Scrum Teams'!J$2:J$1010) +
      (B242='Scrum Teams'!K$2:K$1010) +
      (B242='Scrum Teams'!L$2:L$1010) +
      (B242='Scrum Teams'!M$2:M$1010) +
      (B242='Scrum Teams'!N$2:N$1010) +
      (B242='Scrum Teams'!O$2:O$1010) +
      (B242='Scrum Teams'!P$2:P$1010) +
      (B242='Scrum Teams'!Q$2:Q$1010),
    0)
  ),
  "Not found"
)</f>
        <v>Not found</v>
      </c>
      <c r="P242" s="195" t="s">
        <v>63</v>
      </c>
      <c r="Q242" s="37" t="s">
        <v>307</v>
      </c>
    </row>
    <row r="243" spans="1:17" hidden="1">
      <c r="A243" s="41" t="s">
        <v>25</v>
      </c>
      <c r="B243" s="47" t="s">
        <v>695</v>
      </c>
      <c r="C243" s="174" t="s">
        <v>696</v>
      </c>
      <c r="D243" s="174" t="s">
        <v>696</v>
      </c>
      <c r="E243" s="3" t="s">
        <v>24</v>
      </c>
      <c r="F243" s="3" t="s">
        <v>24</v>
      </c>
      <c r="G243" s="3" t="s">
        <v>23</v>
      </c>
      <c r="H243" s="290" t="s">
        <v>296</v>
      </c>
      <c r="I243" s="290" t="s">
        <v>296</v>
      </c>
      <c r="J243" s="290" t="s">
        <v>296</v>
      </c>
      <c r="K243" s="290" t="s">
        <v>296</v>
      </c>
      <c r="L243" s="290" t="s">
        <v>296</v>
      </c>
      <c r="M243" s="290" t="s">
        <v>296</v>
      </c>
      <c r="N243" s="59" t="s">
        <v>547</v>
      </c>
      <c r="O243" s="137" t="str" cm="1">
        <f t="array" ref="O243">IFERROR(
  INDEX('Scrum Teams'!B$2:B$1010,
    MATCH(1,
      (B243='Scrum Teams'!F$2:F$1010) +
      (B243='Scrum Teams'!G$2:G$1010) +
      (B243='Scrum Teams'!H$2:H$1010) +
      (B243='Scrum Teams'!I$2:I$1010) +
      (B243='Scrum Teams'!J$2:J$1010) +
      (B243='Scrum Teams'!K$2:K$1010) +
      (B243='Scrum Teams'!L$2:L$1010) +
      (B243='Scrum Teams'!M$2:M$1010) +
      (B243='Scrum Teams'!N$2:N$1010) +
      (B243='Scrum Teams'!O$2:O$1010) +
      (B243='Scrum Teams'!P$2:P$1010) +
      (B243='Scrum Teams'!Q$2:Q$1010),
    0)
  ),
  "Not found"
)</f>
        <v>Orbit Platform</v>
      </c>
      <c r="P243" s="194" t="s">
        <v>697</v>
      </c>
      <c r="Q243" s="37" t="s">
        <v>275</v>
      </c>
    </row>
    <row r="244" spans="1:17" hidden="1">
      <c r="A244" s="41" t="s">
        <v>25</v>
      </c>
      <c r="B244" s="47" t="s">
        <v>698</v>
      </c>
      <c r="C244" s="174" t="s">
        <v>699</v>
      </c>
      <c r="D244" s="174" t="s">
        <v>699</v>
      </c>
      <c r="E244" s="3" t="s">
        <v>24</v>
      </c>
      <c r="F244" s="3" t="s">
        <v>24</v>
      </c>
      <c r="G244" s="3" t="s">
        <v>23</v>
      </c>
      <c r="H244" s="290" t="s">
        <v>296</v>
      </c>
      <c r="I244" s="290" t="s">
        <v>296</v>
      </c>
      <c r="J244" s="290" t="s">
        <v>296</v>
      </c>
      <c r="K244" s="290" t="s">
        <v>296</v>
      </c>
      <c r="L244" s="290" t="s">
        <v>296</v>
      </c>
      <c r="M244" s="290" t="s">
        <v>296</v>
      </c>
      <c r="N244" s="59"/>
      <c r="O244" s="137" t="str" cm="1">
        <f t="array" ref="O244">IFERROR(
  INDEX('Scrum Teams'!B$2:B$1010,
    MATCH(1,
      (B244='Scrum Teams'!F$2:F$1010) +
      (B244='Scrum Teams'!G$2:G$1010) +
      (B244='Scrum Teams'!H$2:H$1010) +
      (B244='Scrum Teams'!I$2:I$1010) +
      (B244='Scrum Teams'!J$2:J$1010) +
      (B244='Scrum Teams'!K$2:K$1010) +
      (B244='Scrum Teams'!L$2:L$1010) +
      (B244='Scrum Teams'!M$2:M$1010) +
      (B244='Scrum Teams'!N$2:N$1010) +
      (B244='Scrum Teams'!O$2:O$1010) +
      (B244='Scrum Teams'!P$2:P$1010) +
      (B244='Scrum Teams'!Q$2:Q$1010),
    0)
  ),
  "Not found"
)</f>
        <v>Orbit Agents</v>
      </c>
      <c r="P244" s="194" t="s">
        <v>697</v>
      </c>
      <c r="Q244" s="37" t="s">
        <v>275</v>
      </c>
    </row>
    <row r="245" spans="1:17" hidden="1">
      <c r="A245" s="41" t="s">
        <v>25</v>
      </c>
      <c r="B245" s="47" t="s">
        <v>700</v>
      </c>
      <c r="C245" s="174" t="s">
        <v>696</v>
      </c>
      <c r="D245" s="174" t="s">
        <v>696</v>
      </c>
      <c r="E245" s="3" t="s">
        <v>24</v>
      </c>
      <c r="F245" s="3" t="s">
        <v>24</v>
      </c>
      <c r="G245" s="3" t="s">
        <v>23</v>
      </c>
      <c r="H245" s="290" t="s">
        <v>296</v>
      </c>
      <c r="I245" s="290" t="s">
        <v>296</v>
      </c>
      <c r="J245" s="290" t="s">
        <v>296</v>
      </c>
      <c r="K245" s="290" t="s">
        <v>296</v>
      </c>
      <c r="L245" s="290" t="s">
        <v>296</v>
      </c>
      <c r="M245" s="290" t="s">
        <v>296</v>
      </c>
      <c r="N245" s="59"/>
      <c r="O245" s="137" t="str" cm="1">
        <f t="array" ref="O245">IFERROR(
  INDEX('Scrum Teams'!B$2:B$1010,
    MATCH(1,
      (B245='Scrum Teams'!F$2:F$1010) +
      (B245='Scrum Teams'!G$2:G$1010) +
      (B245='Scrum Teams'!H$2:H$1010) +
      (B245='Scrum Teams'!I$2:I$1010) +
      (B245='Scrum Teams'!J$2:J$1010) +
      (B245='Scrum Teams'!K$2:K$1010) +
      (B245='Scrum Teams'!L$2:L$1010) +
      (B245='Scrum Teams'!M$2:M$1010) +
      (B245='Scrum Teams'!N$2:N$1010) +
      (B245='Scrum Teams'!O$2:O$1010) +
      (B245='Scrum Teams'!P$2:P$1010) +
      (B245='Scrum Teams'!Q$2:Q$1010),
    0)
  ),
  "Not found"
)</f>
        <v>Orbit Platform</v>
      </c>
      <c r="P245" s="194" t="s">
        <v>697</v>
      </c>
      <c r="Q245" s="37" t="s">
        <v>275</v>
      </c>
    </row>
    <row r="246" spans="1:17" hidden="1">
      <c r="A246" s="41" t="s">
        <v>25</v>
      </c>
      <c r="B246" s="47" t="s">
        <v>701</v>
      </c>
      <c r="C246" s="174" t="s">
        <v>699</v>
      </c>
      <c r="D246" s="174" t="s">
        <v>699</v>
      </c>
      <c r="E246" s="3" t="s">
        <v>24</v>
      </c>
      <c r="F246" s="3" t="s">
        <v>24</v>
      </c>
      <c r="G246" s="3" t="s">
        <v>23</v>
      </c>
      <c r="H246" s="290" t="s">
        <v>296</v>
      </c>
      <c r="I246" s="290" t="s">
        <v>296</v>
      </c>
      <c r="J246" s="290" t="s">
        <v>296</v>
      </c>
      <c r="K246" s="290" t="s">
        <v>296</v>
      </c>
      <c r="L246" s="290" t="s">
        <v>296</v>
      </c>
      <c r="M246" s="290" t="s">
        <v>296</v>
      </c>
      <c r="N246" s="59"/>
      <c r="O246" s="137" t="str" cm="1">
        <f t="array" ref="O246">IFERROR(
  INDEX('Scrum Teams'!B$2:B$1010,
    MATCH(1,
      (B246='Scrum Teams'!F$2:F$1010) +
      (B246='Scrum Teams'!G$2:G$1010) +
      (B246='Scrum Teams'!H$2:H$1010) +
      (B246='Scrum Teams'!I$2:I$1010) +
      (B246='Scrum Teams'!J$2:J$1010) +
      (B246='Scrum Teams'!K$2:K$1010) +
      (B246='Scrum Teams'!L$2:L$1010) +
      (B246='Scrum Teams'!M$2:M$1010) +
      (B246='Scrum Teams'!N$2:N$1010) +
      (B246='Scrum Teams'!O$2:O$1010) +
      (B246='Scrum Teams'!P$2:P$1010) +
      (B246='Scrum Teams'!Q$2:Q$1010),
    0)
  ),
  "Not found"
)</f>
        <v>Orbit Agents</v>
      </c>
      <c r="P246" s="194" t="s">
        <v>697</v>
      </c>
      <c r="Q246" s="37" t="s">
        <v>275</v>
      </c>
    </row>
    <row r="247" spans="1:17" hidden="1">
      <c r="A247" s="41" t="s">
        <v>25</v>
      </c>
      <c r="B247" s="47" t="s">
        <v>702</v>
      </c>
      <c r="C247" s="174" t="s">
        <v>699</v>
      </c>
      <c r="D247" s="174" t="s">
        <v>699</v>
      </c>
      <c r="E247" s="3" t="s">
        <v>24</v>
      </c>
      <c r="F247" s="3" t="s">
        <v>24</v>
      </c>
      <c r="G247" s="3" t="s">
        <v>23</v>
      </c>
      <c r="H247" s="290" t="s">
        <v>296</v>
      </c>
      <c r="I247" s="290" t="s">
        <v>296</v>
      </c>
      <c r="J247" s="290" t="s">
        <v>296</v>
      </c>
      <c r="K247" s="290" t="s">
        <v>296</v>
      </c>
      <c r="L247" s="290" t="s">
        <v>296</v>
      </c>
      <c r="M247" s="290" t="s">
        <v>296</v>
      </c>
      <c r="N247" s="59"/>
      <c r="O247" s="137" t="str" cm="1">
        <f t="array" ref="O247">IFERROR(
  INDEX('Scrum Teams'!B$2:B$1010,
    MATCH(1,
      (B247='Scrum Teams'!F$2:F$1010) +
      (B247='Scrum Teams'!G$2:G$1010) +
      (B247='Scrum Teams'!H$2:H$1010) +
      (B247='Scrum Teams'!I$2:I$1010) +
      (B247='Scrum Teams'!J$2:J$1010) +
      (B247='Scrum Teams'!K$2:K$1010) +
      (B247='Scrum Teams'!L$2:L$1010) +
      (B247='Scrum Teams'!M$2:M$1010) +
      (B247='Scrum Teams'!N$2:N$1010) +
      (B247='Scrum Teams'!O$2:O$1010) +
      (B247='Scrum Teams'!P$2:P$1010) +
      (B247='Scrum Teams'!Q$2:Q$1010),
    0)
  ),
  "Not found"
)</f>
        <v>Orbit Agents</v>
      </c>
      <c r="P247" s="194" t="s">
        <v>697</v>
      </c>
      <c r="Q247" s="37" t="s">
        <v>275</v>
      </c>
    </row>
    <row r="248" spans="1:17" hidden="1">
      <c r="A248" s="41" t="s">
        <v>25</v>
      </c>
      <c r="B248" s="47" t="s">
        <v>703</v>
      </c>
      <c r="C248" s="174" t="s">
        <v>699</v>
      </c>
      <c r="D248" s="174" t="s">
        <v>699</v>
      </c>
      <c r="E248" s="3" t="s">
        <v>24</v>
      </c>
      <c r="F248" s="3" t="s">
        <v>24</v>
      </c>
      <c r="G248" s="3" t="s">
        <v>23</v>
      </c>
      <c r="H248" s="290" t="s">
        <v>296</v>
      </c>
      <c r="I248" s="290" t="s">
        <v>296</v>
      </c>
      <c r="J248" s="290" t="s">
        <v>296</v>
      </c>
      <c r="K248" s="290" t="s">
        <v>296</v>
      </c>
      <c r="L248" s="290" t="s">
        <v>296</v>
      </c>
      <c r="M248" s="290" t="s">
        <v>296</v>
      </c>
      <c r="N248" s="59"/>
      <c r="O248" s="137" t="str" cm="1">
        <f t="array" ref="O248">IFERROR(
  INDEX('Scrum Teams'!B$2:B$1010,
    MATCH(1,
      (B248='Scrum Teams'!F$2:F$1010) +
      (B248='Scrum Teams'!G$2:G$1010) +
      (B248='Scrum Teams'!H$2:H$1010) +
      (B248='Scrum Teams'!I$2:I$1010) +
      (B248='Scrum Teams'!J$2:J$1010) +
      (B248='Scrum Teams'!K$2:K$1010) +
      (B248='Scrum Teams'!L$2:L$1010) +
      (B248='Scrum Teams'!M$2:M$1010) +
      (B248='Scrum Teams'!N$2:N$1010) +
      (B248='Scrum Teams'!O$2:O$1010) +
      (B248='Scrum Teams'!P$2:P$1010) +
      (B248='Scrum Teams'!Q$2:Q$1010),
    0)
  ),
  "Not found"
)</f>
        <v>Orbit Agents</v>
      </c>
      <c r="P248" s="194" t="s">
        <v>697</v>
      </c>
      <c r="Q248" s="37" t="s">
        <v>275</v>
      </c>
    </row>
    <row r="249" spans="1:17" hidden="1">
      <c r="A249" s="41" t="s">
        <v>25</v>
      </c>
      <c r="B249" s="242" t="s">
        <v>704</v>
      </c>
      <c r="C249" s="241" t="s">
        <v>696</v>
      </c>
      <c r="D249" s="241" t="s">
        <v>696</v>
      </c>
      <c r="E249" s="243" t="s">
        <v>24</v>
      </c>
      <c r="F249" s="3" t="s">
        <v>24</v>
      </c>
      <c r="G249" s="3" t="s">
        <v>23</v>
      </c>
      <c r="H249" s="290" t="s">
        <v>296</v>
      </c>
      <c r="I249" s="290" t="s">
        <v>296</v>
      </c>
      <c r="J249" s="290" t="s">
        <v>296</v>
      </c>
      <c r="K249" s="290" t="s">
        <v>296</v>
      </c>
      <c r="L249" s="290" t="s">
        <v>296</v>
      </c>
      <c r="M249" s="290" t="s">
        <v>296</v>
      </c>
      <c r="N249" s="59"/>
      <c r="O249" s="137" t="str" cm="1">
        <f t="array" ref="O249">IFERROR(
  INDEX('Scrum Teams'!B$2:B$1010,
    MATCH(1,
      (B249='Scrum Teams'!F$2:F$1010) +
      (B249='Scrum Teams'!G$2:G$1010) +
      (B249='Scrum Teams'!H$2:H$1010) +
      (B249='Scrum Teams'!I$2:I$1010) +
      (B249='Scrum Teams'!J$2:J$1010) +
      (B249='Scrum Teams'!K$2:K$1010) +
      (B249='Scrum Teams'!L$2:L$1010) +
      (B249='Scrum Teams'!M$2:M$1010) +
      (B249='Scrum Teams'!N$2:N$1010) +
      (B249='Scrum Teams'!O$2:O$1010) +
      (B249='Scrum Teams'!P$2:P$1010) +
      (B249='Scrum Teams'!Q$2:Q$1010),
    0)
  ),
  "Not found"
)</f>
        <v>Orbit Platform</v>
      </c>
      <c r="P249" s="194" t="s">
        <v>697</v>
      </c>
      <c r="Q249" s="37" t="s">
        <v>275</v>
      </c>
    </row>
    <row r="250" spans="1:17" hidden="1">
      <c r="A250" s="41" t="s">
        <v>99</v>
      </c>
      <c r="B250" s="47" t="s">
        <v>705</v>
      </c>
      <c r="C250" s="244" t="s">
        <v>302</v>
      </c>
      <c r="D250" s="244"/>
      <c r="E250" s="3" t="s">
        <v>60</v>
      </c>
      <c r="F250" s="3" t="s">
        <v>60</v>
      </c>
      <c r="G250" s="3" t="s">
        <v>98</v>
      </c>
      <c r="H250" s="299" t="s">
        <v>706</v>
      </c>
      <c r="I250" s="300" t="s">
        <v>707</v>
      </c>
      <c r="J250" s="299"/>
      <c r="K250" s="291" t="s">
        <v>309</v>
      </c>
      <c r="L250" s="299"/>
      <c r="M250" s="291" t="s">
        <v>98</v>
      </c>
      <c r="N250" s="41"/>
      <c r="O250" s="137" t="str" cm="1">
        <f t="array" ref="O250">IFERROR(
  INDEX('Scrum Teams'!B$2:B$1010,
    MATCH(1,
      (B250='Scrum Teams'!F$2:F$1010) +
      (B250='Scrum Teams'!G$2:G$1010) +
      (B250='Scrum Teams'!H$2:H$1010) +
      (B250='Scrum Teams'!I$2:I$1010) +
      (B250='Scrum Teams'!J$2:J$1010) +
      (B250='Scrum Teams'!K$2:K$1010) +
      (B250='Scrum Teams'!L$2:L$1010) +
      (B250='Scrum Teams'!M$2:M$1010) +
      (B250='Scrum Teams'!N$2:N$1010) +
      (B250='Scrum Teams'!O$2:O$1010) +
      (B250='Scrum Teams'!P$2:P$1010) +
      (B250='Scrum Teams'!Q$2:Q$1010),
    0)
  ),
  "Not found"
)</f>
        <v>SI Platform 1</v>
      </c>
      <c r="P250" s="195" t="s">
        <v>708</v>
      </c>
      <c r="Q250" s="37" t="s">
        <v>307</v>
      </c>
    </row>
    <row r="251" spans="1:17" hidden="1">
      <c r="A251" s="41" t="s">
        <v>99</v>
      </c>
      <c r="B251" s="47" t="s">
        <v>709</v>
      </c>
      <c r="C251" s="3" t="s">
        <v>302</v>
      </c>
      <c r="D251" s="3"/>
      <c r="E251" s="3" t="s">
        <v>60</v>
      </c>
      <c r="F251" s="3" t="s">
        <v>60</v>
      </c>
      <c r="G251" s="3" t="s">
        <v>98</v>
      </c>
      <c r="H251" s="299" t="s">
        <v>706</v>
      </c>
      <c r="I251" s="300" t="s">
        <v>707</v>
      </c>
      <c r="J251" s="299"/>
      <c r="K251" s="291" t="s">
        <v>309</v>
      </c>
      <c r="L251" s="299"/>
      <c r="M251" s="291" t="s">
        <v>98</v>
      </c>
      <c r="N251" s="41"/>
      <c r="O251" s="137" t="str" cm="1">
        <f t="array" ref="O251">IFERROR(
  INDEX('Scrum Teams'!B$2:B$1010,
    MATCH(1,
      (B251='Scrum Teams'!F$2:F$1010) +
      (B251='Scrum Teams'!G$2:G$1010) +
      (B251='Scrum Teams'!H$2:H$1010) +
      (B251='Scrum Teams'!I$2:I$1010) +
      (B251='Scrum Teams'!J$2:J$1010) +
      (B251='Scrum Teams'!K$2:K$1010) +
      (B251='Scrum Teams'!L$2:L$1010) +
      (B251='Scrum Teams'!M$2:M$1010) +
      (B251='Scrum Teams'!N$2:N$1010) +
      (B251='Scrum Teams'!O$2:O$1010) +
      (B251='Scrum Teams'!P$2:P$1010) +
      (B251='Scrum Teams'!Q$2:Q$1010),
    0)
  ),
  "Not found"
)</f>
        <v>SI Platform 2</v>
      </c>
      <c r="P251" s="195" t="s">
        <v>708</v>
      </c>
      <c r="Q251" s="37" t="s">
        <v>307</v>
      </c>
    </row>
    <row r="252" spans="1:17" hidden="1">
      <c r="A252" s="41" t="s">
        <v>99</v>
      </c>
      <c r="B252" s="47" t="s">
        <v>710</v>
      </c>
      <c r="C252" s="3" t="s">
        <v>302</v>
      </c>
      <c r="D252" s="3"/>
      <c r="E252" s="3" t="s">
        <v>60</v>
      </c>
      <c r="F252" s="3" t="s">
        <v>60</v>
      </c>
      <c r="G252" s="3" t="s">
        <v>98</v>
      </c>
      <c r="H252" s="299" t="s">
        <v>706</v>
      </c>
      <c r="I252" s="300" t="s">
        <v>707</v>
      </c>
      <c r="J252" s="299"/>
      <c r="K252" s="291" t="s">
        <v>309</v>
      </c>
      <c r="L252" s="299"/>
      <c r="M252" s="291" t="s">
        <v>98</v>
      </c>
      <c r="N252" s="41"/>
      <c r="O252" s="137" t="str" cm="1">
        <f t="array" ref="O252">IFERROR(
  INDEX('Scrum Teams'!B$2:B$1010,
    MATCH(1,
      (B252='Scrum Teams'!F$2:F$1010) +
      (B252='Scrum Teams'!G$2:G$1010) +
      (B252='Scrum Teams'!H$2:H$1010) +
      (B252='Scrum Teams'!I$2:I$1010) +
      (B252='Scrum Teams'!J$2:J$1010) +
      (B252='Scrum Teams'!K$2:K$1010) +
      (B252='Scrum Teams'!L$2:L$1010) +
      (B252='Scrum Teams'!M$2:M$1010) +
      (B252='Scrum Teams'!N$2:N$1010) +
      (B252='Scrum Teams'!O$2:O$1010) +
      (B252='Scrum Teams'!P$2:P$1010) +
      (B252='Scrum Teams'!Q$2:Q$1010),
    0)
  ),
  "Not found"
)</f>
        <v>SI Platform 2</v>
      </c>
      <c r="P252" s="195" t="s">
        <v>708</v>
      </c>
      <c r="Q252" s="37" t="s">
        <v>307</v>
      </c>
    </row>
    <row r="253" spans="1:17" hidden="1">
      <c r="A253" s="41" t="s">
        <v>99</v>
      </c>
      <c r="B253" s="47" t="s">
        <v>711</v>
      </c>
      <c r="C253" s="3" t="s">
        <v>302</v>
      </c>
      <c r="D253" s="3"/>
      <c r="E253" s="3" t="s">
        <v>60</v>
      </c>
      <c r="F253" s="3" t="s">
        <v>60</v>
      </c>
      <c r="G253" s="3" t="s">
        <v>98</v>
      </c>
      <c r="H253" s="299" t="s">
        <v>706</v>
      </c>
      <c r="I253" s="300" t="s">
        <v>707</v>
      </c>
      <c r="J253" s="299"/>
      <c r="K253" s="291" t="s">
        <v>309</v>
      </c>
      <c r="L253" s="299"/>
      <c r="M253" s="291" t="s">
        <v>98</v>
      </c>
      <c r="N253" s="41"/>
      <c r="O253" s="137" t="str" cm="1">
        <f t="array" ref="O253">IFERROR(
  INDEX('Scrum Teams'!B$2:B$1010,
    MATCH(1,
      (B253='Scrum Teams'!F$2:F$1010) +
      (B253='Scrum Teams'!G$2:G$1010) +
      (B253='Scrum Teams'!H$2:H$1010) +
      (B253='Scrum Teams'!I$2:I$1010) +
      (B253='Scrum Teams'!J$2:J$1010) +
      (B253='Scrum Teams'!K$2:K$1010) +
      (B253='Scrum Teams'!L$2:L$1010) +
      (B253='Scrum Teams'!M$2:M$1010) +
      (B253='Scrum Teams'!N$2:N$1010) +
      (B253='Scrum Teams'!O$2:O$1010) +
      (B253='Scrum Teams'!P$2:P$1010) +
      (B253='Scrum Teams'!Q$2:Q$1010),
    0)
  ),
  "Not found"
)</f>
        <v>SI Platform 1</v>
      </c>
      <c r="P253" s="195" t="s">
        <v>708</v>
      </c>
      <c r="Q253" s="37" t="s">
        <v>307</v>
      </c>
    </row>
    <row r="254" spans="1:17" hidden="1">
      <c r="A254" s="3" t="s">
        <v>75</v>
      </c>
      <c r="B254" s="22" t="s">
        <v>712</v>
      </c>
      <c r="C254" s="3" t="s">
        <v>713</v>
      </c>
      <c r="D254" s="3"/>
      <c r="E254" s="3" t="s">
        <v>74</v>
      </c>
      <c r="F254" s="3"/>
      <c r="G254" s="3" t="s">
        <v>714</v>
      </c>
      <c r="H254" s="299"/>
      <c r="I254" s="291" t="s">
        <v>715</v>
      </c>
      <c r="J254" s="291"/>
      <c r="K254" s="291" t="s">
        <v>716</v>
      </c>
      <c r="L254" s="291"/>
      <c r="M254" s="291" t="s">
        <v>714</v>
      </c>
      <c r="N254" s="3" t="s">
        <v>717</v>
      </c>
      <c r="O254" s="137" t="str" cm="1">
        <f t="array" ref="O254">IFERROR(
  INDEX('Scrum Teams'!B$2:B$1010,
    MATCH(1,
      (B254='Scrum Teams'!F$2:F$1010) +
      (B254='Scrum Teams'!G$2:G$1010) +
      (B254='Scrum Teams'!H$2:H$1010) +
      (B254='Scrum Teams'!I$2:I$1010) +
      (B254='Scrum Teams'!J$2:J$1010) +
      (B254='Scrum Teams'!K$2:K$1010) +
      (B254='Scrum Teams'!L$2:L$1010) +
      (B254='Scrum Teams'!M$2:M$1010) +
      (B254='Scrum Teams'!N$2:N$1010) +
      (B254='Scrum Teams'!O$2:O$1010) +
      (B254='Scrum Teams'!P$2:P$1010) +
      (B254='Scrum Teams'!Q$2:Q$1010),
    0)
  ),
  "Not found"
)</f>
        <v>Not found</v>
      </c>
      <c r="P254" s="194" t="s">
        <v>78</v>
      </c>
      <c r="Q254" s="37"/>
    </row>
    <row r="255" spans="1:17" hidden="1">
      <c r="A255" s="3" t="s">
        <v>75</v>
      </c>
      <c r="B255" s="22" t="s">
        <v>718</v>
      </c>
      <c r="C255" s="3" t="s">
        <v>719</v>
      </c>
      <c r="D255" s="3"/>
      <c r="E255" s="3" t="s">
        <v>74</v>
      </c>
      <c r="F255" s="3"/>
      <c r="G255" s="3" t="s">
        <v>714</v>
      </c>
      <c r="H255" s="291"/>
      <c r="I255" s="291"/>
      <c r="J255" s="291"/>
      <c r="K255" s="291" t="s">
        <v>720</v>
      </c>
      <c r="L255" s="291"/>
      <c r="M255" s="291" t="s">
        <v>714</v>
      </c>
      <c r="N255" s="3" t="s">
        <v>717</v>
      </c>
      <c r="O255" s="137" t="str" cm="1">
        <f t="array" ref="O255">IFERROR(
  INDEX('Scrum Teams'!B$2:B$1010,
    MATCH(1,
      (B255='Scrum Teams'!F$2:F$1010) +
      (B255='Scrum Teams'!G$2:G$1010) +
      (B255='Scrum Teams'!H$2:H$1010) +
      (B255='Scrum Teams'!I$2:I$1010) +
      (B255='Scrum Teams'!J$2:J$1010) +
      (B255='Scrum Teams'!K$2:K$1010) +
      (B255='Scrum Teams'!L$2:L$1010) +
      (B255='Scrum Teams'!M$2:M$1010) +
      (B255='Scrum Teams'!N$2:N$1010) +
      (B255='Scrum Teams'!O$2:O$1010) +
      (B255='Scrum Teams'!P$2:P$1010) +
      (B255='Scrum Teams'!Q$2:Q$1010),
    0)
  ),
  "Not found"
)</f>
        <v>Not found</v>
      </c>
      <c r="P255" s="194" t="s">
        <v>78</v>
      </c>
      <c r="Q255" s="37"/>
    </row>
    <row r="256" spans="1:17" hidden="1">
      <c r="A256" s="3" t="s">
        <v>75</v>
      </c>
      <c r="B256" s="22" t="s">
        <v>721</v>
      </c>
      <c r="C256" s="3" t="s">
        <v>722</v>
      </c>
      <c r="D256" s="3"/>
      <c r="E256" s="3" t="s">
        <v>74</v>
      </c>
      <c r="F256" s="3"/>
      <c r="G256" s="3" t="s">
        <v>714</v>
      </c>
      <c r="H256" s="291"/>
      <c r="I256" s="291" t="s">
        <v>716</v>
      </c>
      <c r="J256" s="291"/>
      <c r="K256" s="291" t="s">
        <v>716</v>
      </c>
      <c r="L256" s="291"/>
      <c r="M256" s="291" t="s">
        <v>714</v>
      </c>
      <c r="N256" s="3" t="s">
        <v>717</v>
      </c>
      <c r="O256" s="137" t="str" cm="1">
        <f t="array" ref="O256">IFERROR(
  INDEX('Scrum Teams'!B$2:B$1010,
    MATCH(1,
      (B256='Scrum Teams'!F$2:F$1010) +
      (B256='Scrum Teams'!G$2:G$1010) +
      (B256='Scrum Teams'!H$2:H$1010) +
      (B256='Scrum Teams'!I$2:I$1010) +
      (B256='Scrum Teams'!J$2:J$1010) +
      (B256='Scrum Teams'!K$2:K$1010) +
      (B256='Scrum Teams'!L$2:L$1010) +
      (B256='Scrum Teams'!M$2:M$1010) +
      (B256='Scrum Teams'!N$2:N$1010) +
      (B256='Scrum Teams'!O$2:O$1010) +
      (B256='Scrum Teams'!P$2:P$1010) +
      (B256='Scrum Teams'!Q$2:Q$1010),
    0)
  ),
  "Not found"
)</f>
        <v>Not found</v>
      </c>
      <c r="P256" s="194" t="s">
        <v>78</v>
      </c>
      <c r="Q256" s="37"/>
    </row>
    <row r="257" spans="1:17" hidden="1">
      <c r="A257" s="3" t="s">
        <v>75</v>
      </c>
      <c r="B257" s="22" t="s">
        <v>723</v>
      </c>
      <c r="C257" s="3" t="s">
        <v>724</v>
      </c>
      <c r="D257" s="3"/>
      <c r="E257" s="3" t="s">
        <v>74</v>
      </c>
      <c r="F257" s="3"/>
      <c r="G257" s="3" t="s">
        <v>714</v>
      </c>
      <c r="H257" s="291"/>
      <c r="I257" s="291" t="s">
        <v>725</v>
      </c>
      <c r="J257" s="291"/>
      <c r="K257" s="291" t="s">
        <v>74</v>
      </c>
      <c r="L257" s="291"/>
      <c r="M257" s="291" t="s">
        <v>714</v>
      </c>
      <c r="N257" s="3" t="s">
        <v>717</v>
      </c>
      <c r="O257" s="137" t="str" cm="1">
        <f t="array" ref="O257">IFERROR(
  INDEX('Scrum Teams'!B$2:B$1010,
    MATCH(1,
      (B257='Scrum Teams'!F$2:F$1010) +
      (B257='Scrum Teams'!G$2:G$1010) +
      (B257='Scrum Teams'!H$2:H$1010) +
      (B257='Scrum Teams'!I$2:I$1010) +
      (B257='Scrum Teams'!J$2:J$1010) +
      (B257='Scrum Teams'!K$2:K$1010) +
      (B257='Scrum Teams'!L$2:L$1010) +
      (B257='Scrum Teams'!M$2:M$1010) +
      (B257='Scrum Teams'!N$2:N$1010) +
      (B257='Scrum Teams'!O$2:O$1010) +
      (B257='Scrum Teams'!P$2:P$1010) +
      (B257='Scrum Teams'!Q$2:Q$1010),
    0)
  ),
  "Not found"
)</f>
        <v>Not found</v>
      </c>
      <c r="P257" s="194" t="s">
        <v>78</v>
      </c>
      <c r="Q257" s="37"/>
    </row>
    <row r="258" spans="1:17" hidden="1">
      <c r="A258" s="3" t="s">
        <v>75</v>
      </c>
      <c r="B258" s="22" t="s">
        <v>726</v>
      </c>
      <c r="C258" s="3" t="s">
        <v>727</v>
      </c>
      <c r="D258" s="3"/>
      <c r="E258" s="3" t="s">
        <v>74</v>
      </c>
      <c r="F258" s="3"/>
      <c r="G258" s="3" t="s">
        <v>714</v>
      </c>
      <c r="H258" s="291"/>
      <c r="I258" s="291" t="s">
        <v>725</v>
      </c>
      <c r="J258" s="291"/>
      <c r="K258" s="291" t="s">
        <v>74</v>
      </c>
      <c r="L258" s="291"/>
      <c r="M258" s="291" t="s">
        <v>714</v>
      </c>
      <c r="N258" s="3" t="s">
        <v>720</v>
      </c>
      <c r="O258" s="137" t="str" cm="1">
        <f t="array" ref="O258">IFERROR(
  INDEX('Scrum Teams'!B$2:B$1010,
    MATCH(1,
      (B258='Scrum Teams'!F$2:F$1010) +
      (B258='Scrum Teams'!G$2:G$1010) +
      (B258='Scrum Teams'!H$2:H$1010) +
      (B258='Scrum Teams'!I$2:I$1010) +
      (B258='Scrum Teams'!J$2:J$1010) +
      (B258='Scrum Teams'!K$2:K$1010) +
      (B258='Scrum Teams'!L$2:L$1010) +
      (B258='Scrum Teams'!M$2:M$1010) +
      (B258='Scrum Teams'!N$2:N$1010) +
      (B258='Scrum Teams'!O$2:O$1010) +
      (B258='Scrum Teams'!P$2:P$1010) +
      (B258='Scrum Teams'!Q$2:Q$1010),
    0)
  ),
  "Not found"
)</f>
        <v>Not found</v>
      </c>
      <c r="P258" s="194" t="s">
        <v>78</v>
      </c>
      <c r="Q258" s="37"/>
    </row>
    <row r="259" spans="1:17" hidden="1">
      <c r="A259" s="3" t="s">
        <v>75</v>
      </c>
      <c r="B259" s="22" t="s">
        <v>728</v>
      </c>
      <c r="C259" s="3" t="s">
        <v>729</v>
      </c>
      <c r="D259" s="3"/>
      <c r="E259" s="3" t="s">
        <v>74</v>
      </c>
      <c r="F259" s="3"/>
      <c r="G259" s="3" t="s">
        <v>714</v>
      </c>
      <c r="H259" s="291"/>
      <c r="I259" s="291"/>
      <c r="J259" s="291"/>
      <c r="K259" s="291"/>
      <c r="L259" s="291"/>
      <c r="M259" s="291" t="s">
        <v>714</v>
      </c>
      <c r="N259" s="3" t="s">
        <v>720</v>
      </c>
      <c r="O259" s="137" t="str" cm="1">
        <f t="array" ref="O259">IFERROR(
  INDEX('Scrum Teams'!B$2:B$1010,
    MATCH(1,
      (B259='Scrum Teams'!F$2:F$1010) +
      (B259='Scrum Teams'!G$2:G$1010) +
      (B259='Scrum Teams'!H$2:H$1010) +
      (B259='Scrum Teams'!I$2:I$1010) +
      (B259='Scrum Teams'!J$2:J$1010) +
      (B259='Scrum Teams'!K$2:K$1010) +
      (B259='Scrum Teams'!L$2:L$1010) +
      (B259='Scrum Teams'!M$2:M$1010) +
      (B259='Scrum Teams'!N$2:N$1010) +
      (B259='Scrum Teams'!O$2:O$1010) +
      (B259='Scrum Teams'!P$2:P$1010) +
      (B259='Scrum Teams'!Q$2:Q$1010),
    0)
  ),
  "Not found"
)</f>
        <v>Not found</v>
      </c>
      <c r="P259" s="194" t="s">
        <v>78</v>
      </c>
      <c r="Q259" s="37"/>
    </row>
    <row r="260" spans="1:17" hidden="1">
      <c r="A260" s="3" t="s">
        <v>75</v>
      </c>
      <c r="B260" s="22" t="s">
        <v>730</v>
      </c>
      <c r="C260" s="3" t="s">
        <v>719</v>
      </c>
      <c r="D260" s="3"/>
      <c r="E260" s="3" t="s">
        <v>74</v>
      </c>
      <c r="F260" s="3"/>
      <c r="G260" s="3" t="s">
        <v>714</v>
      </c>
      <c r="H260" s="291"/>
      <c r="I260" s="291" t="s">
        <v>731</v>
      </c>
      <c r="J260" s="291"/>
      <c r="K260" s="291" t="s">
        <v>716</v>
      </c>
      <c r="L260" s="291"/>
      <c r="M260" s="291" t="s">
        <v>714</v>
      </c>
      <c r="N260" s="3" t="s">
        <v>720</v>
      </c>
      <c r="O260" s="137" t="str" cm="1">
        <f t="array" ref="O260">IFERROR(
  INDEX('Scrum Teams'!B$2:B$1010,
    MATCH(1,
      (B260='Scrum Teams'!F$2:F$1010) +
      (B260='Scrum Teams'!G$2:G$1010) +
      (B260='Scrum Teams'!H$2:H$1010) +
      (B260='Scrum Teams'!I$2:I$1010) +
      (B260='Scrum Teams'!J$2:J$1010) +
      (B260='Scrum Teams'!K$2:K$1010) +
      (B260='Scrum Teams'!L$2:L$1010) +
      (B260='Scrum Teams'!M$2:M$1010) +
      (B260='Scrum Teams'!N$2:N$1010) +
      (B260='Scrum Teams'!O$2:O$1010) +
      (B260='Scrum Teams'!P$2:P$1010) +
      (B260='Scrum Teams'!Q$2:Q$1010),
    0)
  ),
  "Not found"
)</f>
        <v>Not found</v>
      </c>
      <c r="P260" s="194" t="s">
        <v>78</v>
      </c>
      <c r="Q260" s="37"/>
    </row>
    <row r="261" spans="1:17" hidden="1">
      <c r="A261" s="3" t="s">
        <v>78</v>
      </c>
      <c r="B261" s="22" t="s">
        <v>732</v>
      </c>
      <c r="C261" s="3" t="s">
        <v>733</v>
      </c>
      <c r="D261" s="3"/>
      <c r="E261" s="3" t="s">
        <v>76</v>
      </c>
      <c r="F261" s="3"/>
      <c r="G261" s="3" t="s">
        <v>714</v>
      </c>
      <c r="H261" s="291"/>
      <c r="I261" s="291" t="s">
        <v>731</v>
      </c>
      <c r="J261" s="291"/>
      <c r="K261" s="291" t="s">
        <v>716</v>
      </c>
      <c r="L261" s="291"/>
      <c r="M261" s="291" t="s">
        <v>714</v>
      </c>
      <c r="N261" s="3" t="s">
        <v>734</v>
      </c>
      <c r="O261" s="137" t="str" cm="1">
        <f t="array" ref="O261">IFERROR(
  INDEX('Scrum Teams'!B$2:B$1010,
    MATCH(1,
      (B261='Scrum Teams'!F$2:F$1010) +
      (B261='Scrum Teams'!G$2:G$1010) +
      (B261='Scrum Teams'!H$2:H$1010) +
      (B261='Scrum Teams'!I$2:I$1010) +
      (B261='Scrum Teams'!J$2:J$1010) +
      (B261='Scrum Teams'!K$2:K$1010) +
      (B261='Scrum Teams'!L$2:L$1010) +
      (B261='Scrum Teams'!M$2:M$1010) +
      (B261='Scrum Teams'!N$2:N$1010) +
      (B261='Scrum Teams'!O$2:O$1010) +
      (B261='Scrum Teams'!P$2:P$1010) +
      (B261='Scrum Teams'!Q$2:Q$1010),
    0)
  ),
  "Not found"
)</f>
        <v>Not found</v>
      </c>
      <c r="P261" s="194" t="s">
        <v>78</v>
      </c>
      <c r="Q261" s="37"/>
    </row>
    <row r="262" spans="1:17" hidden="1">
      <c r="A262" s="3" t="s">
        <v>78</v>
      </c>
      <c r="B262" s="22" t="s">
        <v>735</v>
      </c>
      <c r="C262" s="3" t="s">
        <v>736</v>
      </c>
      <c r="D262" s="3"/>
      <c r="E262" s="3" t="s">
        <v>76</v>
      </c>
      <c r="F262" s="3"/>
      <c r="G262" s="3" t="s">
        <v>714</v>
      </c>
      <c r="H262" s="291" t="s">
        <v>737</v>
      </c>
      <c r="I262" s="291" t="s">
        <v>738</v>
      </c>
      <c r="J262" s="291"/>
      <c r="K262" s="291"/>
      <c r="L262" s="291"/>
      <c r="M262" s="291" t="s">
        <v>714</v>
      </c>
      <c r="N262" s="3" t="s">
        <v>734</v>
      </c>
      <c r="O262" s="137" t="str" cm="1">
        <f t="array" ref="O262">IFERROR(
  INDEX('Scrum Teams'!B$2:B$1010,
    MATCH(1,
      (B262='Scrum Teams'!F$2:F$1010) +
      (B262='Scrum Teams'!G$2:G$1010) +
      (B262='Scrum Teams'!H$2:H$1010) +
      (B262='Scrum Teams'!I$2:I$1010) +
      (B262='Scrum Teams'!J$2:J$1010) +
      (B262='Scrum Teams'!K$2:K$1010) +
      (B262='Scrum Teams'!L$2:L$1010) +
      (B262='Scrum Teams'!M$2:M$1010) +
      (B262='Scrum Teams'!N$2:N$1010) +
      (B262='Scrum Teams'!O$2:O$1010) +
      (B262='Scrum Teams'!P$2:P$1010) +
      (B262='Scrum Teams'!Q$2:Q$1010),
    0)
  ),
  "Not found"
)</f>
        <v>Not found</v>
      </c>
      <c r="P262" s="194" t="s">
        <v>78</v>
      </c>
      <c r="Q262" s="37"/>
    </row>
    <row r="263" spans="1:17" hidden="1">
      <c r="A263" s="3" t="s">
        <v>78</v>
      </c>
      <c r="B263" s="22" t="s">
        <v>739</v>
      </c>
      <c r="C263" s="3" t="s">
        <v>740</v>
      </c>
      <c r="D263" s="3"/>
      <c r="E263" s="3" t="s">
        <v>76</v>
      </c>
      <c r="F263" s="3"/>
      <c r="G263" s="3" t="s">
        <v>714</v>
      </c>
      <c r="H263" s="291"/>
      <c r="I263" s="291" t="s">
        <v>738</v>
      </c>
      <c r="J263" s="291"/>
      <c r="K263" s="291" t="s">
        <v>716</v>
      </c>
      <c r="L263" s="291"/>
      <c r="M263" s="291" t="s">
        <v>714</v>
      </c>
      <c r="N263" s="3" t="s">
        <v>734</v>
      </c>
      <c r="O263" s="137" t="str" cm="1">
        <f t="array" ref="O263">IFERROR(
  INDEX('Scrum Teams'!B$2:B$1010,
    MATCH(1,
      (B263='Scrum Teams'!F$2:F$1010) +
      (B263='Scrum Teams'!G$2:G$1010) +
      (B263='Scrum Teams'!H$2:H$1010) +
      (B263='Scrum Teams'!I$2:I$1010) +
      (B263='Scrum Teams'!J$2:J$1010) +
      (B263='Scrum Teams'!K$2:K$1010) +
      (B263='Scrum Teams'!L$2:L$1010) +
      (B263='Scrum Teams'!M$2:M$1010) +
      (B263='Scrum Teams'!N$2:N$1010) +
      (B263='Scrum Teams'!O$2:O$1010) +
      (B263='Scrum Teams'!P$2:P$1010) +
      (B263='Scrum Teams'!Q$2:Q$1010),
    0)
  ),
  "Not found"
)</f>
        <v>Not found</v>
      </c>
      <c r="P263" s="194" t="s">
        <v>78</v>
      </c>
      <c r="Q263" s="37"/>
    </row>
    <row r="264" spans="1:17" hidden="1">
      <c r="A264" s="3" t="s">
        <v>78</v>
      </c>
      <c r="B264" s="22" t="s">
        <v>741</v>
      </c>
      <c r="C264" s="3" t="s">
        <v>740</v>
      </c>
      <c r="D264" s="3"/>
      <c r="E264" s="3" t="s">
        <v>76</v>
      </c>
      <c r="F264" s="3"/>
      <c r="G264" s="3" t="s">
        <v>714</v>
      </c>
      <c r="H264" s="291" t="s">
        <v>742</v>
      </c>
      <c r="I264" s="291" t="s">
        <v>738</v>
      </c>
      <c r="J264" s="291"/>
      <c r="K264" s="291"/>
      <c r="L264" s="291"/>
      <c r="M264" s="291" t="s">
        <v>714</v>
      </c>
      <c r="N264" s="3" t="s">
        <v>734</v>
      </c>
      <c r="O264" s="137" t="str" cm="1">
        <f t="array" ref="O264">IFERROR(
  INDEX('Scrum Teams'!B$2:B$1010,
    MATCH(1,
      (B264='Scrum Teams'!F$2:F$1010) +
      (B264='Scrum Teams'!G$2:G$1010) +
      (B264='Scrum Teams'!H$2:H$1010) +
      (B264='Scrum Teams'!I$2:I$1010) +
      (B264='Scrum Teams'!J$2:J$1010) +
      (B264='Scrum Teams'!K$2:K$1010) +
      (B264='Scrum Teams'!L$2:L$1010) +
      (B264='Scrum Teams'!M$2:M$1010) +
      (B264='Scrum Teams'!N$2:N$1010) +
      (B264='Scrum Teams'!O$2:O$1010) +
      (B264='Scrum Teams'!P$2:P$1010) +
      (B264='Scrum Teams'!Q$2:Q$1010),
    0)
  ),
  "Not found"
)</f>
        <v>Not found</v>
      </c>
      <c r="P264" s="194" t="s">
        <v>78</v>
      </c>
      <c r="Q264" s="37"/>
    </row>
    <row r="265" spans="1:17" hidden="1">
      <c r="A265" s="3" t="s">
        <v>78</v>
      </c>
      <c r="B265" s="22" t="s">
        <v>743</v>
      </c>
      <c r="C265" s="3" t="s">
        <v>744</v>
      </c>
      <c r="D265" s="3"/>
      <c r="E265" s="3" t="s">
        <v>76</v>
      </c>
      <c r="F265" s="3"/>
      <c r="G265" s="3" t="s">
        <v>714</v>
      </c>
      <c r="H265" s="291" t="s">
        <v>742</v>
      </c>
      <c r="I265" s="291" t="s">
        <v>738</v>
      </c>
      <c r="J265" s="291"/>
      <c r="K265" s="291"/>
      <c r="L265" s="291"/>
      <c r="M265" s="291" t="s">
        <v>714</v>
      </c>
      <c r="N265" s="3" t="s">
        <v>745</v>
      </c>
      <c r="O265" s="137" t="str" cm="1">
        <f t="array" ref="O265">IFERROR(
  INDEX('Scrum Teams'!B$2:B$1010,
    MATCH(1,
      (B265='Scrum Teams'!F$2:F$1010) +
      (B265='Scrum Teams'!G$2:G$1010) +
      (B265='Scrum Teams'!H$2:H$1010) +
      (B265='Scrum Teams'!I$2:I$1010) +
      (B265='Scrum Teams'!J$2:J$1010) +
      (B265='Scrum Teams'!K$2:K$1010) +
      (B265='Scrum Teams'!L$2:L$1010) +
      (B265='Scrum Teams'!M$2:M$1010) +
      (B265='Scrum Teams'!N$2:N$1010) +
      (B265='Scrum Teams'!O$2:O$1010) +
      (B265='Scrum Teams'!P$2:P$1010) +
      (B265='Scrum Teams'!Q$2:Q$1010),
    0)
  ),
  "Not found"
)</f>
        <v>Not found</v>
      </c>
      <c r="P265" s="194" t="s">
        <v>78</v>
      </c>
      <c r="Q265" s="37"/>
    </row>
    <row r="266" spans="1:17" hidden="1">
      <c r="A266" s="3" t="s">
        <v>78</v>
      </c>
      <c r="B266" s="22" t="s">
        <v>746</v>
      </c>
      <c r="C266" s="3" t="s">
        <v>747</v>
      </c>
      <c r="D266" s="3"/>
      <c r="E266" s="3" t="s">
        <v>76</v>
      </c>
      <c r="F266" s="3"/>
      <c r="G266" s="3" t="s">
        <v>714</v>
      </c>
      <c r="H266" s="291" t="s">
        <v>748</v>
      </c>
      <c r="I266" s="291" t="s">
        <v>738</v>
      </c>
      <c r="J266" s="291"/>
      <c r="K266" s="291"/>
      <c r="L266" s="291"/>
      <c r="M266" s="291" t="s">
        <v>714</v>
      </c>
      <c r="N266" s="3" t="s">
        <v>745</v>
      </c>
      <c r="O266" s="137" t="str" cm="1">
        <f t="array" ref="O266">IFERROR(
  INDEX('Scrum Teams'!B$2:B$1010,
    MATCH(1,
      (B266='Scrum Teams'!F$2:F$1010) +
      (B266='Scrum Teams'!G$2:G$1010) +
      (B266='Scrum Teams'!H$2:H$1010) +
      (B266='Scrum Teams'!I$2:I$1010) +
      (B266='Scrum Teams'!J$2:J$1010) +
      (B266='Scrum Teams'!K$2:K$1010) +
      (B266='Scrum Teams'!L$2:L$1010) +
      (B266='Scrum Teams'!M$2:M$1010) +
      (B266='Scrum Teams'!N$2:N$1010) +
      (B266='Scrum Teams'!O$2:O$1010) +
      (B266='Scrum Teams'!P$2:P$1010) +
      (B266='Scrum Teams'!Q$2:Q$1010),
    0)
  ),
  "Not found"
)</f>
        <v>Not found</v>
      </c>
      <c r="P266" s="194" t="s">
        <v>78</v>
      </c>
      <c r="Q266" s="37"/>
    </row>
    <row r="267" spans="1:17" hidden="1">
      <c r="A267" s="3" t="s">
        <v>78</v>
      </c>
      <c r="B267" s="22" t="s">
        <v>749</v>
      </c>
      <c r="C267" s="3" t="s">
        <v>750</v>
      </c>
      <c r="D267" s="3"/>
      <c r="E267" s="3" t="s">
        <v>76</v>
      </c>
      <c r="F267" s="3"/>
      <c r="G267" s="3" t="s">
        <v>714</v>
      </c>
      <c r="H267" s="291"/>
      <c r="I267" s="291" t="s">
        <v>731</v>
      </c>
      <c r="J267" s="291"/>
      <c r="K267" s="291" t="s">
        <v>716</v>
      </c>
      <c r="L267" s="291"/>
      <c r="M267" s="291" t="s">
        <v>714</v>
      </c>
      <c r="N267" s="3" t="s">
        <v>734</v>
      </c>
      <c r="O267" s="137" t="str" cm="1">
        <f t="array" ref="O267">IFERROR(
  INDEX('Scrum Teams'!B$2:B$1010,
    MATCH(1,
      (B267='Scrum Teams'!F$2:F$1010) +
      (B267='Scrum Teams'!G$2:G$1010) +
      (B267='Scrum Teams'!H$2:H$1010) +
      (B267='Scrum Teams'!I$2:I$1010) +
      (B267='Scrum Teams'!J$2:J$1010) +
      (B267='Scrum Teams'!K$2:K$1010) +
      (B267='Scrum Teams'!L$2:L$1010) +
      (B267='Scrum Teams'!M$2:M$1010) +
      (B267='Scrum Teams'!N$2:N$1010) +
      (B267='Scrum Teams'!O$2:O$1010) +
      (B267='Scrum Teams'!P$2:P$1010) +
      (B267='Scrum Teams'!Q$2:Q$1010),
    0)
  ),
  "Not found"
)</f>
        <v>Not found</v>
      </c>
      <c r="P267" s="194" t="s">
        <v>78</v>
      </c>
      <c r="Q267" s="37"/>
    </row>
    <row r="268" spans="1:17" hidden="1">
      <c r="A268" s="3" t="s">
        <v>78</v>
      </c>
      <c r="B268" s="22" t="s">
        <v>751</v>
      </c>
      <c r="C268" s="3" t="s">
        <v>752</v>
      </c>
      <c r="D268" s="3"/>
      <c r="E268" s="3" t="s">
        <v>76</v>
      </c>
      <c r="F268" s="3"/>
      <c r="G268" s="3" t="s">
        <v>714</v>
      </c>
      <c r="H268" s="291" t="s">
        <v>753</v>
      </c>
      <c r="I268" s="291" t="s">
        <v>754</v>
      </c>
      <c r="J268" s="291"/>
      <c r="K268" s="291"/>
      <c r="L268" s="291"/>
      <c r="M268" s="291" t="s">
        <v>714</v>
      </c>
      <c r="N268" s="3" t="s">
        <v>755</v>
      </c>
      <c r="O268" s="137" t="str" cm="1">
        <f t="array" ref="O268">IFERROR(
  INDEX('Scrum Teams'!B$2:B$1010,
    MATCH(1,
      (B268='Scrum Teams'!F$2:F$1010) +
      (B268='Scrum Teams'!G$2:G$1010) +
      (B268='Scrum Teams'!H$2:H$1010) +
      (B268='Scrum Teams'!I$2:I$1010) +
      (B268='Scrum Teams'!J$2:J$1010) +
      (B268='Scrum Teams'!K$2:K$1010) +
      (B268='Scrum Teams'!L$2:L$1010) +
      (B268='Scrum Teams'!M$2:M$1010) +
      (B268='Scrum Teams'!N$2:N$1010) +
      (B268='Scrum Teams'!O$2:O$1010) +
      (B268='Scrum Teams'!P$2:P$1010) +
      (B268='Scrum Teams'!Q$2:Q$1010),
    0)
  ),
  "Not found"
)</f>
        <v>Not found</v>
      </c>
      <c r="P268" s="194" t="s">
        <v>78</v>
      </c>
      <c r="Q268" s="37"/>
    </row>
    <row r="269" spans="1:17" hidden="1">
      <c r="A269" s="3" t="s">
        <v>78</v>
      </c>
      <c r="B269" s="22" t="s">
        <v>756</v>
      </c>
      <c r="C269" s="3" t="s">
        <v>752</v>
      </c>
      <c r="D269" s="3"/>
      <c r="E269" s="3" t="s">
        <v>76</v>
      </c>
      <c r="F269" s="3"/>
      <c r="G269" s="3" t="s">
        <v>714</v>
      </c>
      <c r="H269" s="291" t="s">
        <v>753</v>
      </c>
      <c r="I269" s="291" t="s">
        <v>754</v>
      </c>
      <c r="J269" s="291"/>
      <c r="K269" s="291"/>
      <c r="L269" s="291"/>
      <c r="M269" s="291" t="s">
        <v>714</v>
      </c>
      <c r="N269" s="3" t="s">
        <v>755</v>
      </c>
      <c r="O269" s="137" t="str" cm="1">
        <f t="array" ref="O269">IFERROR(
  INDEX('Scrum Teams'!B$2:B$1010,
    MATCH(1,
      (B269='Scrum Teams'!F$2:F$1010) +
      (B269='Scrum Teams'!G$2:G$1010) +
      (B269='Scrum Teams'!H$2:H$1010) +
      (B269='Scrum Teams'!I$2:I$1010) +
      (B269='Scrum Teams'!J$2:J$1010) +
      (B269='Scrum Teams'!K$2:K$1010) +
      (B269='Scrum Teams'!L$2:L$1010) +
      (B269='Scrum Teams'!M$2:M$1010) +
      (B269='Scrum Teams'!N$2:N$1010) +
      (B269='Scrum Teams'!O$2:O$1010) +
      (B269='Scrum Teams'!P$2:P$1010) +
      (B269='Scrum Teams'!Q$2:Q$1010),
    0)
  ),
  "Not found"
)</f>
        <v>Not found</v>
      </c>
      <c r="P269" s="194" t="s">
        <v>78</v>
      </c>
      <c r="Q269" s="37"/>
    </row>
    <row r="270" spans="1:17" hidden="1">
      <c r="A270" s="3" t="s">
        <v>78</v>
      </c>
      <c r="B270" s="22" t="s">
        <v>757</v>
      </c>
      <c r="C270" s="3" t="s">
        <v>752</v>
      </c>
      <c r="D270" s="3"/>
      <c r="E270" s="3" t="s">
        <v>76</v>
      </c>
      <c r="F270" s="3"/>
      <c r="G270" s="3" t="s">
        <v>714</v>
      </c>
      <c r="H270" s="291" t="s">
        <v>753</v>
      </c>
      <c r="I270" s="291" t="s">
        <v>754</v>
      </c>
      <c r="J270" s="291"/>
      <c r="K270" s="291"/>
      <c r="L270" s="291"/>
      <c r="M270" s="291" t="s">
        <v>714</v>
      </c>
      <c r="N270" s="3" t="s">
        <v>755</v>
      </c>
      <c r="O270" s="137" t="str" cm="1">
        <f t="array" ref="O270">IFERROR(
  INDEX('Scrum Teams'!B$2:B$1010,
    MATCH(1,
      (B270='Scrum Teams'!F$2:F$1010) +
      (B270='Scrum Teams'!G$2:G$1010) +
      (B270='Scrum Teams'!H$2:H$1010) +
      (B270='Scrum Teams'!I$2:I$1010) +
      (B270='Scrum Teams'!J$2:J$1010) +
      (B270='Scrum Teams'!K$2:K$1010) +
      (B270='Scrum Teams'!L$2:L$1010) +
      (B270='Scrum Teams'!M$2:M$1010) +
      (B270='Scrum Teams'!N$2:N$1010) +
      (B270='Scrum Teams'!O$2:O$1010) +
      (B270='Scrum Teams'!P$2:P$1010) +
      (B270='Scrum Teams'!Q$2:Q$1010),
    0)
  ),
  "Not found"
)</f>
        <v>Not found</v>
      </c>
      <c r="P270" s="194" t="s">
        <v>78</v>
      </c>
      <c r="Q270" s="37"/>
    </row>
    <row r="271" spans="1:17" hidden="1">
      <c r="A271" s="3" t="s">
        <v>78</v>
      </c>
      <c r="B271" s="22" t="s">
        <v>758</v>
      </c>
      <c r="C271" s="3" t="s">
        <v>759</v>
      </c>
      <c r="D271" s="3"/>
      <c r="E271" s="3" t="s">
        <v>76</v>
      </c>
      <c r="F271" s="3"/>
      <c r="G271" s="3" t="s">
        <v>714</v>
      </c>
      <c r="H271" s="291" t="s">
        <v>760</v>
      </c>
      <c r="I271" s="291" t="s">
        <v>754</v>
      </c>
      <c r="J271" s="291"/>
      <c r="K271" s="291"/>
      <c r="L271" s="291"/>
      <c r="M271" s="291" t="s">
        <v>714</v>
      </c>
      <c r="N271" s="3" t="s">
        <v>755</v>
      </c>
      <c r="O271" s="137" t="str" cm="1">
        <f t="array" ref="O271">IFERROR(
  INDEX('Scrum Teams'!B$2:B$1010,
    MATCH(1,
      (B271='Scrum Teams'!F$2:F$1010) +
      (B271='Scrum Teams'!G$2:G$1010) +
      (B271='Scrum Teams'!H$2:H$1010) +
      (B271='Scrum Teams'!I$2:I$1010) +
      (B271='Scrum Teams'!J$2:J$1010) +
      (B271='Scrum Teams'!K$2:K$1010) +
      (B271='Scrum Teams'!L$2:L$1010) +
      (B271='Scrum Teams'!M$2:M$1010) +
      (B271='Scrum Teams'!N$2:N$1010) +
      (B271='Scrum Teams'!O$2:O$1010) +
      (B271='Scrum Teams'!P$2:P$1010) +
      (B271='Scrum Teams'!Q$2:Q$1010),
    0)
  ),
  "Not found"
)</f>
        <v>Not found</v>
      </c>
      <c r="P271" s="194" t="s">
        <v>78</v>
      </c>
      <c r="Q271" s="37"/>
    </row>
    <row r="272" spans="1:17" hidden="1">
      <c r="A272" s="3" t="s">
        <v>78</v>
      </c>
      <c r="B272" s="22" t="s">
        <v>761</v>
      </c>
      <c r="C272" s="3" t="s">
        <v>752</v>
      </c>
      <c r="D272" s="3"/>
      <c r="E272" s="3" t="s">
        <v>76</v>
      </c>
      <c r="F272" s="3"/>
      <c r="G272" s="3" t="s">
        <v>714</v>
      </c>
      <c r="H272" s="291" t="s">
        <v>762</v>
      </c>
      <c r="I272" s="291" t="s">
        <v>754</v>
      </c>
      <c r="J272" s="291"/>
      <c r="K272" s="291"/>
      <c r="L272" s="291"/>
      <c r="M272" s="291" t="s">
        <v>714</v>
      </c>
      <c r="N272" s="3" t="s">
        <v>755</v>
      </c>
      <c r="O272" s="137" t="str" cm="1">
        <f t="array" ref="O272">IFERROR(
  INDEX('Scrum Teams'!B$2:B$1010,
    MATCH(1,
      (B272='Scrum Teams'!F$2:F$1010) +
      (B272='Scrum Teams'!G$2:G$1010) +
      (B272='Scrum Teams'!H$2:H$1010) +
      (B272='Scrum Teams'!I$2:I$1010) +
      (B272='Scrum Teams'!J$2:J$1010) +
      (B272='Scrum Teams'!K$2:K$1010) +
      (B272='Scrum Teams'!L$2:L$1010) +
      (B272='Scrum Teams'!M$2:M$1010) +
      (B272='Scrum Teams'!N$2:N$1010) +
      (B272='Scrum Teams'!O$2:O$1010) +
      (B272='Scrum Teams'!P$2:P$1010) +
      (B272='Scrum Teams'!Q$2:Q$1010),
    0)
  ),
  "Not found"
)</f>
        <v>Not found</v>
      </c>
      <c r="P272" s="194" t="s">
        <v>78</v>
      </c>
      <c r="Q272" s="37"/>
    </row>
    <row r="273" spans="1:17" hidden="1">
      <c r="A273" s="3" t="s">
        <v>78</v>
      </c>
      <c r="B273" s="22" t="s">
        <v>763</v>
      </c>
      <c r="C273" s="3" t="s">
        <v>759</v>
      </c>
      <c r="D273" s="3"/>
      <c r="E273" s="3" t="s">
        <v>76</v>
      </c>
      <c r="F273" s="3"/>
      <c r="G273" s="3" t="s">
        <v>714</v>
      </c>
      <c r="H273" s="291" t="s">
        <v>753</v>
      </c>
      <c r="I273" s="291" t="s">
        <v>754</v>
      </c>
      <c r="J273" s="291"/>
      <c r="K273" s="291"/>
      <c r="L273" s="291"/>
      <c r="M273" s="291" t="s">
        <v>714</v>
      </c>
      <c r="N273" s="3" t="s">
        <v>755</v>
      </c>
      <c r="O273" s="137" t="str" cm="1">
        <f t="array" ref="O273">IFERROR(
  INDEX('Scrum Teams'!B$2:B$1010,
    MATCH(1,
      (B273='Scrum Teams'!F$2:F$1010) +
      (B273='Scrum Teams'!G$2:G$1010) +
      (B273='Scrum Teams'!H$2:H$1010) +
      (B273='Scrum Teams'!I$2:I$1010) +
      (B273='Scrum Teams'!J$2:J$1010) +
      (B273='Scrum Teams'!K$2:K$1010) +
      (B273='Scrum Teams'!L$2:L$1010) +
      (B273='Scrum Teams'!M$2:M$1010) +
      (B273='Scrum Teams'!N$2:N$1010) +
      (B273='Scrum Teams'!O$2:O$1010) +
      (B273='Scrum Teams'!P$2:P$1010) +
      (B273='Scrum Teams'!Q$2:Q$1010),
    0)
  ),
  "Not found"
)</f>
        <v>Not found</v>
      </c>
      <c r="P273" s="194" t="s">
        <v>78</v>
      </c>
      <c r="Q273" s="37"/>
    </row>
    <row r="274" spans="1:17" hidden="1">
      <c r="A274" s="3" t="s">
        <v>78</v>
      </c>
      <c r="B274" s="22" t="s">
        <v>764</v>
      </c>
      <c r="C274" s="3" t="s">
        <v>765</v>
      </c>
      <c r="D274" s="3"/>
      <c r="E274" s="3" t="s">
        <v>76</v>
      </c>
      <c r="F274" s="3"/>
      <c r="G274" s="3" t="s">
        <v>714</v>
      </c>
      <c r="H274" s="291"/>
      <c r="I274" s="291" t="s">
        <v>754</v>
      </c>
      <c r="J274" s="291"/>
      <c r="K274" s="291" t="s">
        <v>716</v>
      </c>
      <c r="L274" s="291"/>
      <c r="M274" s="291" t="s">
        <v>714</v>
      </c>
      <c r="N274" s="3" t="s">
        <v>720</v>
      </c>
      <c r="O274" s="137" t="str" cm="1">
        <f t="array" ref="O274">IFERROR(
  INDEX('Scrum Teams'!B$2:B$1010,
    MATCH(1,
      (B274='Scrum Teams'!F$2:F$1010) +
      (B274='Scrum Teams'!G$2:G$1010) +
      (B274='Scrum Teams'!H$2:H$1010) +
      (B274='Scrum Teams'!I$2:I$1010) +
      (B274='Scrum Teams'!J$2:J$1010) +
      (B274='Scrum Teams'!K$2:K$1010) +
      (B274='Scrum Teams'!L$2:L$1010) +
      (B274='Scrum Teams'!M$2:M$1010) +
      (B274='Scrum Teams'!N$2:N$1010) +
      (B274='Scrum Teams'!O$2:O$1010) +
      (B274='Scrum Teams'!P$2:P$1010) +
      (B274='Scrum Teams'!Q$2:Q$1010),
    0)
  ),
  "Not found"
)</f>
        <v>Not found</v>
      </c>
      <c r="P274" s="194" t="s">
        <v>78</v>
      </c>
      <c r="Q274" s="37"/>
    </row>
    <row r="275" spans="1:17" hidden="1">
      <c r="A275" s="3" t="s">
        <v>78</v>
      </c>
      <c r="B275" s="22" t="s">
        <v>766</v>
      </c>
      <c r="C275" s="3" t="s">
        <v>765</v>
      </c>
      <c r="D275" s="3"/>
      <c r="E275" s="3" t="s">
        <v>76</v>
      </c>
      <c r="F275" s="3"/>
      <c r="G275" s="3" t="s">
        <v>714</v>
      </c>
      <c r="H275" s="291"/>
      <c r="I275" s="291" t="s">
        <v>748</v>
      </c>
      <c r="J275" s="291"/>
      <c r="K275" s="291" t="s">
        <v>716</v>
      </c>
      <c r="L275" s="291"/>
      <c r="M275" s="291" t="s">
        <v>714</v>
      </c>
      <c r="N275" s="3" t="s">
        <v>717</v>
      </c>
      <c r="O275" s="137" t="str" cm="1">
        <f t="array" ref="O275">IFERROR(
  INDEX('Scrum Teams'!B$2:B$1010,
    MATCH(1,
      (B275='Scrum Teams'!F$2:F$1010) +
      (B275='Scrum Teams'!G$2:G$1010) +
      (B275='Scrum Teams'!H$2:H$1010) +
      (B275='Scrum Teams'!I$2:I$1010) +
      (B275='Scrum Teams'!J$2:J$1010) +
      (B275='Scrum Teams'!K$2:K$1010) +
      (B275='Scrum Teams'!L$2:L$1010) +
      (B275='Scrum Teams'!M$2:M$1010) +
      (B275='Scrum Teams'!N$2:N$1010) +
      (B275='Scrum Teams'!O$2:O$1010) +
      (B275='Scrum Teams'!P$2:P$1010) +
      (B275='Scrum Teams'!Q$2:Q$1010),
    0)
  ),
  "Not found"
)</f>
        <v>Not found</v>
      </c>
      <c r="P275" s="194" t="s">
        <v>78</v>
      </c>
      <c r="Q275" s="37"/>
    </row>
    <row r="276" spans="1:17" hidden="1">
      <c r="A276" s="3" t="s">
        <v>78</v>
      </c>
      <c r="B276" s="22" t="s">
        <v>767</v>
      </c>
      <c r="C276" s="3" t="s">
        <v>768</v>
      </c>
      <c r="D276" s="3"/>
      <c r="E276" s="3" t="s">
        <v>76</v>
      </c>
      <c r="F276" s="3"/>
      <c r="G276" s="3" t="s">
        <v>714</v>
      </c>
      <c r="H276" s="291"/>
      <c r="I276" s="291" t="s">
        <v>769</v>
      </c>
      <c r="J276" s="291"/>
      <c r="K276" s="291" t="s">
        <v>769</v>
      </c>
      <c r="L276" s="291"/>
      <c r="M276" s="291" t="s">
        <v>714</v>
      </c>
      <c r="N276" s="3" t="s">
        <v>717</v>
      </c>
      <c r="O276" s="137" t="str" cm="1">
        <f t="array" ref="O276">IFERROR(
  INDEX('Scrum Teams'!B$2:B$1010,
    MATCH(1,
      (B276='Scrum Teams'!F$2:F$1010) +
      (B276='Scrum Teams'!G$2:G$1010) +
      (B276='Scrum Teams'!H$2:H$1010) +
      (B276='Scrum Teams'!I$2:I$1010) +
      (B276='Scrum Teams'!J$2:J$1010) +
      (B276='Scrum Teams'!K$2:K$1010) +
      (B276='Scrum Teams'!L$2:L$1010) +
      (B276='Scrum Teams'!M$2:M$1010) +
      (B276='Scrum Teams'!N$2:N$1010) +
      (B276='Scrum Teams'!O$2:O$1010) +
      (B276='Scrum Teams'!P$2:P$1010) +
      (B276='Scrum Teams'!Q$2:Q$1010),
    0)
  ),
  "Not found"
)</f>
        <v>Not found</v>
      </c>
      <c r="P276" s="194" t="s">
        <v>78</v>
      </c>
      <c r="Q276" s="37"/>
    </row>
    <row r="277" spans="1:17" hidden="1">
      <c r="A277" s="3" t="s">
        <v>78</v>
      </c>
      <c r="B277" s="22" t="s">
        <v>770</v>
      </c>
      <c r="C277" s="3" t="s">
        <v>771</v>
      </c>
      <c r="D277" s="3"/>
      <c r="E277" s="3" t="s">
        <v>76</v>
      </c>
      <c r="F277" s="3"/>
      <c r="G277" s="3" t="s">
        <v>714</v>
      </c>
      <c r="H277" s="291"/>
      <c r="I277" s="291" t="s">
        <v>769</v>
      </c>
      <c r="J277" s="291"/>
      <c r="K277" s="291" t="s">
        <v>769</v>
      </c>
      <c r="L277" s="291"/>
      <c r="M277" s="291" t="s">
        <v>714</v>
      </c>
      <c r="N277" s="3" t="s">
        <v>717</v>
      </c>
      <c r="O277" s="137" t="str" cm="1">
        <f t="array" ref="O277">IFERROR(
  INDEX('Scrum Teams'!B$2:B$1010,
    MATCH(1,
      (B277='Scrum Teams'!F$2:F$1010) +
      (B277='Scrum Teams'!G$2:G$1010) +
      (B277='Scrum Teams'!H$2:H$1010) +
      (B277='Scrum Teams'!I$2:I$1010) +
      (B277='Scrum Teams'!J$2:J$1010) +
      (B277='Scrum Teams'!K$2:K$1010) +
      (B277='Scrum Teams'!L$2:L$1010) +
      (B277='Scrum Teams'!M$2:M$1010) +
      (B277='Scrum Teams'!N$2:N$1010) +
      (B277='Scrum Teams'!O$2:O$1010) +
      (B277='Scrum Teams'!P$2:P$1010) +
      (B277='Scrum Teams'!Q$2:Q$1010),
    0)
  ),
  "Not found"
)</f>
        <v>Not found</v>
      </c>
      <c r="P277" s="194" t="s">
        <v>78</v>
      </c>
      <c r="Q277" s="37"/>
    </row>
    <row r="278" spans="1:17" hidden="1">
      <c r="A278" s="3" t="s">
        <v>78</v>
      </c>
      <c r="B278" s="22" t="s">
        <v>772</v>
      </c>
      <c r="C278" s="3" t="s">
        <v>773</v>
      </c>
      <c r="D278" s="3"/>
      <c r="E278" s="3" t="s">
        <v>76</v>
      </c>
      <c r="F278" s="3"/>
      <c r="G278" s="3" t="s">
        <v>714</v>
      </c>
      <c r="H278" s="291"/>
      <c r="I278" s="291" t="s">
        <v>738</v>
      </c>
      <c r="J278" s="291"/>
      <c r="K278" s="291" t="s">
        <v>716</v>
      </c>
      <c r="L278" s="291"/>
      <c r="M278" s="291" t="s">
        <v>714</v>
      </c>
      <c r="N278" s="3" t="s">
        <v>717</v>
      </c>
      <c r="O278" s="137" t="str" cm="1">
        <f t="array" ref="O278">IFERROR(
  INDEX('Scrum Teams'!B$2:B$1010,
    MATCH(1,
      (B278='Scrum Teams'!F$2:F$1010) +
      (B278='Scrum Teams'!G$2:G$1010) +
      (B278='Scrum Teams'!H$2:H$1010) +
      (B278='Scrum Teams'!I$2:I$1010) +
      (B278='Scrum Teams'!J$2:J$1010) +
      (B278='Scrum Teams'!K$2:K$1010) +
      (B278='Scrum Teams'!L$2:L$1010) +
      (B278='Scrum Teams'!M$2:M$1010) +
      (B278='Scrum Teams'!N$2:N$1010) +
      (B278='Scrum Teams'!O$2:O$1010) +
      (B278='Scrum Teams'!P$2:P$1010) +
      (B278='Scrum Teams'!Q$2:Q$1010),
    0)
  ),
  "Not found"
)</f>
        <v>Not found</v>
      </c>
      <c r="P278" s="194" t="s">
        <v>78</v>
      </c>
      <c r="Q278" s="37"/>
    </row>
    <row r="279" spans="1:17" hidden="1">
      <c r="A279" s="3" t="s">
        <v>78</v>
      </c>
      <c r="B279" s="22" t="s">
        <v>774</v>
      </c>
      <c r="C279" s="3"/>
      <c r="D279" s="3"/>
      <c r="E279" s="3" t="s">
        <v>76</v>
      </c>
      <c r="F279" s="3"/>
      <c r="G279" s="3" t="s">
        <v>714</v>
      </c>
      <c r="H279" s="291"/>
      <c r="I279" s="291"/>
      <c r="J279" s="291"/>
      <c r="K279" s="291"/>
      <c r="L279" s="291"/>
      <c r="M279" s="291" t="s">
        <v>714</v>
      </c>
      <c r="N279" s="3"/>
      <c r="O279" s="137" t="str" cm="1">
        <f t="array" ref="O279">IFERROR(
  INDEX('Scrum Teams'!B$2:B$1010,
    MATCH(1,
      (B279='Scrum Teams'!F$2:F$1010) +
      (B279='Scrum Teams'!G$2:G$1010) +
      (B279='Scrum Teams'!H$2:H$1010) +
      (B279='Scrum Teams'!I$2:I$1010) +
      (B279='Scrum Teams'!J$2:J$1010) +
      (B279='Scrum Teams'!K$2:K$1010) +
      (B279='Scrum Teams'!L$2:L$1010) +
      (B279='Scrum Teams'!M$2:M$1010) +
      (B279='Scrum Teams'!N$2:N$1010) +
      (B279='Scrum Teams'!O$2:O$1010) +
      (B279='Scrum Teams'!P$2:P$1010) +
      (B279='Scrum Teams'!Q$2:Q$1010),
    0)
  ),
  "Not found"
)</f>
        <v>Not found</v>
      </c>
      <c r="P279" s="194" t="s">
        <v>78</v>
      </c>
      <c r="Q279" s="37"/>
    </row>
    <row r="280" spans="1:17" hidden="1">
      <c r="A280" s="3" t="s">
        <v>78</v>
      </c>
      <c r="B280" s="22" t="s">
        <v>775</v>
      </c>
      <c r="C280" s="3"/>
      <c r="D280" s="3"/>
      <c r="E280" s="3" t="s">
        <v>76</v>
      </c>
      <c r="F280" s="3"/>
      <c r="G280" s="3" t="s">
        <v>714</v>
      </c>
      <c r="H280" s="291"/>
      <c r="I280" s="291"/>
      <c r="J280" s="291"/>
      <c r="K280" s="291"/>
      <c r="L280" s="291"/>
      <c r="M280" s="291" t="s">
        <v>714</v>
      </c>
      <c r="N280" s="3"/>
      <c r="O280" s="137" t="str" cm="1">
        <f t="array" ref="O280">IFERROR(
  INDEX('Scrum Teams'!B$2:B$1010,
    MATCH(1,
      (B280='Scrum Teams'!F$2:F$1010) +
      (B280='Scrum Teams'!G$2:G$1010) +
      (B280='Scrum Teams'!H$2:H$1010) +
      (B280='Scrum Teams'!I$2:I$1010) +
      (B280='Scrum Teams'!J$2:J$1010) +
      (B280='Scrum Teams'!K$2:K$1010) +
      (B280='Scrum Teams'!L$2:L$1010) +
      (B280='Scrum Teams'!M$2:M$1010) +
      (B280='Scrum Teams'!N$2:N$1010) +
      (B280='Scrum Teams'!O$2:O$1010) +
      (B280='Scrum Teams'!P$2:P$1010) +
      (B280='Scrum Teams'!Q$2:Q$1010),
    0)
  ),
  "Not found"
)</f>
        <v>Not found</v>
      </c>
      <c r="P280" s="194" t="s">
        <v>78</v>
      </c>
      <c r="Q280" s="37"/>
    </row>
    <row r="281" spans="1:17" hidden="1">
      <c r="A281" s="3" t="s">
        <v>78</v>
      </c>
      <c r="B281" s="22" t="s">
        <v>776</v>
      </c>
      <c r="C281" s="3"/>
      <c r="D281" s="3"/>
      <c r="E281" s="3" t="s">
        <v>76</v>
      </c>
      <c r="F281" s="3"/>
      <c r="G281" s="3" t="s">
        <v>714</v>
      </c>
      <c r="H281" s="291"/>
      <c r="I281" s="291"/>
      <c r="J281" s="291"/>
      <c r="K281" s="291"/>
      <c r="L281" s="291"/>
      <c r="M281" s="291" t="s">
        <v>714</v>
      </c>
      <c r="N281" s="3"/>
      <c r="O281" s="137" t="str" cm="1">
        <f t="array" ref="O281">IFERROR(
  INDEX('Scrum Teams'!B$2:B$1010,
    MATCH(1,
      (B281='Scrum Teams'!F$2:F$1010) +
      (B281='Scrum Teams'!G$2:G$1010) +
      (B281='Scrum Teams'!H$2:H$1010) +
      (B281='Scrum Teams'!I$2:I$1010) +
      (B281='Scrum Teams'!J$2:J$1010) +
      (B281='Scrum Teams'!K$2:K$1010) +
      (B281='Scrum Teams'!L$2:L$1010) +
      (B281='Scrum Teams'!M$2:M$1010) +
      (B281='Scrum Teams'!N$2:N$1010) +
      (B281='Scrum Teams'!O$2:O$1010) +
      (B281='Scrum Teams'!P$2:P$1010) +
      (B281='Scrum Teams'!Q$2:Q$1010),
    0)
  ),
  "Not found"
)</f>
        <v>Not found</v>
      </c>
      <c r="P281" s="194" t="s">
        <v>78</v>
      </c>
      <c r="Q281" s="37"/>
    </row>
    <row r="282" spans="1:17" hidden="1">
      <c r="A282" s="3" t="s">
        <v>78</v>
      </c>
      <c r="B282" s="22" t="s">
        <v>777</v>
      </c>
      <c r="C282" s="3"/>
      <c r="D282" s="3"/>
      <c r="E282" s="3" t="s">
        <v>76</v>
      </c>
      <c r="F282" s="3"/>
      <c r="G282" s="3" t="s">
        <v>714</v>
      </c>
      <c r="H282" s="291"/>
      <c r="I282" s="291"/>
      <c r="J282" s="291"/>
      <c r="K282" s="291"/>
      <c r="L282" s="291"/>
      <c r="M282" s="291" t="s">
        <v>714</v>
      </c>
      <c r="N282" s="3"/>
      <c r="O282" s="137" t="str" cm="1">
        <f t="array" ref="O282">IFERROR(
  INDEX('Scrum Teams'!B$2:B$1010,
    MATCH(1,
      (B282='Scrum Teams'!F$2:F$1010) +
      (B282='Scrum Teams'!G$2:G$1010) +
      (B282='Scrum Teams'!H$2:H$1010) +
      (B282='Scrum Teams'!I$2:I$1010) +
      (B282='Scrum Teams'!J$2:J$1010) +
      (B282='Scrum Teams'!K$2:K$1010) +
      (B282='Scrum Teams'!L$2:L$1010) +
      (B282='Scrum Teams'!M$2:M$1010) +
      (B282='Scrum Teams'!N$2:N$1010) +
      (B282='Scrum Teams'!O$2:O$1010) +
      (B282='Scrum Teams'!P$2:P$1010) +
      (B282='Scrum Teams'!Q$2:Q$1010),
    0)
  ),
  "Not found"
)</f>
        <v>Not found</v>
      </c>
      <c r="P282" s="194" t="s">
        <v>78</v>
      </c>
      <c r="Q282" s="37"/>
    </row>
    <row r="283" spans="1:17" hidden="1">
      <c r="A283" s="3" t="s">
        <v>68</v>
      </c>
      <c r="B283" s="22" t="s">
        <v>778</v>
      </c>
      <c r="C283" s="3"/>
      <c r="D283" s="3"/>
      <c r="E283" t="s">
        <v>66</v>
      </c>
      <c r="F283" s="3" t="s">
        <v>169</v>
      </c>
      <c r="G283" s="41" t="s">
        <v>55</v>
      </c>
      <c r="H283" s="301" t="s">
        <v>779</v>
      </c>
      <c r="I283" s="250"/>
      <c r="J283" s="250"/>
      <c r="K283" s="298" t="s">
        <v>249</v>
      </c>
      <c r="L283" s="250"/>
      <c r="M283" s="291" t="s">
        <v>250</v>
      </c>
      <c r="N283" s="3"/>
      <c r="O283" s="137" t="str" cm="1">
        <f t="array" ref="O283">IFERROR(
  INDEX('Scrum Teams'!B$2:B$1010,
    MATCH(1,
      (B283='Scrum Teams'!F$2:F$1010) +
      (B283='Scrum Teams'!G$2:G$1010) +
      (B283='Scrum Teams'!H$2:H$1010) +
      (B283='Scrum Teams'!I$2:I$1010) +
      (B283='Scrum Teams'!J$2:J$1010) +
      (B283='Scrum Teams'!K$2:K$1010) +
      (B283='Scrum Teams'!L$2:L$1010) +
      (B283='Scrum Teams'!M$2:M$1010) +
      (B283='Scrum Teams'!N$2:N$1010) +
      (B283='Scrum Teams'!O$2:O$1010) +
      (B283='Scrum Teams'!P$2:P$1010) +
      (B283='Scrum Teams'!Q$2:Q$1010),
    0)
  ),
  "Not found"
)</f>
        <v>AIE_Platform</v>
      </c>
      <c r="P283" s="195" t="s">
        <v>780</v>
      </c>
      <c r="Q283" s="37" t="s">
        <v>307</v>
      </c>
    </row>
    <row r="284" spans="1:17" hidden="1">
      <c r="A284" s="3" t="s">
        <v>68</v>
      </c>
      <c r="B284" s="22" t="s">
        <v>781</v>
      </c>
      <c r="C284" s="3"/>
      <c r="D284" s="3"/>
      <c r="E284" t="s">
        <v>66</v>
      </c>
      <c r="F284" s="3" t="s">
        <v>169</v>
      </c>
      <c r="G284" s="41" t="s">
        <v>55</v>
      </c>
      <c r="H284" s="301" t="s">
        <v>779</v>
      </c>
      <c r="I284" s="250"/>
      <c r="J284" s="250"/>
      <c r="K284" s="298" t="s">
        <v>249</v>
      </c>
      <c r="L284" s="250"/>
      <c r="M284" s="291" t="s">
        <v>250</v>
      </c>
      <c r="N284" s="3"/>
      <c r="O284" s="137" t="str" cm="1">
        <f t="array" ref="O284">IFERROR(
  INDEX('Scrum Teams'!B$2:B$1010,
    MATCH(1,
      (B284='Scrum Teams'!F$2:F$1010) +
      (B284='Scrum Teams'!G$2:G$1010) +
      (B284='Scrum Teams'!H$2:H$1010) +
      (B284='Scrum Teams'!I$2:I$1010) +
      (B284='Scrum Teams'!J$2:J$1010) +
      (B284='Scrum Teams'!K$2:K$1010) +
      (B284='Scrum Teams'!L$2:L$1010) +
      (B284='Scrum Teams'!M$2:M$1010) +
      (B284='Scrum Teams'!N$2:N$1010) +
      (B284='Scrum Teams'!O$2:O$1010) +
      (B284='Scrum Teams'!P$2:P$1010) +
      (B284='Scrum Teams'!Q$2:Q$1010),
    0)
  ),
  "Not found"
)</f>
        <v>AIE_Platform</v>
      </c>
      <c r="P284" s="195" t="s">
        <v>780</v>
      </c>
      <c r="Q284" s="37" t="s">
        <v>307</v>
      </c>
    </row>
    <row r="285" spans="1:17" hidden="1">
      <c r="A285" s="3" t="s">
        <v>68</v>
      </c>
      <c r="B285" s="22" t="s">
        <v>782</v>
      </c>
      <c r="C285" s="3"/>
      <c r="D285" s="3"/>
      <c r="E285" t="s">
        <v>66</v>
      </c>
      <c r="F285" s="3" t="s">
        <v>169</v>
      </c>
      <c r="G285" s="41" t="s">
        <v>55</v>
      </c>
      <c r="H285" s="249" t="s">
        <v>783</v>
      </c>
      <c r="I285" s="250"/>
      <c r="J285" s="250"/>
      <c r="K285" s="291" t="s">
        <v>249</v>
      </c>
      <c r="L285" s="250"/>
      <c r="M285" s="291" t="s">
        <v>250</v>
      </c>
      <c r="N285" s="3"/>
      <c r="O285" s="137" t="str" cm="1">
        <f t="array" ref="O285">IFERROR(
  INDEX('Scrum Teams'!B$2:B$1010,
    MATCH(1,
      (B285='Scrum Teams'!F$2:F$1010) +
      (B285='Scrum Teams'!G$2:G$1010) +
      (B285='Scrum Teams'!H$2:H$1010) +
      (B285='Scrum Teams'!I$2:I$1010) +
      (B285='Scrum Teams'!J$2:J$1010) +
      (B285='Scrum Teams'!K$2:K$1010) +
      (B285='Scrum Teams'!L$2:L$1010) +
      (B285='Scrum Teams'!M$2:M$1010) +
      (B285='Scrum Teams'!N$2:N$1010) +
      (B285='Scrum Teams'!O$2:O$1010) +
      (B285='Scrum Teams'!P$2:P$1010) +
      (B285='Scrum Teams'!Q$2:Q$1010),
    0)
  ),
  "Not found"
)</f>
        <v>AIE_Platform</v>
      </c>
      <c r="P285" s="195" t="s">
        <v>780</v>
      </c>
      <c r="Q285" s="37" t="s">
        <v>307</v>
      </c>
    </row>
    <row r="286" spans="1:17" hidden="1">
      <c r="A286" s="3" t="s">
        <v>68</v>
      </c>
      <c r="B286" s="22" t="s">
        <v>784</v>
      </c>
      <c r="C286" s="3"/>
      <c r="D286" s="3"/>
      <c r="E286" t="s">
        <v>66</v>
      </c>
      <c r="F286" s="3" t="s">
        <v>169</v>
      </c>
      <c r="G286" s="41" t="s">
        <v>55</v>
      </c>
      <c r="H286" s="262" t="s">
        <v>692</v>
      </c>
      <c r="I286" s="250"/>
      <c r="J286" s="250"/>
      <c r="K286" s="298" t="s">
        <v>249</v>
      </c>
      <c r="L286" s="250"/>
      <c r="M286" s="291" t="s">
        <v>250</v>
      </c>
      <c r="N286" s="3"/>
      <c r="O286" s="137" t="str" cm="1">
        <f t="array" ref="O286">IFERROR(
  INDEX('Scrum Teams'!B$2:B$1010,
    MATCH(1,
      (B286='Scrum Teams'!F$2:F$1010) +
      (B286='Scrum Teams'!G$2:G$1010) +
      (B286='Scrum Teams'!H$2:H$1010) +
      (B286='Scrum Teams'!I$2:I$1010) +
      (B286='Scrum Teams'!J$2:J$1010) +
      (B286='Scrum Teams'!K$2:K$1010) +
      (B286='Scrum Teams'!L$2:L$1010) +
      (B286='Scrum Teams'!M$2:M$1010) +
      (B286='Scrum Teams'!N$2:N$1010) +
      (B286='Scrum Teams'!O$2:O$1010) +
      (B286='Scrum Teams'!P$2:P$1010) +
      (B286='Scrum Teams'!Q$2:Q$1010),
    0)
  ),
  "Not found"
)</f>
        <v>AIE_Platform</v>
      </c>
      <c r="P286" s="195" t="s">
        <v>780</v>
      </c>
      <c r="Q286" s="37" t="s">
        <v>307</v>
      </c>
    </row>
    <row r="287" spans="1:17" hidden="1">
      <c r="A287" s="3" t="s">
        <v>68</v>
      </c>
      <c r="B287" s="22" t="s">
        <v>785</v>
      </c>
      <c r="C287" s="3"/>
      <c r="D287" s="3"/>
      <c r="E287" t="s">
        <v>66</v>
      </c>
      <c r="F287" s="3" t="s">
        <v>169</v>
      </c>
      <c r="G287" s="41" t="s">
        <v>55</v>
      </c>
      <c r="H287" s="249" t="s">
        <v>256</v>
      </c>
      <c r="I287" s="250"/>
      <c r="J287" s="250"/>
      <c r="K287" s="291" t="s">
        <v>223</v>
      </c>
      <c r="L287" s="291" t="s">
        <v>224</v>
      </c>
      <c r="M287" s="291" t="s">
        <v>225</v>
      </c>
      <c r="N287" s="3"/>
      <c r="O287" s="137" t="str" cm="1">
        <f t="array" ref="O287">IFERROR(
  INDEX('Scrum Teams'!B$2:B$1010,
    MATCH(1,
      (B287='Scrum Teams'!F$2:F$1010) +
      (B287='Scrum Teams'!G$2:G$1010) +
      (B287='Scrum Teams'!H$2:H$1010) +
      (B287='Scrum Teams'!I$2:I$1010) +
      (B287='Scrum Teams'!J$2:J$1010) +
      (B287='Scrum Teams'!K$2:K$1010) +
      (B287='Scrum Teams'!L$2:L$1010) +
      (B287='Scrum Teams'!M$2:M$1010) +
      (B287='Scrum Teams'!N$2:N$1010) +
      (B287='Scrum Teams'!O$2:O$1010) +
      (B287='Scrum Teams'!P$2:P$1010) +
      (B287='Scrum Teams'!Q$2:Q$1010),
    0)
  ),
  "Not found"
)</f>
        <v>AIE_Platform</v>
      </c>
      <c r="P287" s="195" t="s">
        <v>780</v>
      </c>
      <c r="Q287" s="37" t="s">
        <v>307</v>
      </c>
    </row>
    <row r="288" spans="1:17" hidden="1">
      <c r="A288" s="3" t="s">
        <v>68</v>
      </c>
      <c r="B288" s="22" t="s">
        <v>786</v>
      </c>
      <c r="C288" s="3"/>
      <c r="D288" s="3"/>
      <c r="E288" t="s">
        <v>66</v>
      </c>
      <c r="F288" s="3" t="s">
        <v>169</v>
      </c>
      <c r="G288" s="41" t="s">
        <v>55</v>
      </c>
      <c r="H288" s="249" t="s">
        <v>244</v>
      </c>
      <c r="I288" s="250"/>
      <c r="J288" s="250"/>
      <c r="K288" s="291" t="s">
        <v>223</v>
      </c>
      <c r="L288" s="291" t="s">
        <v>224</v>
      </c>
      <c r="M288" s="291" t="s">
        <v>225</v>
      </c>
      <c r="N288" s="3"/>
      <c r="O288" s="137" t="str" cm="1">
        <f t="array" ref="O288">IFERROR(
  INDEX('Scrum Teams'!B$2:B$1010,
    MATCH(1,
      (B288='Scrum Teams'!F$2:F$1010) +
      (B288='Scrum Teams'!G$2:G$1010) +
      (B288='Scrum Teams'!H$2:H$1010) +
      (B288='Scrum Teams'!I$2:I$1010) +
      (B288='Scrum Teams'!J$2:J$1010) +
      (B288='Scrum Teams'!K$2:K$1010) +
      (B288='Scrum Teams'!L$2:L$1010) +
      (B288='Scrum Teams'!M$2:M$1010) +
      (B288='Scrum Teams'!N$2:N$1010) +
      (B288='Scrum Teams'!O$2:O$1010) +
      (B288='Scrum Teams'!P$2:P$1010) +
      (B288='Scrum Teams'!Q$2:Q$1010),
    0)
  ),
  "Not found"
)</f>
        <v>AIE_Platform</v>
      </c>
      <c r="P288" s="195" t="s">
        <v>780</v>
      </c>
      <c r="Q288" s="37" t="s">
        <v>307</v>
      </c>
    </row>
    <row r="289" spans="1:17" hidden="1">
      <c r="A289" s="3" t="s">
        <v>68</v>
      </c>
      <c r="B289" s="22" t="s">
        <v>787</v>
      </c>
      <c r="C289" s="3"/>
      <c r="D289" s="3"/>
      <c r="E289" t="s">
        <v>66</v>
      </c>
      <c r="F289" s="3" t="s">
        <v>169</v>
      </c>
      <c r="G289" s="41" t="s">
        <v>55</v>
      </c>
      <c r="H289" s="249" t="s">
        <v>244</v>
      </c>
      <c r="I289" s="250"/>
      <c r="J289" s="250"/>
      <c r="K289" s="291" t="s">
        <v>223</v>
      </c>
      <c r="L289" s="291" t="s">
        <v>224</v>
      </c>
      <c r="M289" s="291" t="s">
        <v>225</v>
      </c>
      <c r="N289" s="3"/>
      <c r="O289" s="137" t="str" cm="1">
        <f t="array" ref="O289">IFERROR(
  INDEX('Scrum Teams'!B$2:B$1010,
    MATCH(1,
      (B289='Scrum Teams'!F$2:F$1010) +
      (B289='Scrum Teams'!G$2:G$1010) +
      (B289='Scrum Teams'!H$2:H$1010) +
      (B289='Scrum Teams'!I$2:I$1010) +
      (B289='Scrum Teams'!J$2:J$1010) +
      (B289='Scrum Teams'!K$2:K$1010) +
      (B289='Scrum Teams'!L$2:L$1010) +
      (B289='Scrum Teams'!M$2:M$1010) +
      (B289='Scrum Teams'!N$2:N$1010) +
      (B289='Scrum Teams'!O$2:O$1010) +
      (B289='Scrum Teams'!P$2:P$1010) +
      (B289='Scrum Teams'!Q$2:Q$1010),
    0)
  ),
  "Not found"
)</f>
        <v>AIE_Platform</v>
      </c>
      <c r="P289" s="195" t="s">
        <v>780</v>
      </c>
      <c r="Q289" s="37" t="s">
        <v>307</v>
      </c>
    </row>
    <row r="290" spans="1:17" hidden="1">
      <c r="A290" s="3" t="s">
        <v>68</v>
      </c>
      <c r="B290" s="22" t="s">
        <v>788</v>
      </c>
      <c r="C290" s="3"/>
      <c r="D290" s="3"/>
      <c r="E290" t="s">
        <v>66</v>
      </c>
      <c r="F290" s="3" t="s">
        <v>169</v>
      </c>
      <c r="G290" s="41" t="s">
        <v>55</v>
      </c>
      <c r="H290" s="301" t="s">
        <v>779</v>
      </c>
      <c r="I290" s="250"/>
      <c r="J290" s="250"/>
      <c r="K290" s="298" t="s">
        <v>249</v>
      </c>
      <c r="L290" s="250"/>
      <c r="M290" s="291" t="s">
        <v>250</v>
      </c>
      <c r="N290" s="3"/>
      <c r="O290" s="137" t="str" cm="1">
        <f t="array" ref="O290">IFERROR(
  INDEX('Scrum Teams'!B$2:B$1010,
    MATCH(1,
      (B290='Scrum Teams'!F$2:F$1010) +
      (B290='Scrum Teams'!G$2:G$1010) +
      (B290='Scrum Teams'!H$2:H$1010) +
      (B290='Scrum Teams'!I$2:I$1010) +
      (B290='Scrum Teams'!J$2:J$1010) +
      (B290='Scrum Teams'!K$2:K$1010) +
      (B290='Scrum Teams'!L$2:L$1010) +
      (B290='Scrum Teams'!M$2:M$1010) +
      (B290='Scrum Teams'!N$2:N$1010) +
      (B290='Scrum Teams'!O$2:O$1010) +
      (B290='Scrum Teams'!P$2:P$1010) +
      (B290='Scrum Teams'!Q$2:Q$1010),
    0)
  ),
  "Not found"
)</f>
        <v>AIE_Platform</v>
      </c>
      <c r="P290" s="195" t="s">
        <v>780</v>
      </c>
      <c r="Q290" s="37" t="s">
        <v>307</v>
      </c>
    </row>
    <row r="291" spans="1:17" hidden="1">
      <c r="A291" s="3" t="s">
        <v>68</v>
      </c>
      <c r="B291" s="22" t="s">
        <v>789</v>
      </c>
      <c r="C291" s="3"/>
      <c r="D291" s="3"/>
      <c r="E291" t="s">
        <v>66</v>
      </c>
      <c r="F291" s="3" t="s">
        <v>169</v>
      </c>
      <c r="G291" s="41" t="s">
        <v>55</v>
      </c>
      <c r="H291" s="262" t="s">
        <v>692</v>
      </c>
      <c r="I291" s="250"/>
      <c r="J291" s="250"/>
      <c r="K291" s="298" t="s">
        <v>249</v>
      </c>
      <c r="L291" s="250"/>
      <c r="M291" s="291" t="s">
        <v>250</v>
      </c>
      <c r="N291" s="3"/>
      <c r="O291" s="137" t="str" cm="1">
        <f t="array" ref="O291">IFERROR(
  INDEX('Scrum Teams'!B$2:B$1010,
    MATCH(1,
      (B291='Scrum Teams'!F$2:F$1010) +
      (B291='Scrum Teams'!G$2:G$1010) +
      (B291='Scrum Teams'!H$2:H$1010) +
      (B291='Scrum Teams'!I$2:I$1010) +
      (B291='Scrum Teams'!J$2:J$1010) +
      (B291='Scrum Teams'!K$2:K$1010) +
      (B291='Scrum Teams'!L$2:L$1010) +
      (B291='Scrum Teams'!M$2:M$1010) +
      (B291='Scrum Teams'!N$2:N$1010) +
      (B291='Scrum Teams'!O$2:O$1010) +
      (B291='Scrum Teams'!P$2:P$1010) +
      (B291='Scrum Teams'!Q$2:Q$1010),
    0)
  ),
  "Not found"
)</f>
        <v>AIE_Platform</v>
      </c>
      <c r="P291" s="195" t="s">
        <v>780</v>
      </c>
      <c r="Q291" s="37" t="s">
        <v>307</v>
      </c>
    </row>
    <row r="292" spans="1:17" hidden="1">
      <c r="A292" s="3" t="s">
        <v>68</v>
      </c>
      <c r="B292" s="22" t="s">
        <v>790</v>
      </c>
      <c r="C292" s="3"/>
      <c r="D292" s="3"/>
      <c r="E292" t="s">
        <v>66</v>
      </c>
      <c r="F292" s="3" t="s">
        <v>169</v>
      </c>
      <c r="G292" s="41" t="s">
        <v>55</v>
      </c>
      <c r="H292" s="262" t="s">
        <v>692</v>
      </c>
      <c r="I292" s="250"/>
      <c r="J292" s="250"/>
      <c r="K292" s="298" t="s">
        <v>249</v>
      </c>
      <c r="L292" s="250"/>
      <c r="M292" s="291" t="s">
        <v>250</v>
      </c>
      <c r="N292" s="3"/>
      <c r="O292" s="137" t="str" cm="1">
        <f t="array" ref="O292">IFERROR(
  INDEX('Scrum Teams'!B$2:B$1010,
    MATCH(1,
      (B292='Scrum Teams'!F$2:F$1010) +
      (B292='Scrum Teams'!G$2:G$1010) +
      (B292='Scrum Teams'!H$2:H$1010) +
      (B292='Scrum Teams'!I$2:I$1010) +
      (B292='Scrum Teams'!J$2:J$1010) +
      (B292='Scrum Teams'!K$2:K$1010) +
      (B292='Scrum Teams'!L$2:L$1010) +
      (B292='Scrum Teams'!M$2:M$1010) +
      (B292='Scrum Teams'!N$2:N$1010) +
      (B292='Scrum Teams'!O$2:O$1010) +
      (B292='Scrum Teams'!P$2:P$1010) +
      (B292='Scrum Teams'!Q$2:Q$1010),
    0)
  ),
  "Not found"
)</f>
        <v>AIE_Platform</v>
      </c>
      <c r="P292" s="195" t="s">
        <v>780</v>
      </c>
      <c r="Q292" s="37" t="s">
        <v>307</v>
      </c>
    </row>
    <row r="293" spans="1:17">
      <c r="A293" s="3" t="s">
        <v>40</v>
      </c>
      <c r="B293" s="22" t="s">
        <v>791</v>
      </c>
      <c r="C293" s="3" t="s">
        <v>792</v>
      </c>
      <c r="D293" s="3" t="s">
        <v>792</v>
      </c>
      <c r="E293" s="3" t="s">
        <v>34</v>
      </c>
      <c r="F293" s="3"/>
      <c r="G293" s="3" t="s">
        <v>30</v>
      </c>
      <c r="H293" s="291" t="s">
        <v>793</v>
      </c>
      <c r="I293" s="270" t="s">
        <v>794</v>
      </c>
      <c r="J293" s="294" t="s">
        <v>794</v>
      </c>
      <c r="K293" s="302"/>
      <c r="L293" s="294"/>
      <c r="M293" s="291" t="s">
        <v>30</v>
      </c>
      <c r="N293" s="3" t="s">
        <v>576</v>
      </c>
      <c r="O293" s="137" t="str" cm="1">
        <f t="array" ref="O293">IFERROR(
  INDEX('Scrum Teams'!B$2:B$1010,
    MATCH(1,
      (B293='Scrum Teams'!F$2:F$1010) +
      (B293='Scrum Teams'!G$2:G$1010) +
      (B293='Scrum Teams'!H$2:H$1010) +
      (B293='Scrum Teams'!I$2:I$1010) +
      (B293='Scrum Teams'!J$2:J$1010) +
      (B293='Scrum Teams'!K$2:K$1010) +
      (B293='Scrum Teams'!L$2:L$1010) +
      (B293='Scrum Teams'!M$2:M$1010) +
      (B293='Scrum Teams'!N$2:N$1010) +
      (B293='Scrum Teams'!O$2:O$1010) +
      (B293='Scrum Teams'!P$2:P$1010) +
      (B293='Scrum Teams'!Q$2:Q$1010),
    0)
  ),
  "Not found"
)</f>
        <v>VSR, FE Platform</v>
      </c>
      <c r="P293" s="194" t="s">
        <v>795</v>
      </c>
      <c r="Q293" s="37" t="s">
        <v>796</v>
      </c>
    </row>
    <row r="294" spans="1:17">
      <c r="A294" s="3" t="s">
        <v>40</v>
      </c>
      <c r="B294" s="22" t="s">
        <v>797</v>
      </c>
      <c r="C294" s="3" t="s">
        <v>792</v>
      </c>
      <c r="D294" s="3" t="s">
        <v>792</v>
      </c>
      <c r="E294" s="3" t="s">
        <v>34</v>
      </c>
      <c r="F294" s="3"/>
      <c r="G294" s="3" t="s">
        <v>30</v>
      </c>
      <c r="H294" s="290" t="s">
        <v>793</v>
      </c>
      <c r="I294" s="270" t="s">
        <v>794</v>
      </c>
      <c r="J294" s="294" t="s">
        <v>794</v>
      </c>
      <c r="K294" s="302"/>
      <c r="L294" s="294"/>
      <c r="M294" s="291" t="s">
        <v>30</v>
      </c>
      <c r="N294" s="3" t="s">
        <v>576</v>
      </c>
      <c r="O294" s="137" t="str" cm="1">
        <f t="array" ref="O294">IFERROR(
  INDEX('Scrum Teams'!B$2:B$1010,
    MATCH(1,
      (B294='Scrum Teams'!F$2:F$1010) +
      (B294='Scrum Teams'!G$2:G$1010) +
      (B294='Scrum Teams'!H$2:H$1010) +
      (B294='Scrum Teams'!I$2:I$1010) +
      (B294='Scrum Teams'!J$2:J$1010) +
      (B294='Scrum Teams'!K$2:K$1010) +
      (B294='Scrum Teams'!L$2:L$1010) +
      (B294='Scrum Teams'!M$2:M$1010) +
      (B294='Scrum Teams'!N$2:N$1010) +
      (B294='Scrum Teams'!O$2:O$1010) +
      (B294='Scrum Teams'!P$2:P$1010) +
      (B294='Scrum Teams'!Q$2:Q$1010),
    0)
  ),
  "Not found"
)</f>
        <v>VSR, FE Platform</v>
      </c>
      <c r="P294" s="194" t="s">
        <v>795</v>
      </c>
      <c r="Q294" s="37" t="s">
        <v>796</v>
      </c>
    </row>
    <row r="295" spans="1:17">
      <c r="A295" s="3" t="s">
        <v>40</v>
      </c>
      <c r="B295" s="22" t="s">
        <v>798</v>
      </c>
      <c r="C295" s="3" t="s">
        <v>792</v>
      </c>
      <c r="D295" s="3" t="s">
        <v>792</v>
      </c>
      <c r="E295" s="3" t="s">
        <v>34</v>
      </c>
      <c r="F295" s="3"/>
      <c r="G295" s="3" t="s">
        <v>30</v>
      </c>
      <c r="H295" s="290" t="s">
        <v>799</v>
      </c>
      <c r="I295" s="294" t="s">
        <v>582</v>
      </c>
      <c r="J295" s="294" t="s">
        <v>582</v>
      </c>
      <c r="K295" s="294"/>
      <c r="L295" s="294"/>
      <c r="M295" s="291" t="s">
        <v>30</v>
      </c>
      <c r="N295" s="3" t="s">
        <v>576</v>
      </c>
      <c r="O295" s="137" t="str" cm="1">
        <f t="array" ref="O295">IFERROR(
  INDEX('Scrum Teams'!B$2:B$1010,
    MATCH(1,
      (B295='Scrum Teams'!F$2:F$1010) +
      (B295='Scrum Teams'!G$2:G$1010) +
      (B295='Scrum Teams'!H$2:H$1010) +
      (B295='Scrum Teams'!I$2:I$1010) +
      (B295='Scrum Teams'!J$2:J$1010) +
      (B295='Scrum Teams'!K$2:K$1010) +
      (B295='Scrum Teams'!L$2:L$1010) +
      (B295='Scrum Teams'!M$2:M$1010) +
      (B295='Scrum Teams'!N$2:N$1010) +
      (B295='Scrum Teams'!O$2:O$1010) +
      (B295='Scrum Teams'!P$2:P$1010) +
      (B295='Scrum Teams'!Q$2:Q$1010),
    0)
  ),
  "Not found"
)</f>
        <v>VDP</v>
      </c>
      <c r="P295" s="194" t="s">
        <v>795</v>
      </c>
      <c r="Q295" s="37" t="s">
        <v>796</v>
      </c>
    </row>
    <row r="296" spans="1:17">
      <c r="A296" s="3" t="s">
        <v>40</v>
      </c>
      <c r="B296" s="22" t="s">
        <v>800</v>
      </c>
      <c r="C296" s="3" t="s">
        <v>792</v>
      </c>
      <c r="D296" s="3" t="s">
        <v>792</v>
      </c>
      <c r="E296" s="3" t="s">
        <v>34</v>
      </c>
      <c r="F296" s="3"/>
      <c r="G296" s="3" t="s">
        <v>30</v>
      </c>
      <c r="H296" s="290" t="s">
        <v>799</v>
      </c>
      <c r="I296" s="294" t="s">
        <v>582</v>
      </c>
      <c r="J296" s="294" t="s">
        <v>582</v>
      </c>
      <c r="K296" s="294"/>
      <c r="L296" s="294"/>
      <c r="M296" s="291" t="s">
        <v>30</v>
      </c>
      <c r="N296" s="3" t="s">
        <v>576</v>
      </c>
      <c r="O296" s="137" t="str" cm="1">
        <f t="array" ref="O296">IFERROR(
  INDEX('Scrum Teams'!B$2:B$1010,
    MATCH(1,
      (B296='Scrum Teams'!F$2:F$1010) +
      (B296='Scrum Teams'!G$2:G$1010) +
      (B296='Scrum Teams'!H$2:H$1010) +
      (B296='Scrum Teams'!I$2:I$1010) +
      (B296='Scrum Teams'!J$2:J$1010) +
      (B296='Scrum Teams'!K$2:K$1010) +
      (B296='Scrum Teams'!L$2:L$1010) +
      (B296='Scrum Teams'!M$2:M$1010) +
      (B296='Scrum Teams'!N$2:N$1010) +
      (B296='Scrum Teams'!O$2:O$1010) +
      (B296='Scrum Teams'!P$2:P$1010) +
      (B296='Scrum Teams'!Q$2:Q$1010),
    0)
  ),
  "Not found"
)</f>
        <v>VDP</v>
      </c>
      <c r="P296" s="194" t="s">
        <v>795</v>
      </c>
      <c r="Q296" s="37" t="s">
        <v>796</v>
      </c>
    </row>
    <row r="297" spans="1:17">
      <c r="A297" s="3" t="s">
        <v>40</v>
      </c>
      <c r="B297" s="22" t="s">
        <v>801</v>
      </c>
      <c r="C297" s="3" t="s">
        <v>802</v>
      </c>
      <c r="D297" s="3" t="s">
        <v>792</v>
      </c>
      <c r="E297" s="3" t="s">
        <v>34</v>
      </c>
      <c r="F297" s="3"/>
      <c r="G297" s="3" t="s">
        <v>30</v>
      </c>
      <c r="H297" s="290" t="s">
        <v>803</v>
      </c>
      <c r="I297" s="294" t="s">
        <v>582</v>
      </c>
      <c r="J297" s="294" t="s">
        <v>582</v>
      </c>
      <c r="K297" s="294"/>
      <c r="L297" s="294"/>
      <c r="M297" s="291" t="s">
        <v>30</v>
      </c>
      <c r="N297" s="3" t="s">
        <v>576</v>
      </c>
      <c r="O297" s="137" t="str" cm="1">
        <f t="array" ref="O297">IFERROR(
  INDEX('Scrum Teams'!B$2:B$1010,
    MATCH(1,
      (B297='Scrum Teams'!F$2:F$1010) +
      (B297='Scrum Teams'!G$2:G$1010) +
      (B297='Scrum Teams'!H$2:H$1010) +
      (B297='Scrum Teams'!I$2:I$1010) +
      (B297='Scrum Teams'!J$2:J$1010) +
      (B297='Scrum Teams'!K$2:K$1010) +
      (B297='Scrum Teams'!L$2:L$1010) +
      (B297='Scrum Teams'!M$2:M$1010) +
      (B297='Scrum Teams'!N$2:N$1010) +
      (B297='Scrum Teams'!O$2:O$1010) +
      (B297='Scrum Teams'!P$2:P$1010) +
      (B297='Scrum Teams'!Q$2:Q$1010),
    0)
  ),
  "Not found"
)</f>
        <v>Configurator</v>
      </c>
      <c r="P297" s="194" t="s">
        <v>795</v>
      </c>
      <c r="Q297" s="37" t="s">
        <v>796</v>
      </c>
    </row>
    <row r="298" spans="1:17">
      <c r="A298" s="3" t="s">
        <v>40</v>
      </c>
      <c r="B298" s="22" t="s">
        <v>804</v>
      </c>
      <c r="C298" s="3" t="s">
        <v>792</v>
      </c>
      <c r="D298" s="3" t="s">
        <v>792</v>
      </c>
      <c r="E298" s="3" t="s">
        <v>34</v>
      </c>
      <c r="F298" s="3"/>
      <c r="G298" s="3" t="s">
        <v>30</v>
      </c>
      <c r="H298" s="290" t="s">
        <v>793</v>
      </c>
      <c r="I298" s="270" t="s">
        <v>794</v>
      </c>
      <c r="J298" s="294" t="s">
        <v>794</v>
      </c>
      <c r="K298" s="302"/>
      <c r="L298" s="294"/>
      <c r="M298" s="291" t="s">
        <v>30</v>
      </c>
      <c r="N298" s="3" t="s">
        <v>576</v>
      </c>
      <c r="O298" s="137" t="str" cm="1">
        <f t="array" ref="O298">IFERROR(
  INDEX('Scrum Teams'!B$2:B$1010,
    MATCH(1,
      (B298='Scrum Teams'!F$2:F$1010) +
      (B298='Scrum Teams'!G$2:G$1010) +
      (B298='Scrum Teams'!H$2:H$1010) +
      (B298='Scrum Teams'!I$2:I$1010) +
      (B298='Scrum Teams'!J$2:J$1010) +
      (B298='Scrum Teams'!K$2:K$1010) +
      (B298='Scrum Teams'!L$2:L$1010) +
      (B298='Scrum Teams'!M$2:M$1010) +
      (B298='Scrum Teams'!N$2:N$1010) +
      (B298='Scrum Teams'!O$2:O$1010) +
      (B298='Scrum Teams'!P$2:P$1010) +
      (B298='Scrum Teams'!Q$2:Q$1010),
    0)
  ),
  "Not found"
)</f>
        <v>My Accounts</v>
      </c>
      <c r="P298" s="194" t="s">
        <v>795</v>
      </c>
      <c r="Q298" s="37" t="s">
        <v>796</v>
      </c>
    </row>
    <row r="299" spans="1:17">
      <c r="A299" s="3" t="s">
        <v>40</v>
      </c>
      <c r="B299" s="22" t="s">
        <v>805</v>
      </c>
      <c r="C299" s="3" t="s">
        <v>792</v>
      </c>
      <c r="D299" s="3" t="s">
        <v>792</v>
      </c>
      <c r="E299" s="3" t="s">
        <v>34</v>
      </c>
      <c r="F299" s="3"/>
      <c r="G299" s="3" t="s">
        <v>30</v>
      </c>
      <c r="H299" s="290" t="s">
        <v>793</v>
      </c>
      <c r="I299" s="270" t="s">
        <v>794</v>
      </c>
      <c r="J299" s="294" t="s">
        <v>794</v>
      </c>
      <c r="K299" s="302"/>
      <c r="L299" s="294"/>
      <c r="M299" s="291" t="s">
        <v>30</v>
      </c>
      <c r="N299" s="3" t="s">
        <v>576</v>
      </c>
      <c r="O299" s="137" t="str" cm="1">
        <f t="array" ref="O299">IFERROR(
  INDEX('Scrum Teams'!B$2:B$1010,
    MATCH(1,
      (B299='Scrum Teams'!F$2:F$1010) +
      (B299='Scrum Teams'!G$2:G$1010) +
      (B299='Scrum Teams'!H$2:H$1010) +
      (B299='Scrum Teams'!I$2:I$1010) +
      (B299='Scrum Teams'!J$2:J$1010) +
      (B299='Scrum Teams'!K$2:K$1010) +
      (B299='Scrum Teams'!L$2:L$1010) +
      (B299='Scrum Teams'!M$2:M$1010) +
      (B299='Scrum Teams'!N$2:N$1010) +
      (B299='Scrum Teams'!O$2:O$1010) +
      (B299='Scrum Teams'!P$2:P$1010) +
      (B299='Scrum Teams'!Q$2:Q$1010),
    0)
  ),
  "Not found"
)</f>
        <v>My Accounts</v>
      </c>
      <c r="P299" s="194" t="s">
        <v>795</v>
      </c>
      <c r="Q299" s="37" t="s">
        <v>796</v>
      </c>
    </row>
    <row r="300" spans="1:17">
      <c r="A300" s="3" t="s">
        <v>40</v>
      </c>
      <c r="B300" s="22" t="s">
        <v>806</v>
      </c>
      <c r="C300" s="3" t="s">
        <v>802</v>
      </c>
      <c r="D300" s="3" t="s">
        <v>792</v>
      </c>
      <c r="E300" s="3" t="s">
        <v>34</v>
      </c>
      <c r="F300" s="3"/>
      <c r="G300" s="3" t="s">
        <v>30</v>
      </c>
      <c r="H300" s="290" t="s">
        <v>803</v>
      </c>
      <c r="I300" s="294" t="s">
        <v>582</v>
      </c>
      <c r="J300" s="294" t="s">
        <v>582</v>
      </c>
      <c r="K300" s="294"/>
      <c r="L300" s="294"/>
      <c r="M300" s="291" t="s">
        <v>30</v>
      </c>
      <c r="N300" s="3" t="s">
        <v>576</v>
      </c>
      <c r="O300" s="137" t="str" cm="1">
        <f t="array" ref="O300">IFERROR(
  INDEX('Scrum Teams'!B$2:B$1010,
    MATCH(1,
      (B300='Scrum Teams'!F$2:F$1010) +
      (B300='Scrum Teams'!G$2:G$1010) +
      (B300='Scrum Teams'!H$2:H$1010) +
      (B300='Scrum Teams'!I$2:I$1010) +
      (B300='Scrum Teams'!J$2:J$1010) +
      (B300='Scrum Teams'!K$2:K$1010) +
      (B300='Scrum Teams'!L$2:L$1010) +
      (B300='Scrum Teams'!M$2:M$1010) +
      (B300='Scrum Teams'!N$2:N$1010) +
      (B300='Scrum Teams'!O$2:O$1010) +
      (B300='Scrum Teams'!P$2:P$1010) +
      (B300='Scrum Teams'!Q$2:Q$1010),
    0)
  ),
  "Not found"
)</f>
        <v>Configurator</v>
      </c>
      <c r="P300" s="194" t="s">
        <v>795</v>
      </c>
      <c r="Q300" s="37" t="s">
        <v>796</v>
      </c>
    </row>
    <row r="301" spans="1:17">
      <c r="A301" s="3" t="s">
        <v>40</v>
      </c>
      <c r="B301" s="22" t="s">
        <v>807</v>
      </c>
      <c r="C301" s="3" t="s">
        <v>808</v>
      </c>
      <c r="D301" s="3" t="s">
        <v>792</v>
      </c>
      <c r="E301" s="3" t="s">
        <v>34</v>
      </c>
      <c r="F301" s="3"/>
      <c r="G301" s="3" t="s">
        <v>30</v>
      </c>
      <c r="H301" s="290" t="s">
        <v>793</v>
      </c>
      <c r="I301" s="303" t="s">
        <v>794</v>
      </c>
      <c r="J301" s="294" t="s">
        <v>794</v>
      </c>
      <c r="K301" s="302"/>
      <c r="L301" s="294"/>
      <c r="M301" s="291" t="s">
        <v>30</v>
      </c>
      <c r="N301" s="3" t="s">
        <v>576</v>
      </c>
      <c r="O301" s="137" t="str" cm="1">
        <f t="array" ref="O301">IFERROR(
  INDEX('Scrum Teams'!B$2:B$1010,
    MATCH(1,
      (B301='Scrum Teams'!F$2:F$1010) +
      (B301='Scrum Teams'!G$2:G$1010) +
      (B301='Scrum Teams'!H$2:H$1010) +
      (B301='Scrum Teams'!I$2:I$1010) +
      (B301='Scrum Teams'!J$2:J$1010) +
      (B301='Scrum Teams'!K$2:K$1010) +
      (B301='Scrum Teams'!L$2:L$1010) +
      (B301='Scrum Teams'!M$2:M$1010) +
      (B301='Scrum Teams'!N$2:N$1010) +
      (B301='Scrum Teams'!O$2:O$1010) +
      (B301='Scrum Teams'!P$2:P$1010) +
      (B301='Scrum Teams'!Q$2:Q$1010),
    0)
  ),
  "Not found"
)</f>
        <v>Discovery &amp; Ingestion</v>
      </c>
      <c r="P301" s="194" t="s">
        <v>795</v>
      </c>
      <c r="Q301" s="37" t="s">
        <v>796</v>
      </c>
    </row>
    <row r="302" spans="1:17">
      <c r="A302" s="3" t="s">
        <v>40</v>
      </c>
      <c r="B302" s="22" t="s">
        <v>809</v>
      </c>
      <c r="C302" s="3" t="s">
        <v>808</v>
      </c>
      <c r="D302" s="3" t="s">
        <v>792</v>
      </c>
      <c r="E302" s="3" t="s">
        <v>34</v>
      </c>
      <c r="F302" s="3"/>
      <c r="G302" s="3" t="s">
        <v>30</v>
      </c>
      <c r="H302" s="290" t="s">
        <v>799</v>
      </c>
      <c r="I302" s="294" t="s">
        <v>582</v>
      </c>
      <c r="J302" s="294" t="s">
        <v>582</v>
      </c>
      <c r="K302" s="294"/>
      <c r="L302" s="294"/>
      <c r="M302" s="291" t="s">
        <v>30</v>
      </c>
      <c r="N302" s="3" t="s">
        <v>576</v>
      </c>
      <c r="O302" s="137" t="str" cm="1">
        <f t="array" ref="O302">IFERROR(
  INDEX('Scrum Teams'!B$2:B$1010,
    MATCH(1,
      (B302='Scrum Teams'!F$2:F$1010) +
      (B302='Scrum Teams'!G$2:G$1010) +
      (B302='Scrum Teams'!H$2:H$1010) +
      (B302='Scrum Teams'!I$2:I$1010) +
      (B302='Scrum Teams'!J$2:J$1010) +
      (B302='Scrum Teams'!K$2:K$1010) +
      (B302='Scrum Teams'!L$2:L$1010) +
      (B302='Scrum Teams'!M$2:M$1010) +
      (B302='Scrum Teams'!N$2:N$1010) +
      (B302='Scrum Teams'!O$2:O$1010) +
      (B302='Scrum Teams'!P$2:P$1010) +
      (B302='Scrum Teams'!Q$2:Q$1010),
    0)
  ),
  "Not found"
)</f>
        <v>OMS &amp; Pricing</v>
      </c>
      <c r="P302" s="194" t="s">
        <v>795</v>
      </c>
      <c r="Q302" s="37" t="s">
        <v>796</v>
      </c>
    </row>
    <row r="303" spans="1:17">
      <c r="A303" s="3" t="s">
        <v>40</v>
      </c>
      <c r="B303" s="22" t="s">
        <v>810</v>
      </c>
      <c r="C303" s="3" t="s">
        <v>808</v>
      </c>
      <c r="D303" s="3" t="s">
        <v>792</v>
      </c>
      <c r="E303" s="3" t="s">
        <v>34</v>
      </c>
      <c r="F303" s="3"/>
      <c r="G303" s="3" t="s">
        <v>30</v>
      </c>
      <c r="H303" s="290" t="s">
        <v>799</v>
      </c>
      <c r="I303" s="294" t="s">
        <v>582</v>
      </c>
      <c r="J303" s="294" t="s">
        <v>582</v>
      </c>
      <c r="K303" s="294"/>
      <c r="L303" s="294"/>
      <c r="M303" s="291" t="s">
        <v>30</v>
      </c>
      <c r="N303" s="3" t="s">
        <v>576</v>
      </c>
      <c r="O303" s="137" t="str" cm="1">
        <f t="array" ref="O303">IFERROR(
  INDEX('Scrum Teams'!B$2:B$1010,
    MATCH(1,
      (B303='Scrum Teams'!F$2:F$1010) +
      (B303='Scrum Teams'!G$2:G$1010) +
      (B303='Scrum Teams'!H$2:H$1010) +
      (B303='Scrum Teams'!I$2:I$1010) +
      (B303='Scrum Teams'!J$2:J$1010) +
      (B303='Scrum Teams'!K$2:K$1010) +
      (B303='Scrum Teams'!L$2:L$1010) +
      (B303='Scrum Teams'!M$2:M$1010) +
      (B303='Scrum Teams'!N$2:N$1010) +
      (B303='Scrum Teams'!O$2:O$1010) +
      (B303='Scrum Teams'!P$2:P$1010) +
      (B303='Scrum Teams'!Q$2:Q$1010),
    0)
  ),
  "Not found"
)</f>
        <v>OMS &amp; Pricing</v>
      </c>
      <c r="P303" s="194" t="s">
        <v>795</v>
      </c>
      <c r="Q303" s="37" t="s">
        <v>796</v>
      </c>
    </row>
    <row r="304" spans="1:17">
      <c r="A304" s="3" t="s">
        <v>40</v>
      </c>
      <c r="B304" s="22" t="s">
        <v>811</v>
      </c>
      <c r="C304" s="3" t="s">
        <v>812</v>
      </c>
      <c r="D304" s="3"/>
      <c r="E304" s="3" t="s">
        <v>34</v>
      </c>
      <c r="F304" s="3"/>
      <c r="G304" s="3" t="s">
        <v>30</v>
      </c>
      <c r="H304" s="290" t="s">
        <v>813</v>
      </c>
      <c r="I304" s="294" t="s">
        <v>582</v>
      </c>
      <c r="J304" s="294" t="s">
        <v>582</v>
      </c>
      <c r="K304" s="294"/>
      <c r="L304" s="294"/>
      <c r="M304" s="291" t="s">
        <v>30</v>
      </c>
      <c r="N304" s="3" t="s">
        <v>576</v>
      </c>
      <c r="O304" s="137" t="str" cm="1">
        <f t="array" ref="O304">IFERROR(
  INDEX('Scrum Teams'!B$2:B$1010,
    MATCH(1,
      (B304='Scrum Teams'!F$2:F$1010) +
      (B304='Scrum Teams'!G$2:G$1010) +
      (B304='Scrum Teams'!H$2:H$1010) +
      (B304='Scrum Teams'!I$2:I$1010) +
      (B304='Scrum Teams'!J$2:J$1010) +
      (B304='Scrum Teams'!K$2:K$1010) +
      (B304='Scrum Teams'!L$2:L$1010) +
      (B304='Scrum Teams'!M$2:M$1010) +
      (B304='Scrum Teams'!N$2:N$1010) +
      (B304='Scrum Teams'!O$2:O$1010) +
      (B304='Scrum Teams'!P$2:P$1010) +
      (B304='Scrum Teams'!Q$2:Q$1010),
    0)
  ),
  "Not found"
)</f>
        <v>DX (1.0 Salescloud and 2.0 Custom Apps)</v>
      </c>
      <c r="P304" s="194" t="s">
        <v>795</v>
      </c>
      <c r="Q304" s="37" t="s">
        <v>796</v>
      </c>
    </row>
    <row r="305" spans="1:17">
      <c r="A305" s="3" t="s">
        <v>40</v>
      </c>
      <c r="B305" s="22" t="s">
        <v>814</v>
      </c>
      <c r="C305" s="3" t="s">
        <v>812</v>
      </c>
      <c r="D305" s="3"/>
      <c r="E305" s="3" t="s">
        <v>34</v>
      </c>
      <c r="F305" s="3"/>
      <c r="G305" s="3" t="s">
        <v>30</v>
      </c>
      <c r="H305" s="290" t="s">
        <v>815</v>
      </c>
      <c r="I305" s="290" t="s">
        <v>816</v>
      </c>
      <c r="J305" s="290" t="s">
        <v>582</v>
      </c>
      <c r="K305" s="290"/>
      <c r="L305" s="290"/>
      <c r="M305" s="291" t="s">
        <v>30</v>
      </c>
      <c r="N305" s="3" t="s">
        <v>576</v>
      </c>
      <c r="O305" s="137" t="str" cm="1">
        <f t="array" ref="O305">IFERROR(
  INDEX('Scrum Teams'!B$2:B$1010,
    MATCH(1,
      (B305='Scrum Teams'!F$2:F$1010) +
      (B305='Scrum Teams'!G$2:G$1010) +
      (B305='Scrum Teams'!H$2:H$1010) +
      (B305='Scrum Teams'!I$2:I$1010) +
      (B305='Scrum Teams'!J$2:J$1010) +
      (B305='Scrum Teams'!K$2:K$1010) +
      (B305='Scrum Teams'!L$2:L$1010) +
      (B305='Scrum Teams'!M$2:M$1010) +
      (B305='Scrum Teams'!N$2:N$1010) +
      (B305='Scrum Teams'!O$2:O$1010) +
      (B305='Scrum Teams'!P$2:P$1010) +
      (B305='Scrum Teams'!Q$2:Q$1010),
    0)
  ),
  "Not found"
)</f>
        <v>DX (1.0 Salescloud and 2.0 Custom Apps)</v>
      </c>
      <c r="P305" s="194" t="s">
        <v>795</v>
      </c>
      <c r="Q305" s="37" t="s">
        <v>796</v>
      </c>
    </row>
    <row r="306" spans="1:17">
      <c r="A306" s="3" t="s">
        <v>40</v>
      </c>
      <c r="B306" s="22" t="s">
        <v>817</v>
      </c>
      <c r="C306" s="3" t="s">
        <v>812</v>
      </c>
      <c r="D306" s="3"/>
      <c r="E306" s="3" t="s">
        <v>34</v>
      </c>
      <c r="F306" s="3"/>
      <c r="G306" s="3" t="s">
        <v>30</v>
      </c>
      <c r="H306" s="290" t="s">
        <v>803</v>
      </c>
      <c r="I306" s="294" t="s">
        <v>582</v>
      </c>
      <c r="J306" s="294" t="s">
        <v>582</v>
      </c>
      <c r="K306" s="294"/>
      <c r="L306" s="294"/>
      <c r="M306" s="291" t="s">
        <v>30</v>
      </c>
      <c r="N306" s="3" t="s">
        <v>576</v>
      </c>
      <c r="O306" s="137" t="str" cm="1">
        <f t="array" ref="O306">IFERROR(
  INDEX('Scrum Teams'!B$2:B$1010,
    MATCH(1,
      (B306='Scrum Teams'!F$2:F$1010) +
      (B306='Scrum Teams'!G$2:G$1010) +
      (B306='Scrum Teams'!H$2:H$1010) +
      (B306='Scrum Teams'!I$2:I$1010) +
      (B306='Scrum Teams'!J$2:J$1010) +
      (B306='Scrum Teams'!K$2:K$1010) +
      (B306='Scrum Teams'!L$2:L$1010) +
      (B306='Scrum Teams'!M$2:M$1010) +
      (B306='Scrum Teams'!N$2:N$1010) +
      (B306='Scrum Teams'!O$2:O$1010) +
      (B306='Scrum Teams'!P$2:P$1010) +
      (B306='Scrum Teams'!Q$2:Q$1010),
    0)
  ),
  "Not found"
)</f>
        <v>DX (1.0 Salescloud and 2.0 Custom Apps)</v>
      </c>
      <c r="P306" s="194" t="s">
        <v>795</v>
      </c>
      <c r="Q306" s="37" t="s">
        <v>796</v>
      </c>
    </row>
    <row r="307" spans="1:17">
      <c r="A307" s="3" t="s">
        <v>40</v>
      </c>
      <c r="B307" s="22" t="s">
        <v>818</v>
      </c>
      <c r="C307" s="3" t="s">
        <v>812</v>
      </c>
      <c r="D307" s="3"/>
      <c r="E307" s="3" t="s">
        <v>34</v>
      </c>
      <c r="F307" s="3"/>
      <c r="G307" s="3" t="s">
        <v>30</v>
      </c>
      <c r="H307" s="290" t="s">
        <v>813</v>
      </c>
      <c r="I307" s="294" t="s">
        <v>582</v>
      </c>
      <c r="J307" s="294" t="s">
        <v>582</v>
      </c>
      <c r="K307" s="294"/>
      <c r="L307" s="294"/>
      <c r="M307" s="291" t="s">
        <v>30</v>
      </c>
      <c r="N307" s="3" t="s">
        <v>576</v>
      </c>
      <c r="O307" s="137" t="str" cm="1">
        <f t="array" ref="O307">IFERROR(
  INDEX('Scrum Teams'!B$2:B$1010,
    MATCH(1,
      (B307='Scrum Teams'!F$2:F$1010) +
      (B307='Scrum Teams'!G$2:G$1010) +
      (B307='Scrum Teams'!H$2:H$1010) +
      (B307='Scrum Teams'!I$2:I$1010) +
      (B307='Scrum Teams'!J$2:J$1010) +
      (B307='Scrum Teams'!K$2:K$1010) +
      (B307='Scrum Teams'!L$2:L$1010) +
      (B307='Scrum Teams'!M$2:M$1010) +
      (B307='Scrum Teams'!N$2:N$1010) +
      (B307='Scrum Teams'!O$2:O$1010) +
      (B307='Scrum Teams'!P$2:P$1010) +
      (B307='Scrum Teams'!Q$2:Q$1010),
    0)
  ),
  "Not found"
)</f>
        <v>DX (1.0 Salescloud and 2.0 Custom Apps)</v>
      </c>
      <c r="P307" s="194" t="s">
        <v>795</v>
      </c>
      <c r="Q307" s="37" t="s">
        <v>796</v>
      </c>
    </row>
    <row r="308" spans="1:17">
      <c r="A308" s="3" t="s">
        <v>40</v>
      </c>
      <c r="B308" s="22" t="s">
        <v>819</v>
      </c>
      <c r="C308" s="3" t="s">
        <v>812</v>
      </c>
      <c r="D308" s="3"/>
      <c r="E308" s="3" t="s">
        <v>34</v>
      </c>
      <c r="F308" s="3"/>
      <c r="G308" s="3" t="s">
        <v>30</v>
      </c>
      <c r="H308" s="290" t="s">
        <v>799</v>
      </c>
      <c r="I308" s="294" t="s">
        <v>582</v>
      </c>
      <c r="J308" s="294" t="s">
        <v>582</v>
      </c>
      <c r="K308" s="294"/>
      <c r="L308" s="294"/>
      <c r="M308" s="291" t="s">
        <v>30</v>
      </c>
      <c r="N308" s="3" t="s">
        <v>576</v>
      </c>
      <c r="O308" s="137" t="str" cm="1">
        <f t="array" ref="O308">IFERROR(
  INDEX('Scrum Teams'!B$2:B$1010,
    MATCH(1,
      (B308='Scrum Teams'!F$2:F$1010) +
      (B308='Scrum Teams'!G$2:G$1010) +
      (B308='Scrum Teams'!H$2:H$1010) +
      (B308='Scrum Teams'!I$2:I$1010) +
      (B308='Scrum Teams'!J$2:J$1010) +
      (B308='Scrum Teams'!K$2:K$1010) +
      (B308='Scrum Teams'!L$2:L$1010) +
      (B308='Scrum Teams'!M$2:M$1010) +
      (B308='Scrum Teams'!N$2:N$1010) +
      (B308='Scrum Teams'!O$2:O$1010) +
      (B308='Scrum Teams'!P$2:P$1010) +
      (B308='Scrum Teams'!Q$2:Q$1010),
    0)
  ),
  "Not found"
)</f>
        <v>SCX (1.0 and 2.0)</v>
      </c>
      <c r="P308" s="194" t="s">
        <v>795</v>
      </c>
      <c r="Q308" s="37" t="s">
        <v>796</v>
      </c>
    </row>
    <row r="309" spans="1:17">
      <c r="A309" s="3" t="s">
        <v>40</v>
      </c>
      <c r="B309" s="22" t="s">
        <v>820</v>
      </c>
      <c r="C309" s="3" t="s">
        <v>812</v>
      </c>
      <c r="D309" s="3"/>
      <c r="E309" s="3" t="s">
        <v>34</v>
      </c>
      <c r="F309" s="3"/>
      <c r="G309" s="3" t="s">
        <v>30</v>
      </c>
      <c r="H309" s="290" t="s">
        <v>813</v>
      </c>
      <c r="I309" s="294" t="s">
        <v>582</v>
      </c>
      <c r="J309" s="294" t="s">
        <v>582</v>
      </c>
      <c r="K309" s="294"/>
      <c r="L309" s="294"/>
      <c r="M309" s="291" t="s">
        <v>30</v>
      </c>
      <c r="N309" s="3" t="s">
        <v>576</v>
      </c>
      <c r="O309" s="137" t="str" cm="1">
        <f t="array" ref="O309">IFERROR(
  INDEX('Scrum Teams'!B$2:B$1010,
    MATCH(1,
      (B309='Scrum Teams'!F$2:F$1010) +
      (B309='Scrum Teams'!G$2:G$1010) +
      (B309='Scrum Teams'!H$2:H$1010) +
      (B309='Scrum Teams'!I$2:I$1010) +
      (B309='Scrum Teams'!J$2:J$1010) +
      (B309='Scrum Teams'!K$2:K$1010) +
      (B309='Scrum Teams'!L$2:L$1010) +
      (B309='Scrum Teams'!M$2:M$1010) +
      (B309='Scrum Teams'!N$2:N$1010) +
      (B309='Scrum Teams'!O$2:O$1010) +
      (B309='Scrum Teams'!P$2:P$1010) +
      (B309='Scrum Teams'!Q$2:Q$1010),
    0)
  ),
  "Not found"
)</f>
        <v>DX (1.0 Salescloud and 2.0 Custom Apps)</v>
      </c>
      <c r="P309" s="194" t="s">
        <v>795</v>
      </c>
      <c r="Q309" s="37" t="s">
        <v>796</v>
      </c>
    </row>
    <row r="310" spans="1:17">
      <c r="A310" s="3" t="s">
        <v>40</v>
      </c>
      <c r="B310" s="22" t="s">
        <v>821</v>
      </c>
      <c r="C310" s="3" t="s">
        <v>812</v>
      </c>
      <c r="D310" s="3"/>
      <c r="E310" s="3" t="s">
        <v>34</v>
      </c>
      <c r="F310" s="3"/>
      <c r="G310" s="3" t="s">
        <v>30</v>
      </c>
      <c r="H310" s="290" t="s">
        <v>813</v>
      </c>
      <c r="I310" s="294" t="s">
        <v>582</v>
      </c>
      <c r="J310" s="294" t="s">
        <v>582</v>
      </c>
      <c r="K310" s="294"/>
      <c r="L310" s="294"/>
      <c r="M310" s="291" t="s">
        <v>30</v>
      </c>
      <c r="N310" s="3" t="s">
        <v>576</v>
      </c>
      <c r="O310" s="137" t="str" cm="1">
        <f t="array" ref="O310">IFERROR(
  INDEX('Scrum Teams'!B$2:B$1010,
    MATCH(1,
      (B310='Scrum Teams'!F$2:F$1010) +
      (B310='Scrum Teams'!G$2:G$1010) +
      (B310='Scrum Teams'!H$2:H$1010) +
      (B310='Scrum Teams'!I$2:I$1010) +
      (B310='Scrum Teams'!J$2:J$1010) +
      (B310='Scrum Teams'!K$2:K$1010) +
      (B310='Scrum Teams'!L$2:L$1010) +
      (B310='Scrum Teams'!M$2:M$1010) +
      (B310='Scrum Teams'!N$2:N$1010) +
      (B310='Scrum Teams'!O$2:O$1010) +
      (B310='Scrum Teams'!P$2:P$1010) +
      (B310='Scrum Teams'!Q$2:Q$1010),
    0)
  ),
  "Not found"
)</f>
        <v>DX (1.0 Salescloud and 2.0 Custom Apps)</v>
      </c>
      <c r="P310" s="194" t="s">
        <v>795</v>
      </c>
      <c r="Q310" s="37" t="s">
        <v>796</v>
      </c>
    </row>
    <row r="311" spans="1:17">
      <c r="A311" s="3" t="s">
        <v>40</v>
      </c>
      <c r="B311" s="22" t="s">
        <v>822</v>
      </c>
      <c r="C311" s="3" t="s">
        <v>812</v>
      </c>
      <c r="D311" s="3"/>
      <c r="E311" s="3" t="s">
        <v>34</v>
      </c>
      <c r="F311" s="3"/>
      <c r="G311" s="3" t="s">
        <v>30</v>
      </c>
      <c r="H311" s="290" t="s">
        <v>815</v>
      </c>
      <c r="I311" s="290" t="s">
        <v>816</v>
      </c>
      <c r="J311" s="290" t="s">
        <v>582</v>
      </c>
      <c r="K311" s="290"/>
      <c r="L311" s="290"/>
      <c r="M311" s="291" t="s">
        <v>30</v>
      </c>
      <c r="N311" s="3" t="s">
        <v>576</v>
      </c>
      <c r="O311" s="137" t="str" cm="1">
        <f t="array" ref="O311">IFERROR(
  INDEX('Scrum Teams'!B$2:B$1010,
    MATCH(1,
      (B311='Scrum Teams'!F$2:F$1010) +
      (B311='Scrum Teams'!G$2:G$1010) +
      (B311='Scrum Teams'!H$2:H$1010) +
      (B311='Scrum Teams'!I$2:I$1010) +
      (B311='Scrum Teams'!J$2:J$1010) +
      (B311='Scrum Teams'!K$2:K$1010) +
      (B311='Scrum Teams'!L$2:L$1010) +
      (B311='Scrum Teams'!M$2:M$1010) +
      (B311='Scrum Teams'!N$2:N$1010) +
      (B311='Scrum Teams'!O$2:O$1010) +
      (B311='Scrum Teams'!P$2:P$1010) +
      (B311='Scrum Teams'!Q$2:Q$1010),
    0)
  ),
  "Not found"
)</f>
        <v>DX (1.0 Salescloud and 2.0 Custom Apps)</v>
      </c>
      <c r="P311" s="194" t="s">
        <v>795</v>
      </c>
      <c r="Q311" s="37" t="s">
        <v>796</v>
      </c>
    </row>
    <row r="312" spans="1:17">
      <c r="A312" s="3" t="s">
        <v>40</v>
      </c>
      <c r="B312" s="22" t="s">
        <v>823</v>
      </c>
      <c r="C312" s="3" t="s">
        <v>812</v>
      </c>
      <c r="D312" s="3"/>
      <c r="E312" s="3" t="s">
        <v>34</v>
      </c>
      <c r="F312" s="3"/>
      <c r="G312" s="3" t="s">
        <v>30</v>
      </c>
      <c r="H312" s="290" t="s">
        <v>815</v>
      </c>
      <c r="I312" s="290" t="s">
        <v>816</v>
      </c>
      <c r="J312" s="290" t="s">
        <v>582</v>
      </c>
      <c r="K312" s="290"/>
      <c r="L312" s="290"/>
      <c r="M312" s="291" t="s">
        <v>30</v>
      </c>
      <c r="N312" s="3" t="s">
        <v>576</v>
      </c>
      <c r="O312" s="137" t="str" cm="1">
        <f t="array" ref="O312">IFERROR(
  INDEX('Scrum Teams'!B$2:B$1010,
    MATCH(1,
      (B312='Scrum Teams'!F$2:F$1010) +
      (B312='Scrum Teams'!G$2:G$1010) +
      (B312='Scrum Teams'!H$2:H$1010) +
      (B312='Scrum Teams'!I$2:I$1010) +
      (B312='Scrum Teams'!J$2:J$1010) +
      (B312='Scrum Teams'!K$2:K$1010) +
      (B312='Scrum Teams'!L$2:L$1010) +
      (B312='Scrum Teams'!M$2:M$1010) +
      (B312='Scrum Teams'!N$2:N$1010) +
      (B312='Scrum Teams'!O$2:O$1010) +
      (B312='Scrum Teams'!P$2:P$1010) +
      (B312='Scrum Teams'!Q$2:Q$1010),
    0)
  ),
  "Not found"
)</f>
        <v>DX (1.0 Salescloud and 2.0 Custom Apps)</v>
      </c>
      <c r="P312" s="194" t="s">
        <v>795</v>
      </c>
      <c r="Q312" s="37" t="s">
        <v>796</v>
      </c>
    </row>
    <row r="313" spans="1:17">
      <c r="A313" s="3" t="s">
        <v>40</v>
      </c>
      <c r="B313" s="22" t="s">
        <v>824</v>
      </c>
      <c r="C313" s="3" t="s">
        <v>812</v>
      </c>
      <c r="D313" s="3"/>
      <c r="E313" s="3" t="s">
        <v>34</v>
      </c>
      <c r="F313" s="3"/>
      <c r="G313" s="3" t="s">
        <v>30</v>
      </c>
      <c r="H313" s="290" t="s">
        <v>799</v>
      </c>
      <c r="I313" s="294" t="s">
        <v>582</v>
      </c>
      <c r="J313" s="294" t="s">
        <v>582</v>
      </c>
      <c r="K313" s="294"/>
      <c r="L313" s="294"/>
      <c r="M313" s="291" t="s">
        <v>30</v>
      </c>
      <c r="N313" s="3" t="s">
        <v>576</v>
      </c>
      <c r="O313" s="137" t="str" cm="1">
        <f t="array" ref="O313">IFERROR(
  INDEX('Scrum Teams'!B$2:B$1010,
    MATCH(1,
      (B313='Scrum Teams'!F$2:F$1010) +
      (B313='Scrum Teams'!G$2:G$1010) +
      (B313='Scrum Teams'!H$2:H$1010) +
      (B313='Scrum Teams'!I$2:I$1010) +
      (B313='Scrum Teams'!J$2:J$1010) +
      (B313='Scrum Teams'!K$2:K$1010) +
      (B313='Scrum Teams'!L$2:L$1010) +
      (B313='Scrum Teams'!M$2:M$1010) +
      (B313='Scrum Teams'!N$2:N$1010) +
      (B313='Scrum Teams'!O$2:O$1010) +
      (B313='Scrum Teams'!P$2:P$1010) +
      (B313='Scrum Teams'!Q$2:Q$1010),
    0)
  ),
  "Not found"
)</f>
        <v>SCX (1.0 and 2.0)</v>
      </c>
      <c r="P313" s="194" t="s">
        <v>795</v>
      </c>
      <c r="Q313" s="37" t="s">
        <v>796</v>
      </c>
    </row>
    <row r="314" spans="1:17">
      <c r="A314" s="3" t="s">
        <v>40</v>
      </c>
      <c r="B314" s="22" t="s">
        <v>825</v>
      </c>
      <c r="C314" s="3" t="s">
        <v>792</v>
      </c>
      <c r="D314" s="3" t="s">
        <v>792</v>
      </c>
      <c r="E314" s="3" t="s">
        <v>34</v>
      </c>
      <c r="F314" s="3"/>
      <c r="G314" s="3" t="s">
        <v>30</v>
      </c>
      <c r="H314" s="291" t="s">
        <v>581</v>
      </c>
      <c r="I314" s="294" t="s">
        <v>794</v>
      </c>
      <c r="J314" s="294" t="s">
        <v>582</v>
      </c>
      <c r="K314" s="294"/>
      <c r="L314" s="294"/>
      <c r="M314" s="291" t="s">
        <v>30</v>
      </c>
      <c r="N314" s="3" t="s">
        <v>576</v>
      </c>
      <c r="O314" s="137" t="str" cm="1">
        <f t="array" ref="O314">IFERROR(
  INDEX('Scrum Teams'!B$2:B$1010,
    MATCH(1,
      (B314='Scrum Teams'!F$2:F$1010) +
      (B314='Scrum Teams'!G$2:G$1010) +
      (B314='Scrum Teams'!H$2:H$1010) +
      (B314='Scrum Teams'!I$2:I$1010) +
      (B314='Scrum Teams'!J$2:J$1010) +
      (B314='Scrum Teams'!K$2:K$1010) +
      (B314='Scrum Teams'!L$2:L$1010) +
      (B314='Scrum Teams'!M$2:M$1010) +
      (B314='Scrum Teams'!N$2:N$1010) +
      (B314='Scrum Teams'!O$2:O$1010) +
      (B314='Scrum Teams'!P$2:P$1010) +
      (B314='Scrum Teams'!Q$2:Q$1010),
    0)
  ),
  "Not found"
)</f>
        <v>GM Integrations (1.0 and 2.0)</v>
      </c>
      <c r="P314" s="194" t="s">
        <v>795</v>
      </c>
      <c r="Q314" s="37" t="s">
        <v>796</v>
      </c>
    </row>
    <row r="315" spans="1:17">
      <c r="A315" s="3" t="s">
        <v>40</v>
      </c>
      <c r="B315" s="22" t="s">
        <v>826</v>
      </c>
      <c r="C315" s="3" t="s">
        <v>792</v>
      </c>
      <c r="D315" s="3" t="s">
        <v>792</v>
      </c>
      <c r="E315" s="3" t="s">
        <v>34</v>
      </c>
      <c r="F315" s="3"/>
      <c r="G315" s="3" t="s">
        <v>30</v>
      </c>
      <c r="H315" s="291" t="s">
        <v>581</v>
      </c>
      <c r="I315" s="294" t="s">
        <v>794</v>
      </c>
      <c r="J315" s="294" t="s">
        <v>582</v>
      </c>
      <c r="K315" s="294"/>
      <c r="L315" s="294"/>
      <c r="M315" s="291" t="s">
        <v>30</v>
      </c>
      <c r="N315" s="3" t="s">
        <v>576</v>
      </c>
      <c r="O315" s="137" t="str" cm="1">
        <f t="array" ref="O315">IFERROR(
  INDEX('Scrum Teams'!B$2:B$1010,
    MATCH(1,
      (B315='Scrum Teams'!F$2:F$1010) +
      (B315='Scrum Teams'!G$2:G$1010) +
      (B315='Scrum Teams'!H$2:H$1010) +
      (B315='Scrum Teams'!I$2:I$1010) +
      (B315='Scrum Teams'!J$2:J$1010) +
      (B315='Scrum Teams'!K$2:K$1010) +
      (B315='Scrum Teams'!L$2:L$1010) +
      (B315='Scrum Teams'!M$2:M$1010) +
      (B315='Scrum Teams'!N$2:N$1010) +
      (B315='Scrum Teams'!O$2:O$1010) +
      (B315='Scrum Teams'!P$2:P$1010) +
      (B315='Scrum Teams'!Q$2:Q$1010),
    0)
  ),
  "Not found"
)</f>
        <v>GM Integrations (1.0 and 2.0)</v>
      </c>
      <c r="P315" s="194" t="s">
        <v>795</v>
      </c>
      <c r="Q315" s="37" t="s">
        <v>796</v>
      </c>
    </row>
    <row r="316" spans="1:17">
      <c r="A316" s="3" t="s">
        <v>40</v>
      </c>
      <c r="B316" s="22" t="s">
        <v>827</v>
      </c>
      <c r="C316" s="3" t="s">
        <v>812</v>
      </c>
      <c r="D316" s="3"/>
      <c r="E316" s="3" t="s">
        <v>34</v>
      </c>
      <c r="F316" s="3"/>
      <c r="G316" s="3" t="s">
        <v>30</v>
      </c>
      <c r="H316" s="290" t="s">
        <v>828</v>
      </c>
      <c r="I316" s="294" t="s">
        <v>582</v>
      </c>
      <c r="J316" s="294" t="s">
        <v>582</v>
      </c>
      <c r="K316" s="294"/>
      <c r="L316" s="294"/>
      <c r="M316" s="291" t="s">
        <v>30</v>
      </c>
      <c r="N316" s="3" t="s">
        <v>576</v>
      </c>
      <c r="O316" s="137" t="str" cm="1">
        <f t="array" ref="O316">IFERROR(
  INDEX('Scrum Teams'!B$2:B$1010,
    MATCH(1,
      (B316='Scrum Teams'!F$2:F$1010) +
      (B316='Scrum Teams'!G$2:G$1010) +
      (B316='Scrum Teams'!H$2:H$1010) +
      (B316='Scrum Teams'!I$2:I$1010) +
      (B316='Scrum Teams'!J$2:J$1010) +
      (B316='Scrum Teams'!K$2:K$1010) +
      (B316='Scrum Teams'!L$2:L$1010) +
      (B316='Scrum Teams'!M$2:M$1010) +
      (B316='Scrum Teams'!N$2:N$1010) +
      (B316='Scrum Teams'!O$2:O$1010) +
      (B316='Scrum Teams'!P$2:P$1010) +
      (B316='Scrum Teams'!Q$2:Q$1010),
    0)
  ),
  "Not found"
)</f>
        <v>OEM - D360 + Analytics</v>
      </c>
      <c r="P316" s="194" t="s">
        <v>795</v>
      </c>
      <c r="Q316" s="37" t="s">
        <v>796</v>
      </c>
    </row>
    <row r="317" spans="1:17">
      <c r="A317" s="3" t="s">
        <v>40</v>
      </c>
      <c r="B317" s="22" t="s">
        <v>829</v>
      </c>
      <c r="C317" s="3" t="s">
        <v>812</v>
      </c>
      <c r="D317" s="3"/>
      <c r="E317" s="3" t="s">
        <v>34</v>
      </c>
      <c r="F317" s="3"/>
      <c r="G317" s="3" t="s">
        <v>30</v>
      </c>
      <c r="H317" s="290" t="s">
        <v>828</v>
      </c>
      <c r="I317" s="294" t="s">
        <v>582</v>
      </c>
      <c r="J317" s="294" t="s">
        <v>582</v>
      </c>
      <c r="K317" s="294"/>
      <c r="L317" s="294"/>
      <c r="M317" s="291" t="s">
        <v>30</v>
      </c>
      <c r="N317" s="3" t="s">
        <v>576</v>
      </c>
      <c r="O317" s="137" t="str" cm="1">
        <f t="array" ref="O317">IFERROR(
  INDEX('Scrum Teams'!B$2:B$1010,
    MATCH(1,
      (B317='Scrum Teams'!F$2:F$1010) +
      (B317='Scrum Teams'!G$2:G$1010) +
      (B317='Scrum Teams'!H$2:H$1010) +
      (B317='Scrum Teams'!I$2:I$1010) +
      (B317='Scrum Teams'!J$2:J$1010) +
      (B317='Scrum Teams'!K$2:K$1010) +
      (B317='Scrum Teams'!L$2:L$1010) +
      (B317='Scrum Teams'!M$2:M$1010) +
      (B317='Scrum Teams'!N$2:N$1010) +
      (B317='Scrum Teams'!O$2:O$1010) +
      (B317='Scrum Teams'!P$2:P$1010) +
      (B317='Scrum Teams'!Q$2:Q$1010),
    0)
  ),
  "Not found"
)</f>
        <v>Not found</v>
      </c>
      <c r="P317" s="194" t="s">
        <v>795</v>
      </c>
      <c r="Q317" s="37" t="s">
        <v>796</v>
      </c>
    </row>
    <row r="318" spans="1:17">
      <c r="A318" s="3" t="s">
        <v>40</v>
      </c>
      <c r="B318" s="22" t="s">
        <v>830</v>
      </c>
      <c r="C318" s="3" t="s">
        <v>812</v>
      </c>
      <c r="D318" s="3"/>
      <c r="E318" s="3" t="s">
        <v>34</v>
      </c>
      <c r="F318" s="3"/>
      <c r="G318" s="3" t="s">
        <v>30</v>
      </c>
      <c r="H318" s="290" t="s">
        <v>828</v>
      </c>
      <c r="I318" s="294" t="s">
        <v>582</v>
      </c>
      <c r="J318" s="294" t="s">
        <v>582</v>
      </c>
      <c r="K318" s="294"/>
      <c r="L318" s="294"/>
      <c r="M318" s="291" t="s">
        <v>30</v>
      </c>
      <c r="N318" s="3" t="s">
        <v>576</v>
      </c>
      <c r="O318" s="137" t="str" cm="1">
        <f t="array" ref="O318">IFERROR(
  INDEX('Scrum Teams'!B$2:B$1010,
    MATCH(1,
      (B318='Scrum Teams'!F$2:F$1010) +
      (B318='Scrum Teams'!G$2:G$1010) +
      (B318='Scrum Teams'!H$2:H$1010) +
      (B318='Scrum Teams'!I$2:I$1010) +
      (B318='Scrum Teams'!J$2:J$1010) +
      (B318='Scrum Teams'!K$2:K$1010) +
      (B318='Scrum Teams'!L$2:L$1010) +
      (B318='Scrum Teams'!M$2:M$1010) +
      (B318='Scrum Teams'!N$2:N$1010) +
      (B318='Scrum Teams'!O$2:O$1010) +
      (B318='Scrum Teams'!P$2:P$1010) +
      (B318='Scrum Teams'!Q$2:Q$1010),
    0)
  ),
  "Not found"
)</f>
        <v>OEM - D360 + Analytics</v>
      </c>
      <c r="P318" s="194" t="s">
        <v>795</v>
      </c>
      <c r="Q318" s="37" t="s">
        <v>796</v>
      </c>
    </row>
    <row r="319" spans="1:17">
      <c r="A319" s="3" t="s">
        <v>40</v>
      </c>
      <c r="B319" s="22" t="s">
        <v>831</v>
      </c>
      <c r="C319" s="3" t="s">
        <v>812</v>
      </c>
      <c r="D319" s="3"/>
      <c r="E319" s="3" t="s">
        <v>34</v>
      </c>
      <c r="F319" s="3"/>
      <c r="G319" s="3" t="s">
        <v>30</v>
      </c>
      <c r="H319" s="290" t="s">
        <v>828</v>
      </c>
      <c r="I319" s="294" t="s">
        <v>582</v>
      </c>
      <c r="J319" s="294" t="s">
        <v>582</v>
      </c>
      <c r="K319" s="294"/>
      <c r="L319" s="294"/>
      <c r="M319" s="291" t="s">
        <v>30</v>
      </c>
      <c r="N319" s="3" t="s">
        <v>576</v>
      </c>
      <c r="O319" s="137" t="str" cm="1">
        <f t="array" ref="O319">IFERROR(
  INDEX('Scrum Teams'!B$2:B$1010,
    MATCH(1,
      (B319='Scrum Teams'!F$2:F$1010) +
      (B319='Scrum Teams'!G$2:G$1010) +
      (B319='Scrum Teams'!H$2:H$1010) +
      (B319='Scrum Teams'!I$2:I$1010) +
      (B319='Scrum Teams'!J$2:J$1010) +
      (B319='Scrum Teams'!K$2:K$1010) +
      (B319='Scrum Teams'!L$2:L$1010) +
      (B319='Scrum Teams'!M$2:M$1010) +
      (B319='Scrum Teams'!N$2:N$1010) +
      (B319='Scrum Teams'!O$2:O$1010) +
      (B319='Scrum Teams'!P$2:P$1010) +
      (B319='Scrum Teams'!Q$2:Q$1010),
    0)
  ),
  "Not found"
)</f>
        <v>OEM - D360 + Analytics</v>
      </c>
      <c r="P319" s="194" t="s">
        <v>795</v>
      </c>
      <c r="Q319" s="37" t="s">
        <v>796</v>
      </c>
    </row>
    <row r="320" spans="1:17">
      <c r="A320" s="3" t="s">
        <v>40</v>
      </c>
      <c r="B320" s="22" t="s">
        <v>832</v>
      </c>
      <c r="C320" s="3" t="s">
        <v>812</v>
      </c>
      <c r="D320" s="3"/>
      <c r="E320" s="3" t="s">
        <v>34</v>
      </c>
      <c r="F320" s="3"/>
      <c r="G320" s="3" t="s">
        <v>30</v>
      </c>
      <c r="H320" s="290" t="s">
        <v>828</v>
      </c>
      <c r="I320" s="294" t="s">
        <v>582</v>
      </c>
      <c r="J320" s="294" t="s">
        <v>582</v>
      </c>
      <c r="K320" s="294"/>
      <c r="L320" s="294"/>
      <c r="M320" s="291" t="s">
        <v>30</v>
      </c>
      <c r="N320" s="3" t="s">
        <v>576</v>
      </c>
      <c r="O320" s="137" t="str" cm="1">
        <f t="array" ref="O320">IFERROR(
  INDEX('Scrum Teams'!B$2:B$1010,
    MATCH(1,
      (B320='Scrum Teams'!F$2:F$1010) +
      (B320='Scrum Teams'!G$2:G$1010) +
      (B320='Scrum Teams'!H$2:H$1010) +
      (B320='Scrum Teams'!I$2:I$1010) +
      (B320='Scrum Teams'!J$2:J$1010) +
      (B320='Scrum Teams'!K$2:K$1010) +
      (B320='Scrum Teams'!L$2:L$1010) +
      (B320='Scrum Teams'!M$2:M$1010) +
      (B320='Scrum Teams'!N$2:N$1010) +
      (B320='Scrum Teams'!O$2:O$1010) +
      (B320='Scrum Teams'!P$2:P$1010) +
      (B320='Scrum Teams'!Q$2:Q$1010),
    0)
  ),
  "Not found"
)</f>
        <v>OEM - D360 + Analytics</v>
      </c>
      <c r="P320" s="194" t="s">
        <v>795</v>
      </c>
      <c r="Q320" s="37" t="s">
        <v>796</v>
      </c>
    </row>
    <row r="321" spans="1:17">
      <c r="A321" s="3" t="s">
        <v>40</v>
      </c>
      <c r="B321" s="22" t="s">
        <v>833</v>
      </c>
      <c r="C321" s="3" t="s">
        <v>812</v>
      </c>
      <c r="D321" s="3"/>
      <c r="E321" s="3" t="s">
        <v>34</v>
      </c>
      <c r="F321" s="3"/>
      <c r="G321" s="3" t="s">
        <v>30</v>
      </c>
      <c r="H321" s="290" t="s">
        <v>813</v>
      </c>
      <c r="I321" s="294" t="s">
        <v>582</v>
      </c>
      <c r="J321" s="294" t="s">
        <v>582</v>
      </c>
      <c r="K321" s="294"/>
      <c r="L321" s="294"/>
      <c r="M321" s="291" t="s">
        <v>30</v>
      </c>
      <c r="N321" s="3" t="s">
        <v>576</v>
      </c>
      <c r="O321" s="137" t="str" cm="1">
        <f t="array" ref="O321">IFERROR(
  INDEX('Scrum Teams'!B$2:B$1010,
    MATCH(1,
      (B321='Scrum Teams'!F$2:F$1010) +
      (B321='Scrum Teams'!G$2:G$1010) +
      (B321='Scrum Teams'!H$2:H$1010) +
      (B321='Scrum Teams'!I$2:I$1010) +
      (B321='Scrum Teams'!J$2:J$1010) +
      (B321='Scrum Teams'!K$2:K$1010) +
      (B321='Scrum Teams'!L$2:L$1010) +
      (B321='Scrum Teams'!M$2:M$1010) +
      (B321='Scrum Teams'!N$2:N$1010) +
      (B321='Scrum Teams'!O$2:O$1010) +
      (B321='Scrum Teams'!P$2:P$1010) +
      (B321='Scrum Teams'!Q$2:Q$1010),
    0)
  ),
  "Not found"
)</f>
        <v>OEM - D360 + Analytics</v>
      </c>
      <c r="P321" s="194" t="s">
        <v>795</v>
      </c>
      <c r="Q321" s="37" t="s">
        <v>796</v>
      </c>
    </row>
    <row r="322" spans="1:17">
      <c r="A322" s="3" t="s">
        <v>40</v>
      </c>
      <c r="B322" s="22" t="s">
        <v>834</v>
      </c>
      <c r="C322" s="3" t="s">
        <v>812</v>
      </c>
      <c r="D322" s="3"/>
      <c r="E322" s="3" t="s">
        <v>34</v>
      </c>
      <c r="F322" s="3"/>
      <c r="G322" s="3" t="s">
        <v>30</v>
      </c>
      <c r="H322" s="290" t="s">
        <v>803</v>
      </c>
      <c r="I322" s="294" t="s">
        <v>582</v>
      </c>
      <c r="J322" s="294" t="s">
        <v>582</v>
      </c>
      <c r="K322" s="294"/>
      <c r="L322" s="294"/>
      <c r="M322" s="291" t="s">
        <v>30</v>
      </c>
      <c r="N322" s="3" t="s">
        <v>576</v>
      </c>
      <c r="O322" s="137" t="str" cm="1">
        <f t="array" ref="O322">IFERROR(
  INDEX('Scrum Teams'!B$2:B$1010,
    MATCH(1,
      (B322='Scrum Teams'!F$2:F$1010) +
      (B322='Scrum Teams'!G$2:G$1010) +
      (B322='Scrum Teams'!H$2:H$1010) +
      (B322='Scrum Teams'!I$2:I$1010) +
      (B322='Scrum Teams'!J$2:J$1010) +
      (B322='Scrum Teams'!K$2:K$1010) +
      (B322='Scrum Teams'!L$2:L$1010) +
      (B322='Scrum Teams'!M$2:M$1010) +
      (B322='Scrum Teams'!N$2:N$1010) +
      (B322='Scrum Teams'!O$2:O$1010) +
      (B322='Scrum Teams'!P$2:P$1010) +
      (B322='Scrum Teams'!Q$2:Q$1010),
    0)
  ),
  "Not found"
)</f>
        <v>OEM - D360 + Analytics</v>
      </c>
      <c r="P322" s="194" t="s">
        <v>795</v>
      </c>
      <c r="Q322" s="37" t="s">
        <v>796</v>
      </c>
    </row>
    <row r="323" spans="1:17">
      <c r="A323" s="3" t="s">
        <v>40</v>
      </c>
      <c r="B323" s="22" t="s">
        <v>835</v>
      </c>
      <c r="C323" s="3" t="s">
        <v>812</v>
      </c>
      <c r="D323" s="3"/>
      <c r="E323" s="3" t="s">
        <v>34</v>
      </c>
      <c r="F323" s="3"/>
      <c r="G323" s="3" t="s">
        <v>30</v>
      </c>
      <c r="H323" s="290" t="s">
        <v>813</v>
      </c>
      <c r="I323" s="294" t="s">
        <v>582</v>
      </c>
      <c r="J323" s="294" t="s">
        <v>582</v>
      </c>
      <c r="K323" s="294"/>
      <c r="L323" s="294"/>
      <c r="M323" s="291" t="s">
        <v>30</v>
      </c>
      <c r="N323" s="3" t="s">
        <v>576</v>
      </c>
      <c r="O323" s="137" t="str" cm="1">
        <f t="array" ref="O323">IFERROR(
  INDEX('Scrum Teams'!B$2:B$1010,
    MATCH(1,
      (B323='Scrum Teams'!F$2:F$1010) +
      (B323='Scrum Teams'!G$2:G$1010) +
      (B323='Scrum Teams'!H$2:H$1010) +
      (B323='Scrum Teams'!I$2:I$1010) +
      (B323='Scrum Teams'!J$2:J$1010) +
      (B323='Scrum Teams'!K$2:K$1010) +
      (B323='Scrum Teams'!L$2:L$1010) +
      (B323='Scrum Teams'!M$2:M$1010) +
      (B323='Scrum Teams'!N$2:N$1010) +
      (B323='Scrum Teams'!O$2:O$1010) +
      (B323='Scrum Teams'!P$2:P$1010) +
      (B323='Scrum Teams'!Q$2:Q$1010),
    0)
  ),
  "Not found"
)</f>
        <v>OEM - D360 + Analytics</v>
      </c>
      <c r="P323" s="194" t="s">
        <v>795</v>
      </c>
      <c r="Q323" s="37" t="s">
        <v>796</v>
      </c>
    </row>
    <row r="324" spans="1:17">
      <c r="A324" s="3" t="s">
        <v>40</v>
      </c>
      <c r="B324" s="22" t="s">
        <v>836</v>
      </c>
      <c r="C324" s="3" t="s">
        <v>812</v>
      </c>
      <c r="D324" s="3"/>
      <c r="E324" s="3" t="s">
        <v>34</v>
      </c>
      <c r="F324" s="3"/>
      <c r="G324" s="3" t="s">
        <v>30</v>
      </c>
      <c r="H324" s="290" t="s">
        <v>815</v>
      </c>
      <c r="I324" s="290" t="s">
        <v>816</v>
      </c>
      <c r="J324" s="290" t="s">
        <v>582</v>
      </c>
      <c r="K324" s="290"/>
      <c r="L324" s="290"/>
      <c r="M324" s="291" t="s">
        <v>30</v>
      </c>
      <c r="N324" s="3" t="s">
        <v>576</v>
      </c>
      <c r="O324" s="137" t="str" cm="1">
        <f t="array" ref="O324">IFERROR(
  INDEX('Scrum Teams'!B$2:B$1010,
    MATCH(1,
      (B324='Scrum Teams'!F$2:F$1010) +
      (B324='Scrum Teams'!G$2:G$1010) +
      (B324='Scrum Teams'!H$2:H$1010) +
      (B324='Scrum Teams'!I$2:I$1010) +
      (B324='Scrum Teams'!J$2:J$1010) +
      (B324='Scrum Teams'!K$2:K$1010) +
      (B324='Scrum Teams'!L$2:L$1010) +
      (B324='Scrum Teams'!M$2:M$1010) +
      (B324='Scrum Teams'!N$2:N$1010) +
      (B324='Scrum Teams'!O$2:O$1010) +
      (B324='Scrum Teams'!P$2:P$1010) +
      (B324='Scrum Teams'!Q$2:Q$1010),
    0)
  ),
  "Not found"
)</f>
        <v>OEM - D360 + Analytics</v>
      </c>
      <c r="P324" s="194" t="s">
        <v>795</v>
      </c>
      <c r="Q324" s="37" t="s">
        <v>796</v>
      </c>
    </row>
    <row r="325" spans="1:17">
      <c r="A325" s="3" t="s">
        <v>40</v>
      </c>
      <c r="B325" s="22" t="s">
        <v>837</v>
      </c>
      <c r="C325" s="3" t="s">
        <v>792</v>
      </c>
      <c r="D325" s="3" t="s">
        <v>792</v>
      </c>
      <c r="E325" s="3" t="s">
        <v>34</v>
      </c>
      <c r="F325" s="3"/>
      <c r="G325" s="3" t="s">
        <v>30</v>
      </c>
      <c r="H325" s="290" t="s">
        <v>799</v>
      </c>
      <c r="I325" s="294" t="s">
        <v>582</v>
      </c>
      <c r="J325" s="294" t="s">
        <v>582</v>
      </c>
      <c r="K325" s="294"/>
      <c r="L325" s="294"/>
      <c r="M325" s="291" t="s">
        <v>30</v>
      </c>
      <c r="N325" s="3" t="s">
        <v>576</v>
      </c>
      <c r="O325" s="137" t="str" cm="1">
        <f t="array" ref="O325">IFERROR(
  INDEX('Scrum Teams'!B$2:B$1010,
    MATCH(1,
      (B325='Scrum Teams'!F$2:F$1010) +
      (B325='Scrum Teams'!G$2:G$1010) +
      (B325='Scrum Teams'!H$2:H$1010) +
      (B325='Scrum Teams'!I$2:I$1010) +
      (B325='Scrum Teams'!J$2:J$1010) +
      (B325='Scrum Teams'!K$2:K$1010) +
      (B325='Scrum Teams'!L$2:L$1010) +
      (B325='Scrum Teams'!M$2:M$1010) +
      (B325='Scrum Teams'!N$2:N$1010) +
      (B325='Scrum Teams'!O$2:O$1010) +
      (B325='Scrum Teams'!P$2:P$1010) +
      (B325='Scrum Teams'!Q$2:Q$1010),
    0)
  ),
  "Not found"
)</f>
        <v>AEO-GEO</v>
      </c>
      <c r="P325" s="194" t="s">
        <v>795</v>
      </c>
      <c r="Q325" s="37" t="s">
        <v>796</v>
      </c>
    </row>
    <row r="326" spans="1:17">
      <c r="A326" s="3" t="s">
        <v>40</v>
      </c>
      <c r="B326" s="22" t="s">
        <v>838</v>
      </c>
      <c r="C326" s="3"/>
      <c r="D326" s="3"/>
      <c r="E326" s="3" t="s">
        <v>34</v>
      </c>
      <c r="F326" s="3"/>
      <c r="G326" s="3" t="s">
        <v>30</v>
      </c>
      <c r="H326" s="290" t="s">
        <v>799</v>
      </c>
      <c r="I326" s="294" t="s">
        <v>582</v>
      </c>
      <c r="J326" s="294" t="s">
        <v>582</v>
      </c>
      <c r="K326" s="294"/>
      <c r="L326" s="294"/>
      <c r="M326" s="291" t="s">
        <v>30</v>
      </c>
      <c r="N326" s="3" t="s">
        <v>576</v>
      </c>
      <c r="O326" s="137" t="str" cm="1">
        <f t="array" ref="O326">IFERROR(
  INDEX('Scrum Teams'!B$2:B$1010,
    MATCH(1,
      (B326='Scrum Teams'!F$2:F$1010) +
      (B326='Scrum Teams'!G$2:G$1010) +
      (B326='Scrum Teams'!H$2:H$1010) +
      (B326='Scrum Teams'!I$2:I$1010) +
      (B326='Scrum Teams'!J$2:J$1010) +
      (B326='Scrum Teams'!K$2:K$1010) +
      (B326='Scrum Teams'!L$2:L$1010) +
      (B326='Scrum Teams'!M$2:M$1010) +
      (B326='Scrum Teams'!N$2:N$1010) +
      (B326='Scrum Teams'!O$2:O$1010) +
      (B326='Scrum Teams'!P$2:P$1010) +
      (B326='Scrum Teams'!Q$2:Q$1010),
    0)
  ),
  "Not found"
)</f>
        <v>OEM Agentic AI</v>
      </c>
      <c r="P326" s="194" t="s">
        <v>795</v>
      </c>
      <c r="Q326" s="37" t="s">
        <v>796</v>
      </c>
    </row>
    <row r="327" spans="1:17">
      <c r="A327" s="3" t="s">
        <v>40</v>
      </c>
      <c r="B327" s="22" t="s">
        <v>839</v>
      </c>
      <c r="C327" s="3" t="s">
        <v>792</v>
      </c>
      <c r="D327" s="3" t="s">
        <v>792</v>
      </c>
      <c r="E327" s="3" t="s">
        <v>34</v>
      </c>
      <c r="F327" s="3"/>
      <c r="G327" s="3" t="s">
        <v>30</v>
      </c>
      <c r="H327" s="291" t="s">
        <v>581</v>
      </c>
      <c r="I327" s="294" t="s">
        <v>794</v>
      </c>
      <c r="J327" s="294" t="s">
        <v>582</v>
      </c>
      <c r="K327" s="294"/>
      <c r="L327" s="294"/>
      <c r="M327" s="291" t="s">
        <v>30</v>
      </c>
      <c r="N327" s="3" t="s">
        <v>576</v>
      </c>
      <c r="O327" s="137" t="str" cm="1">
        <f t="array" ref="O327">IFERROR(
  INDEX('Scrum Teams'!B$2:B$1010,
    MATCH(1,
      (B327='Scrum Teams'!F$2:F$1010) +
      (B327='Scrum Teams'!G$2:G$1010) +
      (B327='Scrum Teams'!H$2:H$1010) +
      (B327='Scrum Teams'!I$2:I$1010) +
      (B327='Scrum Teams'!J$2:J$1010) +
      (B327='Scrum Teams'!K$2:K$1010) +
      (B327='Scrum Teams'!L$2:L$1010) +
      (B327='Scrum Teams'!M$2:M$1010) +
      (B327='Scrum Teams'!N$2:N$1010) +
      (B327='Scrum Teams'!O$2:O$1010) +
      (B327='Scrum Teams'!P$2:P$1010) +
      (B327='Scrum Teams'!Q$2:Q$1010),
    0)
  ),
  "Not found"
)</f>
        <v>GM Integrations (1.0 and 2.0)</v>
      </c>
      <c r="P327" s="194" t="s">
        <v>795</v>
      </c>
      <c r="Q327" s="37" t="s">
        <v>796</v>
      </c>
    </row>
    <row r="328" spans="1:17">
      <c r="A328" s="3" t="s">
        <v>40</v>
      </c>
      <c r="B328" s="22" t="s">
        <v>840</v>
      </c>
      <c r="C328" s="3" t="s">
        <v>812</v>
      </c>
      <c r="D328" s="3"/>
      <c r="E328" s="3" t="s">
        <v>34</v>
      </c>
      <c r="F328" s="3"/>
      <c r="G328" s="3" t="s">
        <v>30</v>
      </c>
      <c r="H328" s="290" t="s">
        <v>803</v>
      </c>
      <c r="I328" s="270" t="s">
        <v>582</v>
      </c>
      <c r="J328" s="294" t="s">
        <v>582</v>
      </c>
      <c r="K328" s="294"/>
      <c r="L328" s="294"/>
      <c r="M328" s="291" t="s">
        <v>30</v>
      </c>
      <c r="N328" s="3" t="s">
        <v>576</v>
      </c>
      <c r="O328" s="137" t="str" cm="1">
        <f t="array" ref="O328">IFERROR(
  INDEX('Scrum Teams'!B$2:B$1010,
    MATCH(1,
      (B328='Scrum Teams'!F$2:F$1010) +
      (B328='Scrum Teams'!G$2:G$1010) +
      (B328='Scrum Teams'!H$2:H$1010) +
      (B328='Scrum Teams'!I$2:I$1010) +
      (B328='Scrum Teams'!J$2:J$1010) +
      (B328='Scrum Teams'!K$2:K$1010) +
      (B328='Scrum Teams'!L$2:L$1010) +
      (B328='Scrum Teams'!M$2:M$1010) +
      (B328='Scrum Teams'!N$2:N$1010) +
      (B328='Scrum Teams'!O$2:O$1010) +
      (B328='Scrum Teams'!P$2:P$1010) +
      (B328='Scrum Teams'!Q$2:Q$1010),
    0)
  ),
  "Not found"
)</f>
        <v>3rd Party Chat Integrations</v>
      </c>
      <c r="P328" s="194" t="s">
        <v>795</v>
      </c>
      <c r="Q328" s="37" t="s">
        <v>796</v>
      </c>
    </row>
    <row r="329" spans="1:17">
      <c r="A329" s="3" t="s">
        <v>40</v>
      </c>
      <c r="B329" s="22" t="s">
        <v>841</v>
      </c>
      <c r="C329" s="3" t="s">
        <v>792</v>
      </c>
      <c r="D329" s="3" t="s">
        <v>792</v>
      </c>
      <c r="E329" s="3" t="s">
        <v>34</v>
      </c>
      <c r="F329" s="3"/>
      <c r="G329" s="3" t="s">
        <v>30</v>
      </c>
      <c r="H329" s="290" t="s">
        <v>799</v>
      </c>
      <c r="I329" s="294" t="s">
        <v>582</v>
      </c>
      <c r="J329" s="294" t="s">
        <v>582</v>
      </c>
      <c r="K329" s="294"/>
      <c r="L329" s="294"/>
      <c r="M329" s="291" t="s">
        <v>30</v>
      </c>
      <c r="N329" s="3" t="s">
        <v>576</v>
      </c>
      <c r="O329" s="137" t="str" cm="1">
        <f t="array" ref="O329">IFERROR(
  INDEX('Scrum Teams'!B$2:B$1010,
    MATCH(1,
      (B329='Scrum Teams'!F$2:F$1010) +
      (B329='Scrum Teams'!G$2:G$1010) +
      (B329='Scrum Teams'!H$2:H$1010) +
      (B329='Scrum Teams'!I$2:I$1010) +
      (B329='Scrum Teams'!J$2:J$1010) +
      (B329='Scrum Teams'!K$2:K$1010) +
      (B329='Scrum Teams'!L$2:L$1010) +
      (B329='Scrum Teams'!M$2:M$1010) +
      (B329='Scrum Teams'!N$2:N$1010) +
      (B329='Scrum Teams'!O$2:O$1010) +
      (B329='Scrum Teams'!P$2:P$1010) +
      (B329='Scrum Teams'!Q$2:Q$1010),
    0)
  ),
  "Not found"
)</f>
        <v>Not found</v>
      </c>
      <c r="P329" s="194" t="s">
        <v>795</v>
      </c>
      <c r="Q329" s="37" t="s">
        <v>796</v>
      </c>
    </row>
    <row r="330" spans="1:17" hidden="1">
      <c r="A330" s="3" t="s">
        <v>67</v>
      </c>
      <c r="B330" s="22" t="s">
        <v>842</v>
      </c>
      <c r="C330" s="3"/>
      <c r="D330" s="3"/>
      <c r="E330" t="s">
        <v>66</v>
      </c>
      <c r="F330" s="3" t="s">
        <v>169</v>
      </c>
      <c r="G330" s="41" t="s">
        <v>55</v>
      </c>
      <c r="H330" s="249" t="s">
        <v>692</v>
      </c>
      <c r="I330" s="250"/>
      <c r="J330" s="263"/>
      <c r="K330" s="291" t="s">
        <v>249</v>
      </c>
      <c r="L330" s="291"/>
      <c r="M330" s="291" t="s">
        <v>250</v>
      </c>
      <c r="N330" s="3"/>
      <c r="O330" s="137" t="str" cm="1">
        <f t="array" ref="O330">IFERROR(
  INDEX('Scrum Teams'!B$2:B$1010,
    MATCH(1,
      (B330='Scrum Teams'!F$2:F$1010) +
      (B330='Scrum Teams'!G$2:G$1010) +
      (B330='Scrum Teams'!H$2:H$1010) +
      (B330='Scrum Teams'!I$2:I$1010) +
      (B330='Scrum Teams'!J$2:J$1010) +
      (B330='Scrum Teams'!K$2:K$1010) +
      (B330='Scrum Teams'!L$2:L$1010) +
      (B330='Scrum Teams'!M$2:M$1010) +
      (B330='Scrum Teams'!N$2:N$1010) +
      (B330='Scrum Teams'!O$2:O$1010) +
      (B330='Scrum Teams'!P$2:P$1010) +
      (B330='Scrum Teams'!Q$2:Q$1010),
    0)
  ),
  "Not found"
)</f>
        <v>Not found</v>
      </c>
      <c r="P330" s="195" t="s">
        <v>780</v>
      </c>
      <c r="Q330" s="37" t="s">
        <v>307</v>
      </c>
    </row>
    <row r="331" spans="1:17" hidden="1">
      <c r="A331" s="3" t="s">
        <v>67</v>
      </c>
      <c r="B331" s="22" t="s">
        <v>843</v>
      </c>
      <c r="C331" s="3"/>
      <c r="D331" s="3"/>
      <c r="E331" t="s">
        <v>66</v>
      </c>
      <c r="F331" s="3" t="s">
        <v>169</v>
      </c>
      <c r="G331" s="3" t="s">
        <v>55</v>
      </c>
      <c r="H331" s="249" t="s">
        <v>783</v>
      </c>
      <c r="I331" s="250"/>
      <c r="J331" s="250"/>
      <c r="K331" s="291" t="s">
        <v>249</v>
      </c>
      <c r="L331" s="291"/>
      <c r="M331" s="291" t="s">
        <v>250</v>
      </c>
      <c r="N331" s="3"/>
      <c r="O331" s="137" t="str" cm="1">
        <f t="array" ref="O331">IFERROR(
  INDEX('Scrum Teams'!B$2:B$1010,
    MATCH(1,
      (B331='Scrum Teams'!F$2:F$1010) +
      (B331='Scrum Teams'!G$2:G$1010) +
      (B331='Scrum Teams'!H$2:H$1010) +
      (B331='Scrum Teams'!I$2:I$1010) +
      (B331='Scrum Teams'!J$2:J$1010) +
      (B331='Scrum Teams'!K$2:K$1010) +
      (B331='Scrum Teams'!L$2:L$1010) +
      (B331='Scrum Teams'!M$2:M$1010) +
      (B331='Scrum Teams'!N$2:N$1010) +
      (B331='Scrum Teams'!O$2:O$1010) +
      (B331='Scrum Teams'!P$2:P$1010) +
      (B331='Scrum Teams'!Q$2:Q$1010),
    0)
  ),
  "Not found"
)</f>
        <v>AIE-Service</v>
      </c>
      <c r="P331" s="194" t="s">
        <v>780</v>
      </c>
      <c r="Q331" s="37" t="s">
        <v>307</v>
      </c>
    </row>
    <row r="332" spans="1:17" hidden="1">
      <c r="A332" s="3" t="s">
        <v>67</v>
      </c>
      <c r="B332" s="22" t="s">
        <v>844</v>
      </c>
      <c r="C332" s="3"/>
      <c r="D332" s="3"/>
      <c r="E332" t="s">
        <v>66</v>
      </c>
      <c r="F332" s="3" t="s">
        <v>169</v>
      </c>
      <c r="G332" s="3" t="s">
        <v>55</v>
      </c>
      <c r="H332" s="291" t="s">
        <v>692</v>
      </c>
      <c r="I332" s="250"/>
      <c r="J332" s="250"/>
      <c r="K332" s="291" t="s">
        <v>249</v>
      </c>
      <c r="L332" s="291"/>
      <c r="M332" s="291" t="s">
        <v>250</v>
      </c>
      <c r="N332" s="3"/>
      <c r="O332" s="137" t="str" cm="1">
        <f t="array" ref="O332">IFERROR(
  INDEX('Scrum Teams'!B$2:B$1010,
    MATCH(1,
      (B332='Scrum Teams'!F$2:F$1010) +
      (B332='Scrum Teams'!G$2:G$1010) +
      (B332='Scrum Teams'!H$2:H$1010) +
      (B332='Scrum Teams'!I$2:I$1010) +
      (B332='Scrum Teams'!J$2:J$1010) +
      (B332='Scrum Teams'!K$2:K$1010) +
      (B332='Scrum Teams'!L$2:L$1010) +
      (B332='Scrum Teams'!M$2:M$1010) +
      (B332='Scrum Teams'!N$2:N$1010) +
      (B332='Scrum Teams'!O$2:O$1010) +
      (B332='Scrum Teams'!P$2:P$1010) +
      (B332='Scrum Teams'!Q$2:Q$1010),
    0)
  ),
  "Not found"
)</f>
        <v>AIE-Service</v>
      </c>
      <c r="P332" s="194" t="s">
        <v>780</v>
      </c>
      <c r="Q332" s="37" t="s">
        <v>307</v>
      </c>
    </row>
    <row r="333" spans="1:17" hidden="1">
      <c r="A333" s="3" t="s">
        <v>67</v>
      </c>
      <c r="B333" s="22" t="s">
        <v>845</v>
      </c>
      <c r="C333" s="3"/>
      <c r="D333" s="3"/>
      <c r="E333" t="s">
        <v>66</v>
      </c>
      <c r="F333" s="3" t="s">
        <v>169</v>
      </c>
      <c r="G333" s="3" t="s">
        <v>55</v>
      </c>
      <c r="H333" s="291" t="s">
        <v>256</v>
      </c>
      <c r="I333" s="250"/>
      <c r="J333" s="250"/>
      <c r="K333" s="291" t="s">
        <v>223</v>
      </c>
      <c r="L333" s="291" t="s">
        <v>224</v>
      </c>
      <c r="M333" s="291" t="s">
        <v>225</v>
      </c>
      <c r="N333" s="3"/>
      <c r="O333" s="137" t="str" cm="1">
        <f t="array" ref="O333">IFERROR(
  INDEX('Scrum Teams'!B$2:B$1010,
    MATCH(1,
      (B333='Scrum Teams'!F$2:F$1010) +
      (B333='Scrum Teams'!G$2:G$1010) +
      (B333='Scrum Teams'!H$2:H$1010) +
      (B333='Scrum Teams'!I$2:I$1010) +
      (B333='Scrum Teams'!J$2:J$1010) +
      (B333='Scrum Teams'!K$2:K$1010) +
      (B333='Scrum Teams'!L$2:L$1010) +
      (B333='Scrum Teams'!M$2:M$1010) +
      (B333='Scrum Teams'!N$2:N$1010) +
      (B333='Scrum Teams'!O$2:O$1010) +
      (B333='Scrum Teams'!P$2:P$1010) +
      (B333='Scrum Teams'!Q$2:Q$1010),
    0)
  ),
  "Not found"
)</f>
        <v>AIE-Retail</v>
      </c>
      <c r="P333" s="194" t="s">
        <v>780</v>
      </c>
      <c r="Q333" s="37" t="s">
        <v>307</v>
      </c>
    </row>
    <row r="334" spans="1:17" hidden="1">
      <c r="A334" s="3" t="s">
        <v>67</v>
      </c>
      <c r="B334" s="22" t="s">
        <v>846</v>
      </c>
      <c r="C334" s="3"/>
      <c r="D334" s="3"/>
      <c r="E334" t="s">
        <v>66</v>
      </c>
      <c r="F334" s="3" t="s">
        <v>169</v>
      </c>
      <c r="G334" s="3" t="s">
        <v>55</v>
      </c>
      <c r="H334" s="291" t="s">
        <v>244</v>
      </c>
      <c r="I334" s="250"/>
      <c r="J334" s="250"/>
      <c r="K334" s="291" t="s">
        <v>223</v>
      </c>
      <c r="L334" s="291" t="s">
        <v>224</v>
      </c>
      <c r="M334" s="291" t="s">
        <v>225</v>
      </c>
      <c r="N334" s="3"/>
      <c r="O334" s="137" t="str" cm="1">
        <f t="array" ref="O334">IFERROR(
  INDEX('Scrum Teams'!B$2:B$1010,
    MATCH(1,
      (B334='Scrum Teams'!F$2:F$1010) +
      (B334='Scrum Teams'!G$2:G$1010) +
      (B334='Scrum Teams'!H$2:H$1010) +
      (B334='Scrum Teams'!I$2:I$1010) +
      (B334='Scrum Teams'!J$2:J$1010) +
      (B334='Scrum Teams'!K$2:K$1010) +
      (B334='Scrum Teams'!L$2:L$1010) +
      (B334='Scrum Teams'!M$2:M$1010) +
      (B334='Scrum Teams'!N$2:N$1010) +
      (B334='Scrum Teams'!O$2:O$1010) +
      (B334='Scrum Teams'!P$2:P$1010) +
      (B334='Scrum Teams'!Q$2:Q$1010),
    0)
  ),
  "Not found"
)</f>
        <v>AIE-Retail</v>
      </c>
      <c r="P334" s="194" t="s">
        <v>780</v>
      </c>
      <c r="Q334" s="37" t="s">
        <v>307</v>
      </c>
    </row>
    <row r="335" spans="1:17" hidden="1">
      <c r="A335" s="3" t="s">
        <v>67</v>
      </c>
      <c r="B335" s="22" t="s">
        <v>847</v>
      </c>
      <c r="C335" s="3"/>
      <c r="D335" s="3"/>
      <c r="E335" t="s">
        <v>66</v>
      </c>
      <c r="F335" s="3" t="s">
        <v>169</v>
      </c>
      <c r="G335" s="3" t="s">
        <v>55</v>
      </c>
      <c r="H335" s="291" t="s">
        <v>244</v>
      </c>
      <c r="I335" s="250"/>
      <c r="J335" s="250"/>
      <c r="K335" s="291" t="s">
        <v>223</v>
      </c>
      <c r="L335" s="291" t="s">
        <v>224</v>
      </c>
      <c r="M335" s="291" t="s">
        <v>225</v>
      </c>
      <c r="N335" s="3"/>
      <c r="O335" s="137" t="str" cm="1">
        <f t="array" ref="O335">IFERROR(
  INDEX('Scrum Teams'!B$2:B$1010,
    MATCH(1,
      (B335='Scrum Teams'!F$2:F$1010) +
      (B335='Scrum Teams'!G$2:G$1010) +
      (B335='Scrum Teams'!H$2:H$1010) +
      (B335='Scrum Teams'!I$2:I$1010) +
      (B335='Scrum Teams'!J$2:J$1010) +
      (B335='Scrum Teams'!K$2:K$1010) +
      (B335='Scrum Teams'!L$2:L$1010) +
      (B335='Scrum Teams'!M$2:M$1010) +
      (B335='Scrum Teams'!N$2:N$1010) +
      (B335='Scrum Teams'!O$2:O$1010) +
      (B335='Scrum Teams'!P$2:P$1010) +
      (B335='Scrum Teams'!Q$2:Q$1010),
    0)
  ),
  "Not found"
)</f>
        <v>AIE-Retail</v>
      </c>
      <c r="P335" s="194" t="s">
        <v>780</v>
      </c>
      <c r="Q335" s="37" t="s">
        <v>307</v>
      </c>
    </row>
    <row r="336" spans="1:17" hidden="1">
      <c r="A336" s="3" t="s">
        <v>67</v>
      </c>
      <c r="B336" s="22" t="s">
        <v>848</v>
      </c>
      <c r="C336" s="3"/>
      <c r="D336" s="3"/>
      <c r="E336" t="s">
        <v>66</v>
      </c>
      <c r="F336" s="3" t="s">
        <v>169</v>
      </c>
      <c r="G336" s="3" t="s">
        <v>55</v>
      </c>
      <c r="H336" s="291" t="s">
        <v>779</v>
      </c>
      <c r="I336" s="250"/>
      <c r="J336" s="250"/>
      <c r="K336" s="291" t="s">
        <v>249</v>
      </c>
      <c r="L336" s="291"/>
      <c r="M336" s="291" t="s">
        <v>250</v>
      </c>
      <c r="N336" s="3"/>
      <c r="O336" s="137" t="str" cm="1">
        <f t="array" ref="O336">IFERROR(
  INDEX('Scrum Teams'!B$2:B$1010,
    MATCH(1,
      (B336='Scrum Teams'!F$2:F$1010) +
      (B336='Scrum Teams'!G$2:G$1010) +
      (B336='Scrum Teams'!H$2:H$1010) +
      (B336='Scrum Teams'!I$2:I$1010) +
      (B336='Scrum Teams'!J$2:J$1010) +
      (B336='Scrum Teams'!K$2:K$1010) +
      (B336='Scrum Teams'!L$2:L$1010) +
      (B336='Scrum Teams'!M$2:M$1010) +
      (B336='Scrum Teams'!N$2:N$1010) +
      (B336='Scrum Teams'!O$2:O$1010) +
      (B336='Scrum Teams'!P$2:P$1010) +
      (B336='Scrum Teams'!Q$2:Q$1010),
    0)
  ),
  "Not found"
)</f>
        <v>AIE-Generic</v>
      </c>
      <c r="P336" s="194" t="s">
        <v>780</v>
      </c>
      <c r="Q336" s="37" t="s">
        <v>307</v>
      </c>
    </row>
    <row r="337" spans="1:17" hidden="1">
      <c r="A337" s="3" t="s">
        <v>67</v>
      </c>
      <c r="B337" s="22" t="s">
        <v>849</v>
      </c>
      <c r="C337" s="3"/>
      <c r="D337" s="3"/>
      <c r="E337" t="s">
        <v>66</v>
      </c>
      <c r="F337" s="3" t="s">
        <v>169</v>
      </c>
      <c r="G337" s="3" t="s">
        <v>55</v>
      </c>
      <c r="H337" s="291" t="s">
        <v>779</v>
      </c>
      <c r="I337" s="250"/>
      <c r="J337" s="250"/>
      <c r="K337" s="291" t="s">
        <v>249</v>
      </c>
      <c r="L337" s="291"/>
      <c r="M337" s="291" t="s">
        <v>250</v>
      </c>
      <c r="N337" s="3"/>
      <c r="O337" s="137" t="str" cm="1">
        <f t="array" ref="O337">IFERROR(
  INDEX('Scrum Teams'!B$2:B$1010,
    MATCH(1,
      (B337='Scrum Teams'!F$2:F$1010) +
      (B337='Scrum Teams'!G$2:G$1010) +
      (B337='Scrum Teams'!H$2:H$1010) +
      (B337='Scrum Teams'!I$2:I$1010) +
      (B337='Scrum Teams'!J$2:J$1010) +
      (B337='Scrum Teams'!K$2:K$1010) +
      (B337='Scrum Teams'!L$2:L$1010) +
      (B337='Scrum Teams'!M$2:M$1010) +
      (B337='Scrum Teams'!N$2:N$1010) +
      (B337='Scrum Teams'!O$2:O$1010) +
      (B337='Scrum Teams'!P$2:P$1010) +
      (B337='Scrum Teams'!Q$2:Q$1010),
    0)
  ),
  "Not found"
)</f>
        <v>AIE-Generic</v>
      </c>
      <c r="P337" s="194" t="s">
        <v>780</v>
      </c>
      <c r="Q337" s="37" t="s">
        <v>307</v>
      </c>
    </row>
    <row r="338" spans="1:17" hidden="1">
      <c r="A338" s="3" t="s">
        <v>67</v>
      </c>
      <c r="B338" s="22" t="s">
        <v>850</v>
      </c>
      <c r="C338" s="3"/>
      <c r="D338" s="3"/>
      <c r="E338" t="s">
        <v>66</v>
      </c>
      <c r="F338" s="3" t="s">
        <v>169</v>
      </c>
      <c r="G338" s="3" t="s">
        <v>55</v>
      </c>
      <c r="H338" s="291" t="s">
        <v>851</v>
      </c>
      <c r="I338" s="23" t="s">
        <v>783</v>
      </c>
      <c r="J338" s="296" t="s">
        <v>783</v>
      </c>
      <c r="K338" s="291" t="s">
        <v>249</v>
      </c>
      <c r="L338" s="291"/>
      <c r="M338" s="291" t="s">
        <v>250</v>
      </c>
      <c r="N338" s="3"/>
      <c r="O338" s="137" t="str" cm="1">
        <f t="array" ref="O338">IFERROR(
  INDEX('Scrum Teams'!B$2:B$1010,
    MATCH(1,
      (B338='Scrum Teams'!F$2:F$1010) +
      (B338='Scrum Teams'!G$2:G$1010) +
      (B338='Scrum Teams'!H$2:H$1010) +
      (B338='Scrum Teams'!I$2:I$1010) +
      (B338='Scrum Teams'!J$2:J$1010) +
      (B338='Scrum Teams'!K$2:K$1010) +
      (B338='Scrum Teams'!L$2:L$1010) +
      (B338='Scrum Teams'!M$2:M$1010) +
      (B338='Scrum Teams'!N$2:N$1010) +
      (B338='Scrum Teams'!O$2:O$1010) +
      (B338='Scrum Teams'!P$2:P$1010) +
      (B338='Scrum Teams'!Q$2:Q$1010),
    0)
  ),
  "Not found"
)</f>
        <v>AIE-Service</v>
      </c>
      <c r="P338" s="194" t="s">
        <v>780</v>
      </c>
      <c r="Q338" s="37" t="s">
        <v>307</v>
      </c>
    </row>
    <row r="339" spans="1:17" hidden="1">
      <c r="A339" s="3" t="s">
        <v>67</v>
      </c>
      <c r="B339" s="22" t="s">
        <v>852</v>
      </c>
      <c r="C339" s="3"/>
      <c r="D339" s="3"/>
      <c r="E339" t="s">
        <v>66</v>
      </c>
      <c r="F339" s="3" t="s">
        <v>169</v>
      </c>
      <c r="G339" s="3" t="s">
        <v>55</v>
      </c>
      <c r="H339" s="251" t="s">
        <v>779</v>
      </c>
      <c r="I339" s="23" t="s">
        <v>783</v>
      </c>
      <c r="J339" s="296" t="s">
        <v>783</v>
      </c>
      <c r="K339" s="291" t="s">
        <v>249</v>
      </c>
      <c r="L339" s="291"/>
      <c r="M339" s="291" t="s">
        <v>250</v>
      </c>
      <c r="N339" s="3"/>
      <c r="O339" s="137" t="str" cm="1">
        <f t="array" ref="O339">IFERROR(
  INDEX('Scrum Teams'!B$2:B$1010,
    MATCH(1,
      (B339='Scrum Teams'!F$2:F$1010) +
      (B339='Scrum Teams'!G$2:G$1010) +
      (B339='Scrum Teams'!H$2:H$1010) +
      (B339='Scrum Teams'!I$2:I$1010) +
      (B339='Scrum Teams'!J$2:J$1010) +
      (B339='Scrum Teams'!K$2:K$1010) +
      (B339='Scrum Teams'!L$2:L$1010) +
      (B339='Scrum Teams'!M$2:M$1010) +
      (B339='Scrum Teams'!N$2:N$1010) +
      (B339='Scrum Teams'!O$2:O$1010) +
      (B339='Scrum Teams'!P$2:P$1010) +
      (B339='Scrum Teams'!Q$2:Q$1010),
    0)
  ),
  "Not found"
)</f>
        <v>AIE-Generic</v>
      </c>
      <c r="P339" s="194" t="s">
        <v>780</v>
      </c>
      <c r="Q339" s="37" t="s">
        <v>307</v>
      </c>
    </row>
    <row r="340" spans="1:17" hidden="1">
      <c r="A340" s="3" t="s">
        <v>67</v>
      </c>
      <c r="B340" s="22" t="s">
        <v>853</v>
      </c>
      <c r="C340" s="3"/>
      <c r="D340" s="3"/>
      <c r="E340" t="s">
        <v>66</v>
      </c>
      <c r="F340" s="3" t="s">
        <v>169</v>
      </c>
      <c r="G340" s="3" t="s">
        <v>55</v>
      </c>
      <c r="H340" s="249" t="s">
        <v>692</v>
      </c>
      <c r="I340" s="23" t="s">
        <v>783</v>
      </c>
      <c r="J340" s="296" t="s">
        <v>783</v>
      </c>
      <c r="K340" s="291" t="s">
        <v>249</v>
      </c>
      <c r="L340" s="291"/>
      <c r="M340" s="291" t="s">
        <v>250</v>
      </c>
      <c r="N340" s="3"/>
      <c r="O340" s="137" t="str" cm="1">
        <f t="array" ref="O340">IFERROR(
  INDEX('Scrum Teams'!B$2:B$1010,
    MATCH(1,
      (B340='Scrum Teams'!F$2:F$1010) +
      (B340='Scrum Teams'!G$2:G$1010) +
      (B340='Scrum Teams'!H$2:H$1010) +
      (B340='Scrum Teams'!I$2:I$1010) +
      (B340='Scrum Teams'!J$2:J$1010) +
      (B340='Scrum Teams'!K$2:K$1010) +
      (B340='Scrum Teams'!L$2:L$1010) +
      (B340='Scrum Teams'!M$2:M$1010) +
      (B340='Scrum Teams'!N$2:N$1010) +
      (B340='Scrum Teams'!O$2:O$1010) +
      (B340='Scrum Teams'!P$2:P$1010) +
      (B340='Scrum Teams'!Q$2:Q$1010),
    0)
  ),
  "Not found"
)</f>
        <v>AIE-Generic</v>
      </c>
      <c r="P340" s="194" t="s">
        <v>780</v>
      </c>
      <c r="Q340" s="37" t="s">
        <v>307</v>
      </c>
    </row>
    <row r="341" spans="1:17" hidden="1">
      <c r="A341" s="3" t="s">
        <v>67</v>
      </c>
      <c r="B341" s="22" t="s">
        <v>854</v>
      </c>
      <c r="C341" s="3"/>
      <c r="D341" s="3"/>
      <c r="E341" t="s">
        <v>66</v>
      </c>
      <c r="F341" s="3" t="s">
        <v>169</v>
      </c>
      <c r="G341" s="3" t="s">
        <v>55</v>
      </c>
      <c r="H341" s="349" t="s">
        <v>855</v>
      </c>
      <c r="I341" s="350"/>
      <c r="J341" s="348"/>
      <c r="K341" s="291" t="s">
        <v>249</v>
      </c>
      <c r="L341" s="291"/>
      <c r="M341" s="291" t="s">
        <v>250</v>
      </c>
      <c r="N341" s="3"/>
      <c r="O341" s="137" t="str" cm="1">
        <f t="array" ref="O341">IFERROR(
  INDEX('Scrum Teams'!B$2:B$1010,
    MATCH(1,
      (B341='Scrum Teams'!F$2:F$1010) +
      (B341='Scrum Teams'!G$2:G$1010) +
      (B341='Scrum Teams'!H$2:H$1010) +
      (B341='Scrum Teams'!I$2:I$1010) +
      (B341='Scrum Teams'!J$2:J$1010) +
      (B341='Scrum Teams'!K$2:K$1010) +
      (B341='Scrum Teams'!L$2:L$1010) +
      (B341='Scrum Teams'!M$2:M$1010) +
      (B341='Scrum Teams'!N$2:N$1010) +
      (B341='Scrum Teams'!O$2:O$1010) +
      (B341='Scrum Teams'!P$2:P$1010) +
      (B341='Scrum Teams'!Q$2:Q$1010),
    0)
  ),
  "Not found"
)</f>
        <v>Not found</v>
      </c>
      <c r="P341" s="194" t="s">
        <v>780</v>
      </c>
      <c r="Q341" s="37" t="s">
        <v>307</v>
      </c>
    </row>
    <row r="342" spans="1:17" hidden="1">
      <c r="A342" s="3" t="s">
        <v>62</v>
      </c>
      <c r="B342" s="22" t="s">
        <v>856</v>
      </c>
      <c r="C342" s="3" t="s">
        <v>857</v>
      </c>
      <c r="D342" s="3" t="s">
        <v>857</v>
      </c>
      <c r="E342" s="3" t="s">
        <v>55</v>
      </c>
      <c r="F342" s="3" t="s">
        <v>169</v>
      </c>
      <c r="G342" s="3" t="s">
        <v>55</v>
      </c>
      <c r="H342" s="291" t="s">
        <v>692</v>
      </c>
      <c r="I342" s="291"/>
      <c r="J342" s="291"/>
      <c r="K342" s="291" t="s">
        <v>249</v>
      </c>
      <c r="L342" s="291"/>
      <c r="M342" s="291" t="s">
        <v>250</v>
      </c>
      <c r="N342" s="3"/>
      <c r="O342" s="137" t="str" cm="1">
        <f t="array" ref="O342">IFERROR(
  INDEX('Scrum Teams'!B$2:B$1010,
    MATCH(1,
      (B342='Scrum Teams'!F$2:F$1010) +
      (B342='Scrum Teams'!G$2:G$1010) +
      (B342='Scrum Teams'!H$2:H$1010) +
      (B342='Scrum Teams'!I$2:I$1010) +
      (B342='Scrum Teams'!J$2:J$1010) +
      (B342='Scrum Teams'!K$2:K$1010) +
      (B342='Scrum Teams'!L$2:L$1010) +
      (B342='Scrum Teams'!M$2:M$1010) +
      (B342='Scrum Teams'!N$2:N$1010) +
      (B342='Scrum Teams'!O$2:O$1010) +
      (B342='Scrum Teams'!P$2:P$1010) +
      (B342='Scrum Teams'!Q$2:Q$1010),
    0)
  ),
  "Not found"
)</f>
        <v>AI-Service</v>
      </c>
      <c r="P342" s="194" t="s">
        <v>858</v>
      </c>
      <c r="Q342" s="37" t="s">
        <v>307</v>
      </c>
    </row>
    <row r="343" spans="1:17" hidden="1">
      <c r="A343" s="3" t="s">
        <v>62</v>
      </c>
      <c r="B343" s="22" t="s">
        <v>859</v>
      </c>
      <c r="C343" s="3" t="s">
        <v>857</v>
      </c>
      <c r="D343" s="3" t="s">
        <v>857</v>
      </c>
      <c r="E343" s="3" t="s">
        <v>55</v>
      </c>
      <c r="F343" s="3" t="s">
        <v>169</v>
      </c>
      <c r="G343" s="3" t="s">
        <v>55</v>
      </c>
      <c r="H343" s="291" t="s">
        <v>851</v>
      </c>
      <c r="I343" s="23" t="s">
        <v>783</v>
      </c>
      <c r="J343" s="291" t="s">
        <v>783</v>
      </c>
      <c r="K343" s="291" t="s">
        <v>249</v>
      </c>
      <c r="L343" s="291"/>
      <c r="M343" s="291" t="s">
        <v>250</v>
      </c>
      <c r="N343" s="3"/>
      <c r="O343" s="137" t="str" cm="1">
        <f t="array" ref="O343">IFERROR(
  INDEX('Scrum Teams'!B$2:B$1010,
    MATCH(1,
      (B343='Scrum Teams'!F$2:F$1010) +
      (B343='Scrum Teams'!G$2:G$1010) +
      (B343='Scrum Teams'!H$2:H$1010) +
      (B343='Scrum Teams'!I$2:I$1010) +
      (B343='Scrum Teams'!J$2:J$1010) +
      (B343='Scrum Teams'!K$2:K$1010) +
      (B343='Scrum Teams'!L$2:L$1010) +
      (B343='Scrum Teams'!M$2:M$1010) +
      (B343='Scrum Teams'!N$2:N$1010) +
      (B343='Scrum Teams'!O$2:O$1010) +
      (B343='Scrum Teams'!P$2:P$1010) +
      (B343='Scrum Teams'!Q$2:Q$1010),
    0)
  ),
  "Not found"
)</f>
        <v>AI-Service</v>
      </c>
      <c r="P343" s="194" t="s">
        <v>858</v>
      </c>
      <c r="Q343" s="37" t="s">
        <v>307</v>
      </c>
    </row>
    <row r="344" spans="1:17" hidden="1">
      <c r="A344" s="3" t="s">
        <v>62</v>
      </c>
      <c r="B344" s="22" t="s">
        <v>860</v>
      </c>
      <c r="C344" s="3" t="s">
        <v>857</v>
      </c>
      <c r="D344" s="3" t="s">
        <v>857</v>
      </c>
      <c r="E344" s="3" t="s">
        <v>55</v>
      </c>
      <c r="F344" s="3" t="s">
        <v>169</v>
      </c>
      <c r="G344" s="3" t="s">
        <v>55</v>
      </c>
      <c r="H344" s="291" t="s">
        <v>244</v>
      </c>
      <c r="I344" s="291"/>
      <c r="J344" s="291"/>
      <c r="K344" s="291" t="s">
        <v>223</v>
      </c>
      <c r="L344" s="291" t="s">
        <v>224</v>
      </c>
      <c r="M344" s="291" t="s">
        <v>225</v>
      </c>
      <c r="N344" s="3"/>
      <c r="O344" s="137" t="str" cm="1">
        <f t="array" ref="O344">IFERROR(
  INDEX('Scrum Teams'!B$2:B$1010,
    MATCH(1,
      (B344='Scrum Teams'!F$2:F$1010) +
      (B344='Scrum Teams'!G$2:G$1010) +
      (B344='Scrum Teams'!H$2:H$1010) +
      (B344='Scrum Teams'!I$2:I$1010) +
      (B344='Scrum Teams'!J$2:J$1010) +
      (B344='Scrum Teams'!K$2:K$1010) +
      (B344='Scrum Teams'!L$2:L$1010) +
      (B344='Scrum Teams'!M$2:M$1010) +
      (B344='Scrum Teams'!N$2:N$1010) +
      (B344='Scrum Teams'!O$2:O$1010) +
      (B344='Scrum Teams'!P$2:P$1010) +
      (B344='Scrum Teams'!Q$2:Q$1010),
    0)
  ),
  "Not found"
)</f>
        <v>AI-Retail</v>
      </c>
      <c r="P344" s="194" t="s">
        <v>858</v>
      </c>
      <c r="Q344" s="37" t="s">
        <v>307</v>
      </c>
    </row>
    <row r="345" spans="1:17" hidden="1">
      <c r="A345" s="3" t="s">
        <v>62</v>
      </c>
      <c r="B345" s="22" t="s">
        <v>861</v>
      </c>
      <c r="C345" s="3" t="s">
        <v>857</v>
      </c>
      <c r="D345" s="3" t="s">
        <v>857</v>
      </c>
      <c r="E345" s="3" t="s">
        <v>55</v>
      </c>
      <c r="F345" s="3" t="s">
        <v>169</v>
      </c>
      <c r="G345" s="3" t="s">
        <v>55</v>
      </c>
      <c r="H345" s="291" t="s">
        <v>256</v>
      </c>
      <c r="I345" s="291"/>
      <c r="J345" s="291"/>
      <c r="K345" s="291" t="s">
        <v>223</v>
      </c>
      <c r="L345" s="291" t="s">
        <v>224</v>
      </c>
      <c r="M345" s="291" t="s">
        <v>225</v>
      </c>
      <c r="N345" s="3"/>
      <c r="O345" s="137" t="str" cm="1">
        <f t="array" ref="O345">IFERROR(
  INDEX('Scrum Teams'!B$2:B$1010,
    MATCH(1,
      (B345='Scrum Teams'!F$2:F$1010) +
      (B345='Scrum Teams'!G$2:G$1010) +
      (B345='Scrum Teams'!H$2:H$1010) +
      (B345='Scrum Teams'!I$2:I$1010) +
      (B345='Scrum Teams'!J$2:J$1010) +
      (B345='Scrum Teams'!K$2:K$1010) +
      (B345='Scrum Teams'!L$2:L$1010) +
      (B345='Scrum Teams'!M$2:M$1010) +
      (B345='Scrum Teams'!N$2:N$1010) +
      (B345='Scrum Teams'!O$2:O$1010) +
      (B345='Scrum Teams'!P$2:P$1010) +
      (B345='Scrum Teams'!Q$2:Q$1010),
    0)
  ),
  "Not found"
)</f>
        <v>AI-Retail</v>
      </c>
      <c r="P345" s="194" t="s">
        <v>858</v>
      </c>
      <c r="Q345" s="37" t="s">
        <v>307</v>
      </c>
    </row>
    <row r="346" spans="1:17" hidden="1">
      <c r="A346" s="3" t="s">
        <v>62</v>
      </c>
      <c r="B346" s="22" t="s">
        <v>862</v>
      </c>
      <c r="C346" s="3" t="s">
        <v>857</v>
      </c>
      <c r="D346" s="3" t="s">
        <v>857</v>
      </c>
      <c r="E346" s="3" t="s">
        <v>55</v>
      </c>
      <c r="F346" s="3" t="s">
        <v>169</v>
      </c>
      <c r="G346" s="3" t="s">
        <v>55</v>
      </c>
      <c r="H346" s="291" t="s">
        <v>244</v>
      </c>
      <c r="I346" s="291"/>
      <c r="J346" s="291"/>
      <c r="K346" s="291" t="s">
        <v>223</v>
      </c>
      <c r="L346" s="291" t="s">
        <v>224</v>
      </c>
      <c r="M346" s="291" t="s">
        <v>225</v>
      </c>
      <c r="N346" s="3"/>
      <c r="O346" s="137" t="str" cm="1">
        <f t="array" ref="O346">IFERROR(
  INDEX('Scrum Teams'!B$2:B$1010,
    MATCH(1,
      (B346='Scrum Teams'!F$2:F$1010) +
      (B346='Scrum Teams'!G$2:G$1010) +
      (B346='Scrum Teams'!H$2:H$1010) +
      (B346='Scrum Teams'!I$2:I$1010) +
      (B346='Scrum Teams'!J$2:J$1010) +
      (B346='Scrum Teams'!K$2:K$1010) +
      (B346='Scrum Teams'!L$2:L$1010) +
      (B346='Scrum Teams'!M$2:M$1010) +
      (B346='Scrum Teams'!N$2:N$1010) +
      (B346='Scrum Teams'!O$2:O$1010) +
      (B346='Scrum Teams'!P$2:P$1010) +
      (B346='Scrum Teams'!Q$2:Q$1010),
    0)
  ),
  "Not found"
)</f>
        <v>AI-Retail</v>
      </c>
      <c r="P346" s="194" t="s">
        <v>858</v>
      </c>
      <c r="Q346" s="37" t="s">
        <v>307</v>
      </c>
    </row>
    <row r="347" spans="1:17" hidden="1">
      <c r="A347" s="3" t="s">
        <v>62</v>
      </c>
      <c r="B347" s="22" t="s">
        <v>863</v>
      </c>
      <c r="C347" s="3" t="s">
        <v>857</v>
      </c>
      <c r="D347" s="3" t="s">
        <v>857</v>
      </c>
      <c r="E347" s="3" t="s">
        <v>55</v>
      </c>
      <c r="F347" s="3" t="s">
        <v>169</v>
      </c>
      <c r="G347" s="3" t="s">
        <v>55</v>
      </c>
      <c r="H347" s="291" t="s">
        <v>779</v>
      </c>
      <c r="I347" s="291"/>
      <c r="J347" s="291"/>
      <c r="K347" s="291" t="s">
        <v>249</v>
      </c>
      <c r="L347" s="291"/>
      <c r="M347" s="291" t="s">
        <v>250</v>
      </c>
      <c r="N347" s="3"/>
      <c r="O347" s="137" t="str" cm="1">
        <f t="array" ref="O347">IFERROR(
  INDEX('Scrum Teams'!B$2:B$1010,
    MATCH(1,
      (B347='Scrum Teams'!F$2:F$1010) +
      (B347='Scrum Teams'!G$2:G$1010) +
      (B347='Scrum Teams'!H$2:H$1010) +
      (B347='Scrum Teams'!I$2:I$1010) +
      (B347='Scrum Teams'!J$2:J$1010) +
      (B347='Scrum Teams'!K$2:K$1010) +
      (B347='Scrum Teams'!L$2:L$1010) +
      (B347='Scrum Teams'!M$2:M$1010) +
      (B347='Scrum Teams'!N$2:N$1010) +
      (B347='Scrum Teams'!O$2:O$1010) +
      (B347='Scrum Teams'!P$2:P$1010) +
      (B347='Scrum Teams'!Q$2:Q$1010),
    0)
  ),
  "Not found"
)</f>
        <v>AI-Generic</v>
      </c>
      <c r="P347" s="194" t="s">
        <v>858</v>
      </c>
      <c r="Q347" s="37" t="s">
        <v>307</v>
      </c>
    </row>
    <row r="348" spans="1:17" hidden="1">
      <c r="A348" s="3" t="s">
        <v>62</v>
      </c>
      <c r="B348" s="22" t="s">
        <v>864</v>
      </c>
      <c r="C348" s="3" t="s">
        <v>857</v>
      </c>
      <c r="D348" s="3" t="s">
        <v>857</v>
      </c>
      <c r="E348" s="3" t="s">
        <v>55</v>
      </c>
      <c r="F348" s="3" t="s">
        <v>169</v>
      </c>
      <c r="G348" s="3" t="s">
        <v>55</v>
      </c>
      <c r="H348" s="291" t="s">
        <v>779</v>
      </c>
      <c r="I348" s="291"/>
      <c r="J348" s="291"/>
      <c r="K348" s="291" t="s">
        <v>249</v>
      </c>
      <c r="L348" s="291"/>
      <c r="M348" s="291" t="s">
        <v>250</v>
      </c>
      <c r="N348" s="3"/>
      <c r="O348" s="137" t="str" cm="1">
        <f t="array" ref="O348">IFERROR(
  INDEX('Scrum Teams'!B$2:B$1010,
    MATCH(1,
      (B348='Scrum Teams'!F$2:F$1010) +
      (B348='Scrum Teams'!G$2:G$1010) +
      (B348='Scrum Teams'!H$2:H$1010) +
      (B348='Scrum Teams'!I$2:I$1010) +
      (B348='Scrum Teams'!J$2:J$1010) +
      (B348='Scrum Teams'!K$2:K$1010) +
      (B348='Scrum Teams'!L$2:L$1010) +
      (B348='Scrum Teams'!M$2:M$1010) +
      (B348='Scrum Teams'!N$2:N$1010) +
      (B348='Scrum Teams'!O$2:O$1010) +
      (B348='Scrum Teams'!P$2:P$1010) +
      (B348='Scrum Teams'!Q$2:Q$1010),
    0)
  ),
  "Not found"
)</f>
        <v>AI-Generic</v>
      </c>
      <c r="P348" s="194" t="s">
        <v>858</v>
      </c>
      <c r="Q348" s="37" t="s">
        <v>307</v>
      </c>
    </row>
    <row r="349" spans="1:17" hidden="1">
      <c r="A349" s="3" t="s">
        <v>62</v>
      </c>
      <c r="B349" s="22" t="s">
        <v>865</v>
      </c>
      <c r="C349" s="3" t="s">
        <v>857</v>
      </c>
      <c r="D349" s="3" t="s">
        <v>857</v>
      </c>
      <c r="E349" s="3" t="s">
        <v>55</v>
      </c>
      <c r="F349" s="3" t="s">
        <v>169</v>
      </c>
      <c r="G349" s="3" t="s">
        <v>55</v>
      </c>
      <c r="H349" s="291" t="s">
        <v>779</v>
      </c>
      <c r="I349" s="291"/>
      <c r="J349" s="291"/>
      <c r="K349" s="291" t="s">
        <v>249</v>
      </c>
      <c r="L349" s="291"/>
      <c r="M349" s="291" t="s">
        <v>250</v>
      </c>
      <c r="N349" s="3"/>
      <c r="O349" s="137" t="str" cm="1">
        <f t="array" ref="O349">IFERROR(
  INDEX('Scrum Teams'!B$2:B$1010,
    MATCH(1,
      (B349='Scrum Teams'!F$2:F$1010) +
      (B349='Scrum Teams'!G$2:G$1010) +
      (B349='Scrum Teams'!H$2:H$1010) +
      (B349='Scrum Teams'!I$2:I$1010) +
      (B349='Scrum Teams'!J$2:J$1010) +
      (B349='Scrum Teams'!K$2:K$1010) +
      (B349='Scrum Teams'!L$2:L$1010) +
      (B349='Scrum Teams'!M$2:M$1010) +
      (B349='Scrum Teams'!N$2:N$1010) +
      (B349='Scrum Teams'!O$2:O$1010) +
      (B349='Scrum Teams'!P$2:P$1010) +
      (B349='Scrum Teams'!Q$2:Q$1010),
    0)
  ),
  "Not found"
)</f>
        <v>AI-Generic</v>
      </c>
      <c r="P349" s="194" t="s">
        <v>858</v>
      </c>
      <c r="Q349" s="37" t="s">
        <v>307</v>
      </c>
    </row>
    <row r="350" spans="1:17" hidden="1">
      <c r="A350" s="3" t="s">
        <v>62</v>
      </c>
      <c r="B350" s="22" t="s">
        <v>866</v>
      </c>
      <c r="C350" s="3" t="s">
        <v>857</v>
      </c>
      <c r="D350" s="3" t="s">
        <v>857</v>
      </c>
      <c r="E350" s="3" t="s">
        <v>55</v>
      </c>
      <c r="F350" s="3" t="s">
        <v>169</v>
      </c>
      <c r="G350" s="3" t="s">
        <v>55</v>
      </c>
      <c r="H350" s="291" t="s">
        <v>692</v>
      </c>
      <c r="I350" s="291"/>
      <c r="J350" s="291"/>
      <c r="K350" s="291" t="s">
        <v>249</v>
      </c>
      <c r="L350" s="291"/>
      <c r="M350" s="291" t="s">
        <v>250</v>
      </c>
      <c r="N350" s="3"/>
      <c r="O350" s="137" t="str" cm="1">
        <f t="array" ref="O350">IFERROR(
  INDEX('Scrum Teams'!B$2:B$1010,
    MATCH(1,
      (B350='Scrum Teams'!F$2:F$1010) +
      (B350='Scrum Teams'!G$2:G$1010) +
      (B350='Scrum Teams'!H$2:H$1010) +
      (B350='Scrum Teams'!I$2:I$1010) +
      (B350='Scrum Teams'!J$2:J$1010) +
      (B350='Scrum Teams'!K$2:K$1010) +
      (B350='Scrum Teams'!L$2:L$1010) +
      (B350='Scrum Teams'!M$2:M$1010) +
      (B350='Scrum Teams'!N$2:N$1010) +
      (B350='Scrum Teams'!O$2:O$1010) +
      (B350='Scrum Teams'!P$2:P$1010) +
      (B350='Scrum Teams'!Q$2:Q$1010),
    0)
  ),
  "Not found"
)</f>
        <v>AI-SCP</v>
      </c>
      <c r="P350" s="194" t="s">
        <v>858</v>
      </c>
      <c r="Q350" s="37" t="s">
        <v>307</v>
      </c>
    </row>
    <row r="351" spans="1:17" hidden="1">
      <c r="A351" s="3" t="s">
        <v>62</v>
      </c>
      <c r="B351" s="22" t="s">
        <v>867</v>
      </c>
      <c r="C351" s="3" t="s">
        <v>857</v>
      </c>
      <c r="D351" s="3" t="s">
        <v>857</v>
      </c>
      <c r="E351" s="3" t="s">
        <v>55</v>
      </c>
      <c r="F351" s="3" t="s">
        <v>169</v>
      </c>
      <c r="G351" s="3" t="s">
        <v>55</v>
      </c>
      <c r="H351" s="291" t="s">
        <v>851</v>
      </c>
      <c r="I351" s="3" t="s">
        <v>783</v>
      </c>
      <c r="J351" s="291" t="s">
        <v>783</v>
      </c>
      <c r="K351" s="291" t="s">
        <v>249</v>
      </c>
      <c r="L351" s="291"/>
      <c r="M351" s="291" t="s">
        <v>250</v>
      </c>
      <c r="N351" s="3"/>
      <c r="O351" s="137" t="str" cm="1">
        <f t="array" ref="O351">IFERROR(
  INDEX('Scrum Teams'!B$2:B$1010,
    MATCH(1,
      (B351='Scrum Teams'!F$2:F$1010) +
      (B351='Scrum Teams'!G$2:G$1010) +
      (B351='Scrum Teams'!H$2:H$1010) +
      (B351='Scrum Teams'!I$2:I$1010) +
      (B351='Scrum Teams'!J$2:J$1010) +
      (B351='Scrum Teams'!K$2:K$1010) +
      (B351='Scrum Teams'!L$2:L$1010) +
      (B351='Scrum Teams'!M$2:M$1010) +
      (B351='Scrum Teams'!N$2:N$1010) +
      (B351='Scrum Teams'!O$2:O$1010) +
      (B351='Scrum Teams'!P$2:P$1010) +
      (B351='Scrum Teams'!Q$2:Q$1010),
    0)
  ),
  "Not found"
)</f>
        <v>AI-Service</v>
      </c>
      <c r="P351" s="194" t="s">
        <v>858</v>
      </c>
      <c r="Q351" s="37" t="s">
        <v>307</v>
      </c>
    </row>
    <row r="352" spans="1:17" hidden="1">
      <c r="A352" s="3" t="s">
        <v>62</v>
      </c>
      <c r="B352" s="22" t="s">
        <v>868</v>
      </c>
      <c r="C352" s="3" t="s">
        <v>857</v>
      </c>
      <c r="D352" s="3" t="s">
        <v>857</v>
      </c>
      <c r="E352" s="3" t="s">
        <v>55</v>
      </c>
      <c r="F352" s="3" t="s">
        <v>169</v>
      </c>
      <c r="G352" s="3" t="s">
        <v>55</v>
      </c>
      <c r="H352" s="291" t="s">
        <v>855</v>
      </c>
      <c r="I352" s="291"/>
      <c r="J352" s="291"/>
      <c r="K352" s="291" t="s">
        <v>249</v>
      </c>
      <c r="L352" s="291"/>
      <c r="M352" s="291" t="s">
        <v>250</v>
      </c>
      <c r="N352" s="3"/>
      <c r="O352" s="137" t="str" cm="1">
        <f t="array" ref="O352">IFERROR(
  INDEX('Scrum Teams'!B$2:B$1010,
    MATCH(1,
      (B352='Scrum Teams'!F$2:F$1010) +
      (B352='Scrum Teams'!G$2:G$1010) +
      (B352='Scrum Teams'!H$2:H$1010) +
      (B352='Scrum Teams'!I$2:I$1010) +
      (B352='Scrum Teams'!J$2:J$1010) +
      (B352='Scrum Teams'!K$2:K$1010) +
      (B352='Scrum Teams'!L$2:L$1010) +
      (B352='Scrum Teams'!M$2:M$1010) +
      (B352='Scrum Teams'!N$2:N$1010) +
      (B352='Scrum Teams'!O$2:O$1010) +
      (B352='Scrum Teams'!P$2:P$1010) +
      (B352='Scrum Teams'!Q$2:Q$1010),
    0)
  ),
  "Not found"
)</f>
        <v>Not found</v>
      </c>
      <c r="P352" s="194" t="s">
        <v>858</v>
      </c>
      <c r="Q352" s="37" t="s">
        <v>307</v>
      </c>
    </row>
    <row r="353" spans="1:17" hidden="1">
      <c r="A353" s="3" t="s">
        <v>62</v>
      </c>
      <c r="B353" s="22" t="s">
        <v>869</v>
      </c>
      <c r="C353" s="3" t="s">
        <v>857</v>
      </c>
      <c r="D353" s="3" t="s">
        <v>857</v>
      </c>
      <c r="E353" s="3" t="s">
        <v>55</v>
      </c>
      <c r="F353" s="3" t="s">
        <v>169</v>
      </c>
      <c r="G353" s="3" t="s">
        <v>55</v>
      </c>
      <c r="H353" s="291" t="s">
        <v>692</v>
      </c>
      <c r="I353" s="291"/>
      <c r="J353" s="291"/>
      <c r="K353" s="291" t="s">
        <v>249</v>
      </c>
      <c r="L353" s="291"/>
      <c r="M353" s="291" t="s">
        <v>250</v>
      </c>
      <c r="N353" s="3"/>
      <c r="O353" s="137" t="str" cm="1">
        <f t="array" ref="O353">IFERROR(
  INDEX('Scrum Teams'!B$2:B$1010,
    MATCH(1,
      (B353='Scrum Teams'!F$2:F$1010) +
      (B353='Scrum Teams'!G$2:G$1010) +
      (B353='Scrum Teams'!H$2:H$1010) +
      (B353='Scrum Teams'!I$2:I$1010) +
      (B353='Scrum Teams'!J$2:J$1010) +
      (B353='Scrum Teams'!K$2:K$1010) +
      (B353='Scrum Teams'!L$2:L$1010) +
      (B353='Scrum Teams'!M$2:M$1010) +
      (B353='Scrum Teams'!N$2:N$1010) +
      (B353='Scrum Teams'!O$2:O$1010) +
      (B353='Scrum Teams'!P$2:P$1010) +
      (B353='Scrum Teams'!Q$2:Q$1010),
    0)
  ),
  "Not found"
)</f>
        <v>Not found</v>
      </c>
      <c r="P353" s="194" t="s">
        <v>858</v>
      </c>
      <c r="Q353" s="37" t="s">
        <v>307</v>
      </c>
    </row>
    <row r="354" spans="1:17" hidden="1">
      <c r="A354" s="3" t="s">
        <v>72</v>
      </c>
      <c r="B354" s="22" t="s">
        <v>72</v>
      </c>
      <c r="C354" s="3"/>
      <c r="D354" s="3"/>
      <c r="E354" s="3" t="s">
        <v>69</v>
      </c>
      <c r="F354" s="3"/>
      <c r="G354" s="3" t="s">
        <v>69</v>
      </c>
      <c r="H354" s="291" t="s">
        <v>296</v>
      </c>
      <c r="I354" s="291" t="s">
        <v>296</v>
      </c>
      <c r="J354" s="291" t="s">
        <v>296</v>
      </c>
      <c r="K354" s="291" t="s">
        <v>296</v>
      </c>
      <c r="L354" s="291" t="s">
        <v>296</v>
      </c>
      <c r="M354" s="291" t="s">
        <v>296</v>
      </c>
      <c r="N354" s="3"/>
      <c r="O354" s="137" t="str" cm="1">
        <f t="array" ref="O354">IFERROR(
  INDEX('Scrum Teams'!B$2:B$1010,
    MATCH(1,
      (B354='Scrum Teams'!F$2:F$1010) +
      (B354='Scrum Teams'!G$2:G$1010) +
      (B354='Scrum Teams'!H$2:H$1010) +
      (B354='Scrum Teams'!I$2:I$1010) +
      (B354='Scrum Teams'!J$2:J$1010) +
      (B354='Scrum Teams'!K$2:K$1010) +
      (B354='Scrum Teams'!L$2:L$1010) +
      (B354='Scrum Teams'!M$2:M$1010) +
      (B354='Scrum Teams'!N$2:N$1010) +
      (B354='Scrum Teams'!O$2:O$1010) +
      (B354='Scrum Teams'!P$2:P$1010) +
      (B354='Scrum Teams'!Q$2:Q$1010),
    0)
  ),
  "Not found"
)</f>
        <v>Not found</v>
      </c>
      <c r="P354" s="194"/>
      <c r="Q354" s="37"/>
    </row>
    <row r="355" spans="1:17" hidden="1">
      <c r="A355" s="3" t="s">
        <v>26</v>
      </c>
      <c r="B355" s="22" t="s">
        <v>870</v>
      </c>
      <c r="C355" s="241" t="s">
        <v>699</v>
      </c>
      <c r="D355" s="241" t="s">
        <v>699</v>
      </c>
      <c r="E355" s="3" t="s">
        <v>24</v>
      </c>
      <c r="F355" s="3" t="s">
        <v>24</v>
      </c>
      <c r="G355" s="3" t="s">
        <v>23</v>
      </c>
      <c r="H355" s="251" t="s">
        <v>871</v>
      </c>
      <c r="I355" s="252" t="s">
        <v>872</v>
      </c>
      <c r="J355" s="291"/>
      <c r="K355" s="291" t="s">
        <v>249</v>
      </c>
      <c r="L355" s="291"/>
      <c r="M355" s="291" t="s">
        <v>250</v>
      </c>
      <c r="N355" s="3" t="s">
        <v>873</v>
      </c>
      <c r="O355" s="137" t="str" cm="1">
        <f t="array" ref="O355">IFERROR(
  INDEX('Scrum Teams'!B$2:B$1010,
    MATCH(1,
      (B355='Scrum Teams'!F$2:F$1010) +
      (B355='Scrum Teams'!G$2:G$1010) +
      (B355='Scrum Teams'!H$2:H$1010) +
      (B355='Scrum Teams'!I$2:I$1010) +
      (B355='Scrum Teams'!J$2:J$1010) +
      (B355='Scrum Teams'!K$2:K$1010) +
      (B355='Scrum Teams'!L$2:L$1010) +
      (B355='Scrum Teams'!M$2:M$1010) +
      (B355='Scrum Teams'!N$2:N$1010) +
      (B355='Scrum Teams'!O$2:O$1010) +
      (B355='Scrum Teams'!P$2:P$1010) +
      (B355='Scrum Teams'!Q$2:Q$1010),
    0)
  ),
  "Not found"
)</f>
        <v>T1 Scrum</v>
      </c>
      <c r="P355" s="194" t="s">
        <v>874</v>
      </c>
      <c r="Q355" s="37" t="s">
        <v>275</v>
      </c>
    </row>
    <row r="356" spans="1:17" hidden="1">
      <c r="A356" s="3" t="s">
        <v>26</v>
      </c>
      <c r="B356" s="22" t="s">
        <v>875</v>
      </c>
      <c r="C356" s="241" t="s">
        <v>699</v>
      </c>
      <c r="D356" s="241" t="s">
        <v>699</v>
      </c>
      <c r="E356" s="3" t="s">
        <v>24</v>
      </c>
      <c r="F356" s="3" t="s">
        <v>24</v>
      </c>
      <c r="G356" s="3" t="s">
        <v>23</v>
      </c>
      <c r="H356" s="249" t="s">
        <v>871</v>
      </c>
      <c r="I356" s="253" t="s">
        <v>872</v>
      </c>
      <c r="J356" s="291"/>
      <c r="K356" s="291" t="s">
        <v>249</v>
      </c>
      <c r="L356" s="291"/>
      <c r="M356" s="291" t="s">
        <v>250</v>
      </c>
      <c r="N356" s="3" t="s">
        <v>873</v>
      </c>
      <c r="O356" s="137" t="str" cm="1">
        <f t="array" ref="O356">IFERROR(
  INDEX('Scrum Teams'!B$2:B$1010,
    MATCH(1,
      (B356='Scrum Teams'!F$2:F$1010) +
      (B356='Scrum Teams'!G$2:G$1010) +
      (B356='Scrum Teams'!H$2:H$1010) +
      (B356='Scrum Teams'!I$2:I$1010) +
      (B356='Scrum Teams'!J$2:J$1010) +
      (B356='Scrum Teams'!K$2:K$1010) +
      (B356='Scrum Teams'!L$2:L$1010) +
      (B356='Scrum Teams'!M$2:M$1010) +
      (B356='Scrum Teams'!N$2:N$1010) +
      (B356='Scrum Teams'!O$2:O$1010) +
      (B356='Scrum Teams'!P$2:P$1010) +
      (B356='Scrum Teams'!Q$2:Q$1010),
    0)
  ),
  "Not found"
)</f>
        <v>T1 Scrum</v>
      </c>
      <c r="P356" s="194" t="s">
        <v>874</v>
      </c>
      <c r="Q356" s="37" t="s">
        <v>275</v>
      </c>
    </row>
    <row r="357" spans="1:17" hidden="1">
      <c r="A357" s="3" t="s">
        <v>26</v>
      </c>
      <c r="B357" s="22" t="s">
        <v>876</v>
      </c>
      <c r="C357" s="241" t="s">
        <v>699</v>
      </c>
      <c r="D357" s="241" t="s">
        <v>699</v>
      </c>
      <c r="E357" s="3" t="s">
        <v>24</v>
      </c>
      <c r="F357" s="3" t="s">
        <v>24</v>
      </c>
      <c r="G357" s="3" t="s">
        <v>23</v>
      </c>
      <c r="H357" s="249" t="s">
        <v>871</v>
      </c>
      <c r="I357" s="253" t="s">
        <v>872</v>
      </c>
      <c r="J357" s="291"/>
      <c r="K357" s="291" t="s">
        <v>249</v>
      </c>
      <c r="L357" s="291"/>
      <c r="M357" s="291" t="s">
        <v>250</v>
      </c>
      <c r="N357" s="3" t="s">
        <v>873</v>
      </c>
      <c r="O357" s="137" t="str" cm="1">
        <f t="array" ref="O357">IFERROR(
  INDEX('Scrum Teams'!B$2:B$1010,
    MATCH(1,
      (B357='Scrum Teams'!F$2:F$1010) +
      (B357='Scrum Teams'!G$2:G$1010) +
      (B357='Scrum Teams'!H$2:H$1010) +
      (B357='Scrum Teams'!I$2:I$1010) +
      (B357='Scrum Teams'!J$2:J$1010) +
      (B357='Scrum Teams'!K$2:K$1010) +
      (B357='Scrum Teams'!L$2:L$1010) +
      (B357='Scrum Teams'!M$2:M$1010) +
      (B357='Scrum Teams'!N$2:N$1010) +
      (B357='Scrum Teams'!O$2:O$1010) +
      (B357='Scrum Teams'!P$2:P$1010) +
      (B357='Scrum Teams'!Q$2:Q$1010),
    0)
  ),
  "Not found"
)</f>
        <v>T1 Scrum</v>
      </c>
      <c r="P357" s="194" t="s">
        <v>874</v>
      </c>
      <c r="Q357" s="37" t="s">
        <v>275</v>
      </c>
    </row>
    <row r="358" spans="1:17" hidden="1">
      <c r="A358" s="3" t="s">
        <v>32</v>
      </c>
      <c r="B358" s="22" t="s">
        <v>877</v>
      </c>
      <c r="C358" s="3" t="s">
        <v>580</v>
      </c>
      <c r="D358" s="3"/>
      <c r="E358" s="3" t="s">
        <v>31</v>
      </c>
      <c r="F358" s="3"/>
      <c r="G358" s="3" t="s">
        <v>30</v>
      </c>
      <c r="H358" s="291" t="s">
        <v>878</v>
      </c>
      <c r="I358" s="239" t="s">
        <v>582</v>
      </c>
      <c r="J358" s="290" t="s">
        <v>582</v>
      </c>
      <c r="K358" s="290"/>
      <c r="L358" s="290"/>
      <c r="M358" s="290" t="s">
        <v>30</v>
      </c>
      <c r="N358" s="3" t="s">
        <v>879</v>
      </c>
      <c r="O358" s="137" t="str" cm="1">
        <f t="array" ref="O358">IFERROR(
  INDEX('Scrum Teams'!B$2:B$1010,
    MATCH(1,
      (B358='Scrum Teams'!F$2:F$1010) +
      (B358='Scrum Teams'!G$2:G$1010) +
      (B358='Scrum Teams'!H$2:H$1010) +
      (B358='Scrum Teams'!I$2:I$1010) +
      (B358='Scrum Teams'!J$2:J$1010) +
      (B358='Scrum Teams'!K$2:K$1010) +
      (B358='Scrum Teams'!L$2:L$1010) +
      (B358='Scrum Teams'!M$2:M$1010) +
      (B358='Scrum Teams'!N$2:N$1010) +
      (B358='Scrum Teams'!O$2:O$1010) +
      (B358='Scrum Teams'!P$2:P$1010) +
      (B358='Scrum Teams'!Q$2:Q$1010),
    0)
  ),
  "Not found"
)</f>
        <v>AEP Core</v>
      </c>
      <c r="P358" s="194" t="s">
        <v>880</v>
      </c>
      <c r="Q358" s="37" t="s">
        <v>664</v>
      </c>
    </row>
    <row r="359" spans="1:17" hidden="1">
      <c r="A359" s="3" t="s">
        <v>32</v>
      </c>
      <c r="B359" s="22" t="s">
        <v>881</v>
      </c>
      <c r="C359" s="3" t="s">
        <v>580</v>
      </c>
      <c r="D359" s="3"/>
      <c r="E359" s="3" t="s">
        <v>31</v>
      </c>
      <c r="F359" s="3"/>
      <c r="G359" s="3" t="s">
        <v>30</v>
      </c>
      <c r="H359" s="290" t="s">
        <v>878</v>
      </c>
      <c r="I359" s="290" t="s">
        <v>582</v>
      </c>
      <c r="J359" s="290" t="s">
        <v>582</v>
      </c>
      <c r="K359" s="290"/>
      <c r="L359" s="290"/>
      <c r="M359" s="290" t="s">
        <v>30</v>
      </c>
      <c r="N359" s="3" t="s">
        <v>879</v>
      </c>
      <c r="O359" s="137" t="str" cm="1">
        <f t="array" ref="O359">IFERROR(
  INDEX('Scrum Teams'!B$2:B$1010,
    MATCH(1,
      (B359='Scrum Teams'!F$2:F$1010) +
      (B359='Scrum Teams'!G$2:G$1010) +
      (B359='Scrum Teams'!H$2:H$1010) +
      (B359='Scrum Teams'!I$2:I$1010) +
      (B359='Scrum Teams'!J$2:J$1010) +
      (B359='Scrum Teams'!K$2:K$1010) +
      (B359='Scrum Teams'!L$2:L$1010) +
      (B359='Scrum Teams'!M$2:M$1010) +
      (B359='Scrum Teams'!N$2:N$1010) +
      (B359='Scrum Teams'!O$2:O$1010) +
      (B359='Scrum Teams'!P$2:P$1010) +
      (B359='Scrum Teams'!Q$2:Q$1010),
    0)
  ),
  "Not found"
)</f>
        <v>AEP Core</v>
      </c>
      <c r="P359" s="194" t="s">
        <v>880</v>
      </c>
      <c r="Q359" s="37" t="s">
        <v>664</v>
      </c>
    </row>
    <row r="360" spans="1:17" hidden="1">
      <c r="A360" s="3" t="s">
        <v>32</v>
      </c>
      <c r="B360" s="22" t="s">
        <v>882</v>
      </c>
      <c r="C360" s="3" t="s">
        <v>580</v>
      </c>
      <c r="D360" s="3"/>
      <c r="E360" s="3" t="s">
        <v>31</v>
      </c>
      <c r="F360" s="3"/>
      <c r="G360" s="3" t="s">
        <v>30</v>
      </c>
      <c r="H360" s="290" t="s">
        <v>883</v>
      </c>
      <c r="I360" s="290" t="s">
        <v>582</v>
      </c>
      <c r="J360" s="290" t="s">
        <v>582</v>
      </c>
      <c r="K360" s="290"/>
      <c r="L360" s="290"/>
      <c r="M360" s="290" t="s">
        <v>30</v>
      </c>
      <c r="N360" s="3" t="s">
        <v>879</v>
      </c>
      <c r="O360" s="137" t="str" cm="1">
        <f t="array" ref="O360">IFERROR(
  INDEX('Scrum Teams'!B$2:B$1010,
    MATCH(1,
      (B360='Scrum Teams'!F$2:F$1010) +
      (B360='Scrum Teams'!G$2:G$1010) +
      (B360='Scrum Teams'!H$2:H$1010) +
      (B360='Scrum Teams'!I$2:I$1010) +
      (B360='Scrum Teams'!J$2:J$1010) +
      (B360='Scrum Teams'!K$2:K$1010) +
      (B360='Scrum Teams'!L$2:L$1010) +
      (B360='Scrum Teams'!M$2:M$1010) +
      (B360='Scrum Teams'!N$2:N$1010) +
      (B360='Scrum Teams'!O$2:O$1010) +
      (B360='Scrum Teams'!P$2:P$1010) +
      (B360='Scrum Teams'!Q$2:Q$1010),
    0)
  ),
  "Not found"
)</f>
        <v>AEP Retail</v>
      </c>
      <c r="P360" s="194" t="s">
        <v>880</v>
      </c>
      <c r="Q360" s="37" t="s">
        <v>664</v>
      </c>
    </row>
    <row r="361" spans="1:17" hidden="1">
      <c r="A361" s="3" t="s">
        <v>32</v>
      </c>
      <c r="B361" s="22" t="s">
        <v>884</v>
      </c>
      <c r="C361" s="3" t="s">
        <v>580</v>
      </c>
      <c r="D361" s="3"/>
      <c r="E361" s="3" t="s">
        <v>31</v>
      </c>
      <c r="F361" s="3"/>
      <c r="G361" s="3" t="s">
        <v>30</v>
      </c>
      <c r="H361" s="290" t="s">
        <v>883</v>
      </c>
      <c r="I361" s="290" t="s">
        <v>582</v>
      </c>
      <c r="J361" s="290" t="s">
        <v>582</v>
      </c>
      <c r="K361" s="290"/>
      <c r="L361" s="290"/>
      <c r="M361" s="290" t="s">
        <v>30</v>
      </c>
      <c r="N361" s="3" t="s">
        <v>879</v>
      </c>
      <c r="O361" s="137" t="str" cm="1">
        <f t="array" ref="O361">IFERROR(
  INDEX('Scrum Teams'!B$2:B$1010,
    MATCH(1,
      (B361='Scrum Teams'!F$2:F$1010) +
      (B361='Scrum Teams'!G$2:G$1010) +
      (B361='Scrum Teams'!H$2:H$1010) +
      (B361='Scrum Teams'!I$2:I$1010) +
      (B361='Scrum Teams'!J$2:J$1010) +
      (B361='Scrum Teams'!K$2:K$1010) +
      (B361='Scrum Teams'!L$2:L$1010) +
      (B361='Scrum Teams'!M$2:M$1010) +
      (B361='Scrum Teams'!N$2:N$1010) +
      (B361='Scrum Teams'!O$2:O$1010) +
      (B361='Scrum Teams'!P$2:P$1010) +
      (B361='Scrum Teams'!Q$2:Q$1010),
    0)
  ),
  "Not found"
)</f>
        <v>Not found</v>
      </c>
      <c r="P361" s="194" t="s">
        <v>880</v>
      </c>
      <c r="Q361" s="37" t="s">
        <v>664</v>
      </c>
    </row>
    <row r="362" spans="1:17" hidden="1">
      <c r="A362" s="3" t="s">
        <v>32</v>
      </c>
      <c r="B362" s="22" t="s">
        <v>885</v>
      </c>
      <c r="C362" s="3" t="s">
        <v>580</v>
      </c>
      <c r="D362" s="3"/>
      <c r="E362" s="3" t="s">
        <v>31</v>
      </c>
      <c r="F362" s="3"/>
      <c r="G362" s="3" t="s">
        <v>30</v>
      </c>
      <c r="H362" s="290" t="s">
        <v>886</v>
      </c>
      <c r="I362" s="290" t="s">
        <v>582</v>
      </c>
      <c r="J362" s="290" t="s">
        <v>582</v>
      </c>
      <c r="K362" s="290"/>
      <c r="L362" s="290"/>
      <c r="M362" s="290" t="s">
        <v>30</v>
      </c>
      <c r="N362" s="3" t="s">
        <v>879</v>
      </c>
      <c r="O362" s="137" t="str" cm="1">
        <f t="array" ref="O362">IFERROR(
  INDEX('Scrum Teams'!B$2:B$1010,
    MATCH(1,
      (B362='Scrum Teams'!F$2:F$1010) +
      (B362='Scrum Teams'!G$2:G$1010) +
      (B362='Scrum Teams'!H$2:H$1010) +
      (B362='Scrum Teams'!I$2:I$1010) +
      (B362='Scrum Teams'!J$2:J$1010) +
      (B362='Scrum Teams'!K$2:K$1010) +
      (B362='Scrum Teams'!L$2:L$1010) +
      (B362='Scrum Teams'!M$2:M$1010) +
      (B362='Scrum Teams'!N$2:N$1010) +
      (B362='Scrum Teams'!O$2:O$1010) +
      (B362='Scrum Teams'!P$2:P$1010) +
      (B362='Scrum Teams'!Q$2:Q$1010),
    0)
  ),
  "Not found"
)</f>
        <v>AEP FnI</v>
      </c>
      <c r="P362" s="194" t="s">
        <v>880</v>
      </c>
      <c r="Q362" s="37" t="s">
        <v>664</v>
      </c>
    </row>
    <row r="363" spans="1:17" hidden="1">
      <c r="A363" s="3" t="s">
        <v>32</v>
      </c>
      <c r="B363" s="22" t="s">
        <v>887</v>
      </c>
      <c r="C363" s="3" t="s">
        <v>580</v>
      </c>
      <c r="D363" s="3"/>
      <c r="E363" s="3" t="s">
        <v>31</v>
      </c>
      <c r="F363" s="3"/>
      <c r="G363" s="3" t="s">
        <v>30</v>
      </c>
      <c r="H363" s="290" t="s">
        <v>886</v>
      </c>
      <c r="I363" s="290" t="s">
        <v>582</v>
      </c>
      <c r="J363" s="290" t="s">
        <v>582</v>
      </c>
      <c r="K363" s="290"/>
      <c r="L363" s="290"/>
      <c r="M363" s="290" t="s">
        <v>30</v>
      </c>
      <c r="N363" s="3" t="s">
        <v>879</v>
      </c>
      <c r="O363" s="137" t="str" cm="1">
        <f t="array" ref="O363">IFERROR(
  INDEX('Scrum Teams'!B$2:B$1010,
    MATCH(1,
      (B363='Scrum Teams'!F$2:F$1010) +
      (B363='Scrum Teams'!G$2:G$1010) +
      (B363='Scrum Teams'!H$2:H$1010) +
      (B363='Scrum Teams'!I$2:I$1010) +
      (B363='Scrum Teams'!J$2:J$1010) +
      (B363='Scrum Teams'!K$2:K$1010) +
      (B363='Scrum Teams'!L$2:L$1010) +
      (B363='Scrum Teams'!M$2:M$1010) +
      (B363='Scrum Teams'!N$2:N$1010) +
      (B363='Scrum Teams'!O$2:O$1010) +
      (B363='Scrum Teams'!P$2:P$1010) +
      (B363='Scrum Teams'!Q$2:Q$1010),
    0)
  ),
  "Not found"
)</f>
        <v>AEP Retail</v>
      </c>
      <c r="P363" s="194" t="s">
        <v>880</v>
      </c>
      <c r="Q363" s="37" t="s">
        <v>664</v>
      </c>
    </row>
    <row r="364" spans="1:17" hidden="1">
      <c r="A364" s="3" t="s">
        <v>32</v>
      </c>
      <c r="B364" s="22" t="s">
        <v>888</v>
      </c>
      <c r="C364" s="3" t="s">
        <v>580</v>
      </c>
      <c r="D364" s="3"/>
      <c r="E364" s="3" t="s">
        <v>31</v>
      </c>
      <c r="F364" s="3"/>
      <c r="G364" s="3" t="s">
        <v>30</v>
      </c>
      <c r="H364" s="290" t="s">
        <v>878</v>
      </c>
      <c r="I364" s="290" t="s">
        <v>582</v>
      </c>
      <c r="J364" s="290" t="s">
        <v>582</v>
      </c>
      <c r="K364" s="290"/>
      <c r="L364" s="290"/>
      <c r="M364" s="290" t="s">
        <v>30</v>
      </c>
      <c r="N364" s="3" t="s">
        <v>879</v>
      </c>
      <c r="O364" s="137" t="str" cm="1">
        <f t="array" ref="O364">IFERROR(
  INDEX('Scrum Teams'!B$2:B$1010,
    MATCH(1,
      (B364='Scrum Teams'!F$2:F$1010) +
      (B364='Scrum Teams'!G$2:G$1010) +
      (B364='Scrum Teams'!H$2:H$1010) +
      (B364='Scrum Teams'!I$2:I$1010) +
      (B364='Scrum Teams'!J$2:J$1010) +
      (B364='Scrum Teams'!K$2:K$1010) +
      (B364='Scrum Teams'!L$2:L$1010) +
      (B364='Scrum Teams'!M$2:M$1010) +
      (B364='Scrum Teams'!N$2:N$1010) +
      (B364='Scrum Teams'!O$2:O$1010) +
      (B364='Scrum Teams'!P$2:P$1010) +
      (B364='Scrum Teams'!Q$2:Q$1010),
    0)
  ),
  "Not found"
)</f>
        <v>AEP Checkout</v>
      </c>
      <c r="P364" s="194" t="s">
        <v>880</v>
      </c>
      <c r="Q364" s="37" t="s">
        <v>664</v>
      </c>
    </row>
    <row r="365" spans="1:17" hidden="1">
      <c r="A365" s="3" t="s">
        <v>32</v>
      </c>
      <c r="B365" s="22" t="s">
        <v>889</v>
      </c>
      <c r="C365" s="3" t="s">
        <v>812</v>
      </c>
      <c r="D365" s="3"/>
      <c r="E365" s="3" t="s">
        <v>31</v>
      </c>
      <c r="F365" s="3"/>
      <c r="G365" s="3" t="s">
        <v>30</v>
      </c>
      <c r="H365" s="290" t="s">
        <v>878</v>
      </c>
      <c r="I365" s="290" t="s">
        <v>582</v>
      </c>
      <c r="J365" s="290" t="s">
        <v>582</v>
      </c>
      <c r="K365" s="290"/>
      <c r="L365" s="290"/>
      <c r="M365" s="290" t="s">
        <v>30</v>
      </c>
      <c r="N365" s="3" t="s">
        <v>879</v>
      </c>
      <c r="O365" s="137" t="str" cm="1">
        <f t="array" ref="O365">IFERROR(
  INDEX('Scrum Teams'!B$2:B$1010,
    MATCH(1,
      (B365='Scrum Teams'!F$2:F$1010) +
      (B365='Scrum Teams'!G$2:G$1010) +
      (B365='Scrum Teams'!H$2:H$1010) +
      (B365='Scrum Teams'!I$2:I$1010) +
      (B365='Scrum Teams'!J$2:J$1010) +
      (B365='Scrum Teams'!K$2:K$1010) +
      (B365='Scrum Teams'!L$2:L$1010) +
      (B365='Scrum Teams'!M$2:M$1010) +
      (B365='Scrum Teams'!N$2:N$1010) +
      (B365='Scrum Teams'!O$2:O$1010) +
      (B365='Scrum Teams'!P$2:P$1010) +
      (B365='Scrum Teams'!Q$2:Q$1010),
    0)
  ),
  "Not found"
)</f>
        <v>AEP Chat</v>
      </c>
      <c r="P365" s="194" t="s">
        <v>880</v>
      </c>
      <c r="Q365" s="37" t="s">
        <v>664</v>
      </c>
    </row>
    <row r="366" spans="1:17" hidden="1">
      <c r="A366" s="3" t="s">
        <v>32</v>
      </c>
      <c r="B366" s="22" t="s">
        <v>890</v>
      </c>
      <c r="C366" s="3" t="s">
        <v>580</v>
      </c>
      <c r="D366" s="3"/>
      <c r="E366" s="3" t="s">
        <v>31</v>
      </c>
      <c r="F366" s="3"/>
      <c r="G366" s="3" t="s">
        <v>30</v>
      </c>
      <c r="H366" s="290" t="s">
        <v>886</v>
      </c>
      <c r="I366" s="290" t="s">
        <v>582</v>
      </c>
      <c r="J366" s="290" t="s">
        <v>582</v>
      </c>
      <c r="K366" s="290"/>
      <c r="L366" s="290"/>
      <c r="M366" s="290" t="s">
        <v>30</v>
      </c>
      <c r="N366" s="3" t="s">
        <v>879</v>
      </c>
      <c r="O366" s="137" t="str" cm="1">
        <f t="array" ref="O366">IFERROR(
  INDEX('Scrum Teams'!B$2:B$1010,
    MATCH(1,
      (B366='Scrum Teams'!F$2:F$1010) +
      (B366='Scrum Teams'!G$2:G$1010) +
      (B366='Scrum Teams'!H$2:H$1010) +
      (B366='Scrum Teams'!I$2:I$1010) +
      (B366='Scrum Teams'!J$2:J$1010) +
      (B366='Scrum Teams'!K$2:K$1010) +
      (B366='Scrum Teams'!L$2:L$1010) +
      (B366='Scrum Teams'!M$2:M$1010) +
      (B366='Scrum Teams'!N$2:N$1010) +
      (B366='Scrum Teams'!O$2:O$1010) +
      (B366='Scrum Teams'!P$2:P$1010) +
      (B366='Scrum Teams'!Q$2:Q$1010),
    0)
  ),
  "Not found"
)</f>
        <v>Not found</v>
      </c>
      <c r="P366" s="194" t="s">
        <v>880</v>
      </c>
      <c r="Q366" s="37" t="s">
        <v>664</v>
      </c>
    </row>
    <row r="367" spans="1:17" hidden="1">
      <c r="A367" s="3" t="s">
        <v>32</v>
      </c>
      <c r="B367" s="22" t="s">
        <v>891</v>
      </c>
      <c r="C367" s="3" t="s">
        <v>580</v>
      </c>
      <c r="D367" s="3"/>
      <c r="E367" s="3" t="s">
        <v>31</v>
      </c>
      <c r="F367" s="3"/>
      <c r="G367" s="3" t="s">
        <v>30</v>
      </c>
      <c r="H367" s="290" t="s">
        <v>886</v>
      </c>
      <c r="I367" s="290" t="s">
        <v>582</v>
      </c>
      <c r="J367" s="290" t="s">
        <v>582</v>
      </c>
      <c r="K367" s="290"/>
      <c r="L367" s="290"/>
      <c r="M367" s="290" t="s">
        <v>30</v>
      </c>
      <c r="N367" s="3" t="s">
        <v>879</v>
      </c>
      <c r="O367" s="137" t="str" cm="1">
        <f t="array" ref="O367">IFERROR(
  INDEX('Scrum Teams'!B$2:B$1010,
    MATCH(1,
      (B367='Scrum Teams'!F$2:F$1010) +
      (B367='Scrum Teams'!G$2:G$1010) +
      (B367='Scrum Teams'!H$2:H$1010) +
      (B367='Scrum Teams'!I$2:I$1010) +
      (B367='Scrum Teams'!J$2:J$1010) +
      (B367='Scrum Teams'!K$2:K$1010) +
      (B367='Scrum Teams'!L$2:L$1010) +
      (B367='Scrum Teams'!M$2:M$1010) +
      (B367='Scrum Teams'!N$2:N$1010) +
      (B367='Scrum Teams'!O$2:O$1010) +
      (B367='Scrum Teams'!P$2:P$1010) +
      (B367='Scrum Teams'!Q$2:Q$1010),
    0)
  ),
  "Not found"
)</f>
        <v>Not found</v>
      </c>
      <c r="P367" s="194" t="s">
        <v>880</v>
      </c>
      <c r="Q367" s="37" t="s">
        <v>664</v>
      </c>
    </row>
    <row r="368" spans="1:17" hidden="1">
      <c r="A368" s="3" t="s">
        <v>32</v>
      </c>
      <c r="B368" s="22" t="s">
        <v>892</v>
      </c>
      <c r="C368" s="3" t="s">
        <v>580</v>
      </c>
      <c r="D368" s="3"/>
      <c r="E368" s="3" t="s">
        <v>31</v>
      </c>
      <c r="F368" s="3"/>
      <c r="G368" s="3" t="s">
        <v>30</v>
      </c>
      <c r="H368" s="290" t="s">
        <v>883</v>
      </c>
      <c r="I368" s="290" t="s">
        <v>582</v>
      </c>
      <c r="J368" s="290" t="s">
        <v>582</v>
      </c>
      <c r="K368" s="290"/>
      <c r="L368" s="290"/>
      <c r="M368" s="290" t="s">
        <v>30</v>
      </c>
      <c r="N368" s="3" t="s">
        <v>879</v>
      </c>
      <c r="O368" s="137" t="str" cm="1">
        <f t="array" ref="O368">IFERROR(
  INDEX('Scrum Teams'!B$2:B$1010,
    MATCH(1,
      (B368='Scrum Teams'!F$2:F$1010) +
      (B368='Scrum Teams'!G$2:G$1010) +
      (B368='Scrum Teams'!H$2:H$1010) +
      (B368='Scrum Teams'!I$2:I$1010) +
      (B368='Scrum Teams'!J$2:J$1010) +
      (B368='Scrum Teams'!K$2:K$1010) +
      (B368='Scrum Teams'!L$2:L$1010) +
      (B368='Scrum Teams'!M$2:M$1010) +
      (B368='Scrum Teams'!N$2:N$1010) +
      (B368='Scrum Teams'!O$2:O$1010) +
      (B368='Scrum Teams'!P$2:P$1010) +
      (B368='Scrum Teams'!Q$2:Q$1010),
    0)
  ),
  "Not found"
)</f>
        <v>Not found</v>
      </c>
      <c r="P368" s="194" t="s">
        <v>880</v>
      </c>
      <c r="Q368" s="37" t="s">
        <v>664</v>
      </c>
    </row>
    <row r="369" spans="1:17" hidden="1">
      <c r="A369" s="3" t="s">
        <v>32</v>
      </c>
      <c r="B369" s="22" t="s">
        <v>893</v>
      </c>
      <c r="C369" s="3"/>
      <c r="D369" s="3"/>
      <c r="E369" s="3" t="s">
        <v>31</v>
      </c>
      <c r="F369" s="3"/>
      <c r="G369" s="3" t="s">
        <v>30</v>
      </c>
      <c r="H369" s="290" t="s">
        <v>886</v>
      </c>
      <c r="I369" s="290" t="s">
        <v>582</v>
      </c>
      <c r="J369" s="290" t="s">
        <v>582</v>
      </c>
      <c r="K369" s="290"/>
      <c r="L369" s="290"/>
      <c r="M369" s="290" t="s">
        <v>30</v>
      </c>
      <c r="N369" s="3"/>
      <c r="O369" s="137" t="str" cm="1">
        <f t="array" ref="O369">IFERROR(
  INDEX('Scrum Teams'!B$2:B$1010,
    MATCH(1,
      (B369='Scrum Teams'!F$2:F$1010) +
      (B369='Scrum Teams'!G$2:G$1010) +
      (B369='Scrum Teams'!H$2:H$1010) +
      (B369='Scrum Teams'!I$2:I$1010) +
      (B369='Scrum Teams'!J$2:J$1010) +
      (B369='Scrum Teams'!K$2:K$1010) +
      (B369='Scrum Teams'!L$2:L$1010) +
      (B369='Scrum Teams'!M$2:M$1010) +
      (B369='Scrum Teams'!N$2:N$1010) +
      (B369='Scrum Teams'!O$2:O$1010) +
      (B369='Scrum Teams'!P$2:P$1010) +
      (B369='Scrum Teams'!Q$2:Q$1010),
    0)
  ),
  "Not found"
)</f>
        <v>Not found</v>
      </c>
      <c r="P369" s="194" t="s">
        <v>880</v>
      </c>
      <c r="Q369" s="37" t="s">
        <v>664</v>
      </c>
    </row>
    <row r="370" spans="1:17" hidden="1">
      <c r="A370" s="3" t="s">
        <v>32</v>
      </c>
      <c r="B370" s="22" t="s">
        <v>894</v>
      </c>
      <c r="C370" s="3"/>
      <c r="D370" s="3"/>
      <c r="E370" s="3" t="s">
        <v>31</v>
      </c>
      <c r="F370" s="3"/>
      <c r="G370" s="3" t="s">
        <v>30</v>
      </c>
      <c r="H370" s="348"/>
      <c r="I370" s="348"/>
      <c r="J370" s="348"/>
      <c r="K370" s="348"/>
      <c r="L370" s="348"/>
      <c r="M370" s="290" t="s">
        <v>30</v>
      </c>
      <c r="N370" s="3"/>
      <c r="O370" s="137" t="str" cm="1">
        <f t="array" ref="O370">IFERROR(
  INDEX('Scrum Teams'!B$2:B$1010,
    MATCH(1,
      (B370='Scrum Teams'!F$2:F$1010) +
      (B370='Scrum Teams'!G$2:G$1010) +
      (B370='Scrum Teams'!H$2:H$1010) +
      (B370='Scrum Teams'!I$2:I$1010) +
      (B370='Scrum Teams'!J$2:J$1010) +
      (B370='Scrum Teams'!K$2:K$1010) +
      (B370='Scrum Teams'!L$2:L$1010) +
      (B370='Scrum Teams'!M$2:M$1010) +
      (B370='Scrum Teams'!N$2:N$1010) +
      (B370='Scrum Teams'!O$2:O$1010) +
      (B370='Scrum Teams'!P$2:P$1010) +
      (B370='Scrum Teams'!Q$2:Q$1010),
    0)
  ),
  "Not found"
)</f>
        <v>AEP VI</v>
      </c>
      <c r="P370" s="194" t="s">
        <v>880</v>
      </c>
      <c r="Q370" s="37" t="s">
        <v>664</v>
      </c>
    </row>
    <row r="371" spans="1:17" hidden="1">
      <c r="A371" s="3" t="s">
        <v>59</v>
      </c>
      <c r="B371" s="22" t="s">
        <v>895</v>
      </c>
      <c r="C371" s="3"/>
      <c r="D371" s="3"/>
      <c r="E371" s="3" t="s">
        <v>58</v>
      </c>
      <c r="F371" s="3"/>
      <c r="G371" s="3" t="s">
        <v>55</v>
      </c>
      <c r="H371" s="293" t="s">
        <v>329</v>
      </c>
      <c r="I371" s="291" t="s">
        <v>315</v>
      </c>
      <c r="J371" s="291" t="s">
        <v>315</v>
      </c>
      <c r="K371" s="291" t="s">
        <v>309</v>
      </c>
      <c r="L371" s="291"/>
      <c r="M371" s="291" t="s">
        <v>98</v>
      </c>
      <c r="N371" s="3"/>
      <c r="O371" s="137" t="str" cm="1">
        <f t="array" ref="O371">IFERROR(
  INDEX('Scrum Teams'!B$2:B$1010,
    MATCH(1,
      (B371='Scrum Teams'!F$2:F$1010) +
      (B371='Scrum Teams'!G$2:G$1010) +
      (B371='Scrum Teams'!H$2:H$1010) +
      (B371='Scrum Teams'!I$2:I$1010) +
      (B371='Scrum Teams'!J$2:J$1010) +
      (B371='Scrum Teams'!K$2:K$1010) +
      (B371='Scrum Teams'!L$2:L$1010) +
      (B371='Scrum Teams'!M$2:M$1010) +
      (B371='Scrum Teams'!N$2:N$1010) +
      (B371='Scrum Teams'!O$2:O$1010) +
      (B371='Scrum Teams'!P$2:P$1010) +
      (B371='Scrum Teams'!Q$2:Q$1010),
    0)
  ),
  "Not found"
)</f>
        <v>Not found</v>
      </c>
      <c r="P371" s="194" t="s">
        <v>63</v>
      </c>
      <c r="Q371" s="37" t="s">
        <v>307</v>
      </c>
    </row>
    <row r="372" spans="1:17" hidden="1">
      <c r="A372" s="3" t="s">
        <v>59</v>
      </c>
      <c r="B372" s="22" t="s">
        <v>896</v>
      </c>
      <c r="C372" s="3"/>
      <c r="D372" s="3"/>
      <c r="E372" s="3" t="s">
        <v>58</v>
      </c>
      <c r="F372" s="3"/>
      <c r="G372" s="3" t="s">
        <v>55</v>
      </c>
      <c r="H372" s="291" t="s">
        <v>681</v>
      </c>
      <c r="I372" s="291" t="s">
        <v>338</v>
      </c>
      <c r="J372" s="291" t="s">
        <v>339</v>
      </c>
      <c r="K372" s="291" t="s">
        <v>313</v>
      </c>
      <c r="L372" s="291" t="s">
        <v>313</v>
      </c>
      <c r="M372" s="291" t="s">
        <v>225</v>
      </c>
      <c r="N372" s="3"/>
      <c r="O372" s="137" t="str" cm="1">
        <f t="array" ref="O372">IFERROR(
  INDEX('Scrum Teams'!B$2:B$1010,
    MATCH(1,
      (B372='Scrum Teams'!F$2:F$1010) +
      (B372='Scrum Teams'!G$2:G$1010) +
      (B372='Scrum Teams'!H$2:H$1010) +
      (B372='Scrum Teams'!I$2:I$1010) +
      (B372='Scrum Teams'!J$2:J$1010) +
      (B372='Scrum Teams'!K$2:K$1010) +
      (B372='Scrum Teams'!L$2:L$1010) +
      (B372='Scrum Teams'!M$2:M$1010) +
      (B372='Scrum Teams'!N$2:N$1010) +
      (B372='Scrum Teams'!O$2:O$1010) +
      (B372='Scrum Teams'!P$2:P$1010) +
      (B372='Scrum Teams'!Q$2:Q$1010),
    0)
  ),
  "Not found"
)</f>
        <v>Not found</v>
      </c>
      <c r="P372" s="194" t="s">
        <v>63</v>
      </c>
      <c r="Q372" s="37" t="s">
        <v>307</v>
      </c>
    </row>
    <row r="373" spans="1:17" hidden="1">
      <c r="A373" s="3" t="s">
        <v>59</v>
      </c>
      <c r="B373" s="22" t="s">
        <v>897</v>
      </c>
      <c r="C373" s="3"/>
      <c r="D373" s="3"/>
      <c r="E373" s="3" t="s">
        <v>58</v>
      </c>
      <c r="F373" s="3"/>
      <c r="G373" s="3" t="s">
        <v>55</v>
      </c>
      <c r="H373" s="291" t="s">
        <v>397</v>
      </c>
      <c r="I373" s="291" t="s">
        <v>339</v>
      </c>
      <c r="J373" s="291" t="s">
        <v>339</v>
      </c>
      <c r="K373" s="291" t="s">
        <v>313</v>
      </c>
      <c r="L373" s="291" t="s">
        <v>313</v>
      </c>
      <c r="M373" s="291" t="s">
        <v>225</v>
      </c>
      <c r="N373" s="3"/>
      <c r="O373" s="137" t="str" cm="1">
        <f t="array" ref="O373">IFERROR(
  INDEX('Scrum Teams'!B$2:B$1010,
    MATCH(1,
      (B373='Scrum Teams'!F$2:F$1010) +
      (B373='Scrum Teams'!G$2:G$1010) +
      (B373='Scrum Teams'!H$2:H$1010) +
      (B373='Scrum Teams'!I$2:I$1010) +
      (B373='Scrum Teams'!J$2:J$1010) +
      (B373='Scrum Teams'!K$2:K$1010) +
      (B373='Scrum Teams'!L$2:L$1010) +
      (B373='Scrum Teams'!M$2:M$1010) +
      (B373='Scrum Teams'!N$2:N$1010) +
      (B373='Scrum Teams'!O$2:O$1010) +
      (B373='Scrum Teams'!P$2:P$1010) +
      (B373='Scrum Teams'!Q$2:Q$1010),
    0)
  ),
  "Not found"
)</f>
        <v>Not found</v>
      </c>
      <c r="P373" s="194" t="s">
        <v>63</v>
      </c>
      <c r="Q373" s="37" t="s">
        <v>307</v>
      </c>
    </row>
    <row r="374" spans="1:17" hidden="1">
      <c r="A374" s="3" t="s">
        <v>59</v>
      </c>
      <c r="B374" s="22" t="s">
        <v>898</v>
      </c>
      <c r="C374" s="3"/>
      <c r="D374" s="3"/>
      <c r="E374" s="3" t="s">
        <v>58</v>
      </c>
      <c r="F374" s="3"/>
      <c r="G374" s="3" t="s">
        <v>55</v>
      </c>
      <c r="H374" s="291" t="s">
        <v>397</v>
      </c>
      <c r="I374" s="291" t="s">
        <v>339</v>
      </c>
      <c r="J374" s="291" t="s">
        <v>339</v>
      </c>
      <c r="K374" s="291" t="s">
        <v>313</v>
      </c>
      <c r="L374" s="291" t="s">
        <v>313</v>
      </c>
      <c r="M374" s="291" t="s">
        <v>225</v>
      </c>
      <c r="N374" s="3"/>
      <c r="O374" s="137" t="str" cm="1">
        <f t="array" ref="O374">IFERROR(
  INDEX('Scrum Teams'!B$2:B$1010,
    MATCH(1,
      (B374='Scrum Teams'!F$2:F$1010) +
      (B374='Scrum Teams'!G$2:G$1010) +
      (B374='Scrum Teams'!H$2:H$1010) +
      (B374='Scrum Teams'!I$2:I$1010) +
      (B374='Scrum Teams'!J$2:J$1010) +
      (B374='Scrum Teams'!K$2:K$1010) +
      (B374='Scrum Teams'!L$2:L$1010) +
      (B374='Scrum Teams'!M$2:M$1010) +
      (B374='Scrum Teams'!N$2:N$1010) +
      (B374='Scrum Teams'!O$2:O$1010) +
      (B374='Scrum Teams'!P$2:P$1010) +
      (B374='Scrum Teams'!Q$2:Q$1010),
    0)
  ),
  "Not found"
)</f>
        <v>Not found</v>
      </c>
      <c r="P374" s="194" t="s">
        <v>63</v>
      </c>
      <c r="Q374" s="37" t="s">
        <v>307</v>
      </c>
    </row>
    <row r="375" spans="1:17" hidden="1">
      <c r="A375" s="3" t="s">
        <v>59</v>
      </c>
      <c r="B375" s="22" t="s">
        <v>899</v>
      </c>
      <c r="C375" s="3"/>
      <c r="D375" s="3"/>
      <c r="E375" s="3" t="s">
        <v>58</v>
      </c>
      <c r="F375" s="3"/>
      <c r="G375" s="3" t="s">
        <v>55</v>
      </c>
      <c r="H375" s="291" t="s">
        <v>900</v>
      </c>
      <c r="I375" s="291" t="s">
        <v>406</v>
      </c>
      <c r="J375" s="291"/>
      <c r="K375" s="291" t="s">
        <v>407</v>
      </c>
      <c r="L375" s="291" t="s">
        <v>407</v>
      </c>
      <c r="M375" s="291" t="s">
        <v>225</v>
      </c>
      <c r="N375" s="3"/>
      <c r="O375" s="137" t="str" cm="1">
        <f t="array" ref="O375">IFERROR(
  INDEX('Scrum Teams'!B$2:B$1010,
    MATCH(1,
      (B375='Scrum Teams'!F$2:F$1010) +
      (B375='Scrum Teams'!G$2:G$1010) +
      (B375='Scrum Teams'!H$2:H$1010) +
      (B375='Scrum Teams'!I$2:I$1010) +
      (B375='Scrum Teams'!J$2:J$1010) +
      (B375='Scrum Teams'!K$2:K$1010) +
      (B375='Scrum Teams'!L$2:L$1010) +
      (B375='Scrum Teams'!M$2:M$1010) +
      (B375='Scrum Teams'!N$2:N$1010) +
      (B375='Scrum Teams'!O$2:O$1010) +
      (B375='Scrum Teams'!P$2:P$1010) +
      (B375='Scrum Teams'!Q$2:Q$1010),
    0)
  ),
  "Not found"
)</f>
        <v>Not found</v>
      </c>
      <c r="P375" s="194" t="s">
        <v>63</v>
      </c>
      <c r="Q375" s="37" t="s">
        <v>307</v>
      </c>
    </row>
    <row r="376" spans="1:17" hidden="1">
      <c r="A376" s="3" t="s">
        <v>33</v>
      </c>
      <c r="B376" s="22" t="s">
        <v>901</v>
      </c>
      <c r="C376" s="3"/>
      <c r="D376" s="3"/>
      <c r="E376" s="3" t="s">
        <v>31</v>
      </c>
      <c r="F376" s="3"/>
      <c r="G376" s="3" t="s">
        <v>30</v>
      </c>
      <c r="H376" s="291" t="s">
        <v>902</v>
      </c>
      <c r="I376" s="264" t="s">
        <v>582</v>
      </c>
      <c r="J376" s="264" t="s">
        <v>582</v>
      </c>
      <c r="K376" s="264"/>
      <c r="L376" s="264"/>
      <c r="M376" s="265" t="s">
        <v>903</v>
      </c>
      <c r="N376" s="3"/>
      <c r="O376" s="137" t="str" cm="1">
        <f t="array" ref="O376">IFERROR(
  INDEX('Scrum Teams'!B$2:B$1010,
    MATCH(1,
      (B376='Scrum Teams'!F$2:F$1010) +
      (B376='Scrum Teams'!G$2:G$1010) +
      (B376='Scrum Teams'!H$2:H$1010) +
      (B376='Scrum Teams'!I$2:I$1010) +
      (B376='Scrum Teams'!J$2:J$1010) +
      (B376='Scrum Teams'!K$2:K$1010) +
      (B376='Scrum Teams'!L$2:L$1010) +
      (B376='Scrum Teams'!M$2:M$1010) +
      (B376='Scrum Teams'!N$2:N$1010) +
      (B376='Scrum Teams'!O$2:O$1010) +
      (B376='Scrum Teams'!P$2:P$1010) +
      (B376='Scrum Teams'!Q$2:Q$1010),
    0)
  ),
  "Not found"
)</f>
        <v>AMC</v>
      </c>
      <c r="P376" s="194" t="s">
        <v>33</v>
      </c>
      <c r="Q376" s="37"/>
    </row>
    <row r="377" spans="1:17" hidden="1">
      <c r="A377" s="3" t="s">
        <v>904</v>
      </c>
      <c r="B377" s="22" t="s">
        <v>905</v>
      </c>
      <c r="C377" s="3" t="s">
        <v>906</v>
      </c>
      <c r="D377" s="3" t="s">
        <v>906</v>
      </c>
      <c r="E377" s="3" t="s">
        <v>907</v>
      </c>
      <c r="F377" s="3" t="s">
        <v>907</v>
      </c>
      <c r="G377" s="3" t="s">
        <v>908</v>
      </c>
      <c r="H377" s="291" t="s">
        <v>296</v>
      </c>
      <c r="I377" s="291" t="s">
        <v>296</v>
      </c>
      <c r="J377" s="291" t="s">
        <v>296</v>
      </c>
      <c r="K377" s="291" t="s">
        <v>296</v>
      </c>
      <c r="L377" s="291" t="s">
        <v>296</v>
      </c>
      <c r="M377" s="291" t="s">
        <v>296</v>
      </c>
      <c r="N377" s="3"/>
      <c r="O377" s="137" t="str" cm="1">
        <f t="array" ref="O377">IFERROR(
  INDEX('Scrum Teams'!B$2:B$1010,
    MATCH(1,
      (B377='Scrum Teams'!F$2:F$1010) +
      (B377='Scrum Teams'!G$2:G$1010) +
      (B377='Scrum Teams'!H$2:H$1010) +
      (B377='Scrum Teams'!I$2:I$1010) +
      (B377='Scrum Teams'!J$2:J$1010) +
      (B377='Scrum Teams'!K$2:K$1010) +
      (B377='Scrum Teams'!L$2:L$1010) +
      (B377='Scrum Teams'!M$2:M$1010) +
      (B377='Scrum Teams'!N$2:N$1010) +
      (B377='Scrum Teams'!O$2:O$1010) +
      (B377='Scrum Teams'!P$2:P$1010) +
      (B377='Scrum Teams'!Q$2:Q$1010),
    0)
  ),
  "Not found"
)</f>
        <v>Not found</v>
      </c>
      <c r="P377" s="194" t="s">
        <v>909</v>
      </c>
      <c r="Q377" s="37"/>
    </row>
    <row r="378" spans="1:17">
      <c r="H378" s="348"/>
      <c r="I378" s="348"/>
      <c r="J378" s="348"/>
      <c r="K378" s="348"/>
      <c r="L378" s="348"/>
      <c r="M378" s="348"/>
    </row>
    <row r="379" spans="1:17">
      <c r="H379" s="348"/>
      <c r="I379" s="348"/>
      <c r="J379" s="348"/>
      <c r="K379" s="348"/>
      <c r="L379" s="348"/>
      <c r="M379" s="348"/>
    </row>
    <row r="380" spans="1:17">
      <c r="H380" s="348"/>
      <c r="I380" s="348"/>
      <c r="J380" s="348"/>
      <c r="K380" s="348"/>
      <c r="L380" s="348"/>
      <c r="M380" s="348"/>
    </row>
    <row r="381" spans="1:17">
      <c r="H381" s="348"/>
      <c r="I381" s="348"/>
      <c r="J381" s="348"/>
      <c r="K381" s="348"/>
      <c r="L381" s="348"/>
      <c r="M381" s="348"/>
    </row>
  </sheetData>
  <sheetProtection algorithmName="SHA-512" hashValue="TXEjoGkZVdEhc5eOUKR41KEQlkh6U1Y8pB69Zc7iEnc0JYljbr2UUc0EvxzvGG3s1o9d8fRu+yjqA5B4YsW03Q==" saltValue="Uzi2ZJyRf31HNFmNnTEbtQ==" spinCount="100000" sheet="1" sort="0" autoFilter="0" pivotTables="0"/>
  <autoFilter ref="A1:R377" xr:uid="{0FF5CC6A-46EC-4217-BB41-37F9EB4EEEFB}">
    <filterColumn colId="0">
      <filters>
        <filter val="DR_GM"/>
      </filters>
    </filterColumn>
  </autoFilter>
  <conditionalFormatting sqref="O1">
    <cfRule type="containsText" dxfId="53" priority="5" operator="containsText" text="Yes">
      <formula>NOT(ISERROR(SEARCH("Yes",O1)))</formula>
    </cfRule>
  </conditionalFormatting>
  <conditionalFormatting sqref="O1:O1048576">
    <cfRule type="containsText" dxfId="52" priority="3" operator="containsText" text="Not found">
      <formula>NOT(ISERROR(SEARCH("Not found",O1)))</formula>
    </cfRule>
  </conditionalFormatting>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066A-5D5C-49A8-91F2-E76740CE8027}">
  <sheetPr>
    <tabColor theme="7" tint="0.59999389629810485"/>
  </sheetPr>
  <dimension ref="A1:X152"/>
  <sheetViews>
    <sheetView topLeftCell="B1" workbookViewId="0">
      <pane ySplit="1" topLeftCell="B2" activePane="bottomLeft" state="frozen"/>
      <selection pane="bottomLeft" activeCell="E17" sqref="E17"/>
      <selection activeCell="B1" sqref="B1"/>
    </sheetView>
  </sheetViews>
  <sheetFormatPr defaultColWidth="8.85546875" defaultRowHeight="15"/>
  <cols>
    <col min="1" max="1" width="21" customWidth="1"/>
    <col min="2" max="3" width="9.140625"/>
    <col min="5" max="5" width="12.7109375" customWidth="1"/>
    <col min="6" max="6" width="17.28515625" customWidth="1"/>
    <col min="7" max="7" width="20" style="25" customWidth="1"/>
    <col min="8" max="9" width="8.85546875" style="25"/>
    <col min="10" max="10" width="12.7109375" style="25" customWidth="1"/>
    <col min="11" max="11" width="16.7109375" style="25" customWidth="1"/>
    <col min="12" max="12" width="20" style="25" customWidth="1"/>
    <col min="13" max="13" width="25.140625" style="222" customWidth="1"/>
    <col min="14" max="14" width="9.7109375" style="119" customWidth="1"/>
    <col min="15" max="15" width="9.140625" style="7"/>
    <col min="16" max="16" width="9.42578125" style="7" bestFit="1" customWidth="1"/>
    <col min="17" max="17" width="9.140625" style="7"/>
    <col min="18" max="18" width="18.42578125" style="120" customWidth="1"/>
    <col min="19" max="19" width="9.140625" style="25"/>
    <col min="20" max="20" width="17.42578125" style="25" hidden="1" customWidth="1"/>
    <col min="21" max="24" width="0" style="25" hidden="1" customWidth="1"/>
    <col min="25" max="16384" width="8.85546875" style="25"/>
  </cols>
  <sheetData>
    <row r="1" spans="1:24" ht="41.25">
      <c r="A1" s="54" t="s">
        <v>910</v>
      </c>
      <c r="B1" s="55" t="s">
        <v>160</v>
      </c>
      <c r="C1" s="95" t="s">
        <v>911</v>
      </c>
      <c r="D1" s="182" t="s">
        <v>912</v>
      </c>
      <c r="E1" s="66" t="s">
        <v>913</v>
      </c>
      <c r="F1" s="196" t="s">
        <v>914</v>
      </c>
      <c r="G1" s="54" t="s">
        <v>3</v>
      </c>
      <c r="H1" s="55" t="s">
        <v>160</v>
      </c>
      <c r="I1" s="182" t="s">
        <v>912</v>
      </c>
      <c r="J1" s="66" t="s">
        <v>913</v>
      </c>
      <c r="K1" s="196" t="s">
        <v>914</v>
      </c>
      <c r="L1" s="123" t="s">
        <v>3</v>
      </c>
      <c r="M1" s="122" t="s">
        <v>215</v>
      </c>
      <c r="N1" s="188" t="s">
        <v>160</v>
      </c>
      <c r="O1" s="182" t="s">
        <v>912</v>
      </c>
      <c r="P1" s="187" t="s">
        <v>915</v>
      </c>
      <c r="Q1" s="158" t="s">
        <v>913</v>
      </c>
      <c r="R1" s="157" t="s">
        <v>916</v>
      </c>
      <c r="T1" s="54" t="s">
        <v>917</v>
      </c>
      <c r="U1" s="96" t="s">
        <v>918</v>
      </c>
      <c r="V1" s="96" t="s">
        <v>919</v>
      </c>
      <c r="W1" s="96" t="s">
        <v>920</v>
      </c>
      <c r="X1" s="66" t="s">
        <v>921</v>
      </c>
    </row>
    <row r="2" spans="1:24">
      <c r="A2" s="30" t="s">
        <v>49</v>
      </c>
      <c r="B2" s="56" t="s">
        <v>128</v>
      </c>
      <c r="C2" s="97"/>
      <c r="D2" s="56">
        <f>IF(E2="","",E2/2)</f>
        <v>285</v>
      </c>
      <c r="E2" s="198">
        <f>IF(B2="","",SUMIFS($J$2:$J$39,$H$2:$H$39,B2))</f>
        <v>570</v>
      </c>
      <c r="F2" s="196" t="str" cm="1">
        <f t="array" ref="F2">IF(B2="","",_xlfn.LET(
  _xlpm.comp, TRIM(CLEAN(B2)),
  _xlpm.expected, E2,
  _xlpm.actual, SUMPRODUCT(--(TRIM(CLEAN($H$2:$H$140))=_xlpm.comp), $J$2:$J$140),
  IF(_xlpm.actual=_xlpm.expected, "No", "Mismatch by " &amp; (_xlpm.actual-_xlpm.expected))
))</f>
        <v>No</v>
      </c>
      <c r="G2" s="30" t="str" cm="1">
        <f t="array" ref="G2">IFERROR(INDEX(_xlfn._xlws.SORT(_xlfn.UNIQUE(_xlfn._xlws.FILTER($L$2:$L$140,$L$2:$L$140&lt;&gt;""))),ROW()-1),"")</f>
        <v>Accounting</v>
      </c>
      <c r="H2" s="97" t="str">
        <f>IF(G2="", "", _xlfn.XLOOKUP(G2, 'Component Masterlist v2'!A:A, 'Component Masterlist v2'!P:P, "Not found"))</f>
        <v>ACCT</v>
      </c>
      <c r="I2" s="56">
        <f>IF(J2="","",J2/2)</f>
        <v>285</v>
      </c>
      <c r="J2" s="198">
        <f>IF(G2="","",SUMIFS($Q$2:$Q$140,$L$2:$L$140,G2))</f>
        <v>570</v>
      </c>
      <c r="K2" s="196" t="str" cm="1">
        <f t="array" ref="K2">IF(G2="","",_xlfn.LET(
  _xlpm.comp, TRIM(CLEAN(G2)),
  _xlpm.expected, J2,
  _xlpm.actual, SUMPRODUCT(--(TRIM(CLEAN($L$2:$L$140))=_xlpm.comp), $Q$2:$Q$140),
  IF(_xlpm.actual=_xlpm.expected, "No", "Mismatch by " &amp; (_xlpm.actual-_xlpm.expected))
))</f>
        <v>No</v>
      </c>
      <c r="L2" s="68" t="str">
        <f>IF(M2="", "", _xlfn.XLOOKUP(M2,'Scrum Teams'!B:B,'Scrum Teams'!A:A,""))</f>
        <v>Accounting</v>
      </c>
      <c r="M2" s="74" t="str" cm="1">
        <f t="array" ref="M2">IFERROR(INDEX(_xlfn.SORTBY(_xlfn.UNIQUE(_xlfn._xlws.FILTER('Scrum Teams'!$B$2:$B$1006,'Scrum Teams'!$B$2:$B$1006&lt;&gt;"")),_xlfn.XLOOKUP(_xlfn.UNIQUE(_xlfn._xlws.FILTER('Scrum Teams'!$B$2:$B$1006,'Scrum Teams'!$B$2:$B$1006&lt;&gt;"")),'Scrum Teams'!$B:$B,'Scrum Teams'!$A:$A,"")),ROW()-1),"")</f>
        <v>Gold</v>
      </c>
      <c r="N2" s="115" t="str">
        <f>IF(L2="", "", _xlfn.XLOOKUP(L2, 'Component Masterlist v2'!A:A, 'Component Masterlist v2'!P:P, "Not found"))</f>
        <v>ACCT</v>
      </c>
      <c r="O2" s="116">
        <f t="shared" ref="O2:O65" si="0">IF(P2="", "", P2/2)</f>
        <v>86</v>
      </c>
      <c r="P2" s="115">
        <f>IF(M2="","",_xlfn.LET(
  _xlpm.pos, MATCH(M2,'Scrum Teams'!$B$2:$B$1006,0),
  _xlpm.val, INDEX('Scrum Teams'!$E$2:$E$1006,_xlpm.pos),
  IF(ISBLANK(INDEX('Scrum Teams'!$E$2:$E$1006,_xlpm.pos)),"",_xlpm.val)
))</f>
        <v>172</v>
      </c>
      <c r="Q2" s="217">
        <f>IF(L2="","",IF(P2&lt;&gt;"", P2, 90))</f>
        <v>172</v>
      </c>
      <c r="R2" s="117" t="str">
        <f>IF(M2="","",IF(L2="", "Missing component", _xlfn.XLOOKUP(L2, Lookup!A:A, Lookup!D:D, "NA")))</f>
        <v>Sanyam Agrawal</v>
      </c>
      <c r="S2" s="140" t="s">
        <v>922</v>
      </c>
      <c r="T2" s="27" t="s">
        <v>112</v>
      </c>
      <c r="U2" s="97">
        <v>139.5</v>
      </c>
      <c r="V2" s="97">
        <v>124</v>
      </c>
      <c r="W2" s="97">
        <v>182.5</v>
      </c>
      <c r="X2" s="97">
        <v>148.66666666666666</v>
      </c>
    </row>
    <row r="3" spans="1:24">
      <c r="A3" s="80" t="s">
        <v>32</v>
      </c>
      <c r="B3" s="56" t="s">
        <v>880</v>
      </c>
      <c r="C3" s="97"/>
      <c r="D3" s="56">
        <f t="shared" ref="D3:D34" si="1">IF(E3="","",E3/2)</f>
        <v>765</v>
      </c>
      <c r="E3" s="198">
        <f t="shared" ref="E3:E34" si="2">IF(B3="","",SUMIFS($J$2:$J$39,$H$2:$H$39,B3))</f>
        <v>1530</v>
      </c>
      <c r="F3" s="196" t="str" cm="1">
        <f t="array" ref="F3">IF(B3="","",_xlfn.LET(
  _xlpm.comp, TRIM(CLEAN(B3)),
  _xlpm.expected, E3,
  _xlpm.actual, SUMPRODUCT(--(TRIM(CLEAN($H$2:$H$140))=_xlpm.comp), $J$2:$J$140),
  IF(_xlpm.actual=_xlpm.expected, "No", "Mismatch by " &amp; (_xlpm.actual-_xlpm.expected))
))</f>
        <v>No</v>
      </c>
      <c r="G3" s="30" t="str" cm="1">
        <f t="array" ref="G3">IFERROR(INDEX(_xlfn._xlws.SORT(_xlfn.UNIQUE(_xlfn._xlws.FILTER($L$2:$L$140,$L$2:$L$140&lt;&gt;""))),ROW()-1),"")</f>
        <v>AEPlatform</v>
      </c>
      <c r="H3" s="97" t="str">
        <f>IF(G3="", "", _xlfn.XLOOKUP(G3, 'Component Masterlist v2'!A:A, 'Component Masterlist v2'!P:P, "Not found"))</f>
        <v>AEP</v>
      </c>
      <c r="I3" s="56">
        <f t="shared" ref="I3:I19" si="3">IF(J3="","",J3/2)</f>
        <v>765</v>
      </c>
      <c r="J3" s="198">
        <f t="shared" ref="J3:J19" si="4">IF(G3="","",SUMIFS($Q$2:$Q$140,$L$2:$L$140,G3))</f>
        <v>1530</v>
      </c>
      <c r="K3" s="196" t="str" cm="1">
        <f t="array" ref="K3">IF(G3="","",_xlfn.LET(
  _xlpm.comp, TRIM(CLEAN(G3)),
  _xlpm.expected, J3,
  _xlpm.actual, SUMPRODUCT(--(TRIM(CLEAN($L$2:$L$140))=_xlpm.comp), $Q$2:$Q$140),
  IF(_xlpm.actual=_xlpm.expected, "No", "Mismatch by " &amp; (_xlpm.actual-_xlpm.expected))
))</f>
        <v>No</v>
      </c>
      <c r="L3" s="68" t="str">
        <f>IF(M3="", "", _xlfn.XLOOKUP(M3,'Scrum Teams'!B:B,'Scrum Teams'!A:A,""))</f>
        <v>Accounting</v>
      </c>
      <c r="M3" s="74" t="str" cm="1">
        <f t="array" ref="M3">IFERROR(INDEX(_xlfn.SORTBY(_xlfn.UNIQUE(_xlfn._xlws.FILTER('Scrum Teams'!$B$2:$B$1006,'Scrum Teams'!$B$2:$B$1006&lt;&gt;"")),_xlfn.XLOOKUP(_xlfn.UNIQUE(_xlfn._xlws.FILTER('Scrum Teams'!$B$2:$B$1006,'Scrum Teams'!$B$2:$B$1006&lt;&gt;"")),'Scrum Teams'!$B:$B,'Scrum Teams'!$A:$A,"")),ROW()-1),"")</f>
        <v>Helium</v>
      </c>
      <c r="N3" s="115" t="str">
        <f>IF(L3="", "", _xlfn.XLOOKUP(L3, 'Component Masterlist v2'!A:A, 'Component Masterlist v2'!P:P, "Not found"))</f>
        <v>ACCT</v>
      </c>
      <c r="O3" s="116">
        <f t="shared" si="0"/>
        <v>58</v>
      </c>
      <c r="P3" s="115">
        <f>IF(M3="","",_xlfn.LET(
  _xlpm.pos, MATCH(M3,'Scrum Teams'!$B$2:$B$1006,0),
  _xlpm.val, INDEX('Scrum Teams'!$E$2:$E$1006,_xlpm.pos),
  IF(ISBLANK(INDEX('Scrum Teams'!$E$2:$E$1006,_xlpm.pos)),"",_xlpm.val)
))</f>
        <v>116</v>
      </c>
      <c r="Q3" s="217">
        <f t="shared" ref="Q3:Q66" si="5">IF(L3="","",IF(P3&lt;&gt;"", P3, 90))</f>
        <v>116</v>
      </c>
      <c r="R3" s="117" t="str">
        <f>IF(M3="","",IF(L3="", "Missing component", _xlfn.XLOOKUP(L3, Lookup!A:A, Lookup!D:D, "NA")))</f>
        <v>Sanyam Agrawal</v>
      </c>
      <c r="S3" s="25" t="str" cm="1">
        <f t="array" ref="S3">IF(
  SUM(--ISNA(MATCH(
    _xlfn.UNIQUE(_xlfn._xlws.FILTER('Scrum Teams'!B2:B1010, 'Scrum Teams'!B2:B1010&lt;&gt;"")),
    _xlfn.UNIQUE(_xlfn._xlws.FILTER(M2:M1010, M2:M1010&lt;&gt;"")),
    0
  ))) &gt; 0,
  "Yes",
  IF(
    AND(
      COUNT(_xlfn.UNIQUE(_xlfn._xlws.FILTER(M2:M1010, M2:M1010&lt;&gt;""))) = COUNT(_xlfn.UNIQUE(_xlfn._xlws.FILTER('Scrum Teams'!B2:B1010, 'Scrum Teams'!B2:B1010&lt;&gt;""))),
      SUM(--ISNA(MATCH(
        _xlfn.UNIQUE(_xlfn._xlws.FILTER(M2:M1010, M2:M1010&lt;&gt;"")),
        _xlfn.UNIQUE(_xlfn._xlws.FILTER('Scrum Teams'!B2:B1010, 'Scrum Teams'!B2:B1010&lt;&gt;"")),
        0
      )))=0
    ),
    "No",
    "Check"
  )
)</f>
        <v>No</v>
      </c>
      <c r="T3" s="27" t="s">
        <v>88</v>
      </c>
      <c r="U3" s="97">
        <v>709</v>
      </c>
      <c r="V3" s="97">
        <v>481</v>
      </c>
      <c r="W3" s="97">
        <v>399</v>
      </c>
      <c r="X3" s="97">
        <v>529.66666666666663</v>
      </c>
    </row>
    <row r="4" spans="1:24">
      <c r="A4" s="80" t="s">
        <v>858</v>
      </c>
      <c r="B4" s="56" t="s">
        <v>858</v>
      </c>
      <c r="C4" s="97"/>
      <c r="D4" s="56">
        <f t="shared" si="1"/>
        <v>150</v>
      </c>
      <c r="E4" s="198">
        <f t="shared" si="2"/>
        <v>300</v>
      </c>
      <c r="F4" s="196" t="str" cm="1">
        <f t="array" ref="F4">IF(B4="","",_xlfn.LET(
  _xlpm.comp, TRIM(CLEAN(B4)),
  _xlpm.expected, E4,
  _xlpm.actual, SUMPRODUCT(--(TRIM(CLEAN($H$2:$H$140))=_xlpm.comp), $J$2:$J$140),
  IF(_xlpm.actual=_xlpm.expected, "No", "Mismatch by " &amp; (_xlpm.actual-_xlpm.expected))
))</f>
        <v>No</v>
      </c>
      <c r="G4" s="30" t="str" cm="1">
        <f t="array" ref="G4">IFERROR(INDEX(_xlfn._xlws.SORT(_xlfn.UNIQUE(_xlfn._xlws.FILTER($L$2:$L$140,$L$2:$L$140&lt;&gt;""))),ROW()-1),"")</f>
        <v>AI_Core</v>
      </c>
      <c r="H4" s="97" t="str">
        <f>IF(G4="", "", _xlfn.XLOOKUP(G4, 'Component Masterlist v2'!A:A, 'Component Masterlist v2'!P:P, "Not found"))</f>
        <v>AI</v>
      </c>
      <c r="I4" s="56">
        <f t="shared" si="3"/>
        <v>150</v>
      </c>
      <c r="J4" s="198">
        <f t="shared" si="4"/>
        <v>300</v>
      </c>
      <c r="K4" s="196" t="str" cm="1">
        <f t="array" ref="K4">IF(G4="","",_xlfn.LET(
  _xlpm.comp, TRIM(CLEAN(G4)),
  _xlpm.expected, J4,
  _xlpm.actual, SUMPRODUCT(--(TRIM(CLEAN($L$2:$L$140))=_xlpm.comp), $Q$2:$Q$140),
  IF(_xlpm.actual=_xlpm.expected, "No", "Mismatch by " &amp; (_xlpm.actual-_xlpm.expected))
))</f>
        <v>No</v>
      </c>
      <c r="L4" s="68" t="str">
        <f>IF(M4="", "", _xlfn.XLOOKUP(M4,'Scrum Teams'!B:B,'Scrum Teams'!A:A,""))</f>
        <v>Accounting</v>
      </c>
      <c r="M4" s="74" t="str" cm="1">
        <f t="array" ref="M4">IFERROR(INDEX(_xlfn.SORTBY(_xlfn.UNIQUE(_xlfn._xlws.FILTER('Scrum Teams'!$B$2:$B$1006,'Scrum Teams'!$B$2:$B$1006&lt;&gt;"")),_xlfn.XLOOKUP(_xlfn.UNIQUE(_xlfn._xlws.FILTER('Scrum Teams'!$B$2:$B$1006,'Scrum Teams'!$B$2:$B$1006&lt;&gt;"")),'Scrum Teams'!$B:$B,'Scrum Teams'!$A:$A,"")),ROW()-1),"")</f>
        <v>Hydrogen</v>
      </c>
      <c r="N4" s="115" t="str">
        <f>IF(L4="", "", _xlfn.XLOOKUP(L4, 'Component Masterlist v2'!A:A, 'Component Masterlist v2'!P:P, "Not found"))</f>
        <v>ACCT</v>
      </c>
      <c r="O4" s="116">
        <f t="shared" si="0"/>
        <v>51</v>
      </c>
      <c r="P4" s="115">
        <f>IF(M4="","",_xlfn.LET(
  _xlpm.pos, MATCH(M4,'Scrum Teams'!$B$2:$B$1006,0),
  _xlpm.val, INDEX('Scrum Teams'!$E$2:$E$1006,_xlpm.pos),
  IF(ISBLANK(INDEX('Scrum Teams'!$E$2:$E$1006,_xlpm.pos)),"",_xlpm.val)
))</f>
        <v>102</v>
      </c>
      <c r="Q4" s="217">
        <f t="shared" si="5"/>
        <v>102</v>
      </c>
      <c r="R4" s="117" t="str">
        <f>IF(M4="","",IF(L4="", "Missing component", _xlfn.XLOOKUP(L4, Lookup!A:A, Lookup!D:D, "NA")))</f>
        <v>Sanyam Agrawal</v>
      </c>
      <c r="T4" s="27"/>
      <c r="U4" s="27"/>
      <c r="V4" s="27"/>
      <c r="W4" s="27"/>
      <c r="X4" s="27"/>
    </row>
    <row r="5" spans="1:24">
      <c r="A5" s="30" t="s">
        <v>923</v>
      </c>
      <c r="B5" s="56" t="s">
        <v>780</v>
      </c>
      <c r="C5" s="97"/>
      <c r="D5" s="56">
        <f t="shared" si="1"/>
        <v>112.5</v>
      </c>
      <c r="E5" s="198">
        <f t="shared" si="2"/>
        <v>225</v>
      </c>
      <c r="F5" s="196" t="str" cm="1">
        <f t="array" ref="F5">IF(B5="","",_xlfn.LET(
  _xlpm.comp, TRIM(CLEAN(B5)),
  _xlpm.expected, E5,
  _xlpm.actual, SUMPRODUCT(--(TRIM(CLEAN($H$2:$H$140))=_xlpm.comp), $J$2:$J$140),
  IF(_xlpm.actual=_xlpm.expected, "No", "Mismatch by " &amp; (_xlpm.actual-_xlpm.expected))
))</f>
        <v>No</v>
      </c>
      <c r="G5" s="30" t="str" cm="1">
        <f t="array" ref="G5">IFERROR(INDEX(_xlfn._xlws.SORT(_xlfn.UNIQUE(_xlfn._xlws.FILTER($L$2:$L$140,$L$2:$L$140&lt;&gt;""))),ROW()-1),"")</f>
        <v>AIBDC</v>
      </c>
      <c r="H5" s="97" t="str">
        <f>IF(G5="", "", _xlfn.XLOOKUP(G5, 'Component Masterlist v2'!A:A, 'Component Masterlist v2'!P:P, "Not found"))</f>
        <v>AIB</v>
      </c>
      <c r="I5" s="56">
        <f t="shared" si="3"/>
        <v>87.5</v>
      </c>
      <c r="J5" s="198">
        <f t="shared" si="4"/>
        <v>175</v>
      </c>
      <c r="K5" s="196" t="str" cm="1">
        <f t="array" ref="K5">IF(G5="","",_xlfn.LET(
  _xlpm.comp, TRIM(CLEAN(G5)),
  _xlpm.expected, J5,
  _xlpm.actual, SUMPRODUCT(--(TRIM(CLEAN($L$2:$L$140))=_xlpm.comp), $Q$2:$Q$140),
  IF(_xlpm.actual=_xlpm.expected, "No", "Mismatch by " &amp; (_xlpm.actual-_xlpm.expected))
))</f>
        <v>No</v>
      </c>
      <c r="L5" s="68" t="str">
        <f>IF(M5="", "", _xlfn.XLOOKUP(M5,'Scrum Teams'!B:B,'Scrum Teams'!A:A,""))</f>
        <v>Accounting</v>
      </c>
      <c r="M5" s="74" t="str" cm="1">
        <f t="array" ref="M5">IFERROR(INDEX(_xlfn.SORTBY(_xlfn.UNIQUE(_xlfn._xlws.FILTER('Scrum Teams'!$B$2:$B$1006,'Scrum Teams'!$B$2:$B$1006&lt;&gt;"")),_xlfn.XLOOKUP(_xlfn.UNIQUE(_xlfn._xlws.FILTER('Scrum Teams'!$B$2:$B$1006,'Scrum Teams'!$B$2:$B$1006&lt;&gt;"")),'Scrum Teams'!$B:$B,'Scrum Teams'!$A:$A,"")),ROW()-1),"")</f>
        <v>Oxygen</v>
      </c>
      <c r="N5" s="115" t="str">
        <f>IF(L5="", "", _xlfn.XLOOKUP(L5, 'Component Masterlist v2'!A:A, 'Component Masterlist v2'!P:P, "Not found"))</f>
        <v>ACCT</v>
      </c>
      <c r="O5" s="116">
        <f t="shared" si="0"/>
        <v>18</v>
      </c>
      <c r="P5" s="115">
        <f>IF(M5="","",_xlfn.LET(
  _xlpm.pos, MATCH(M5,'Scrum Teams'!$B$2:$B$1006,0),
  _xlpm.val, INDEX('Scrum Teams'!$E$2:$E$1006,_xlpm.pos),
  IF(ISBLANK(INDEX('Scrum Teams'!$E$2:$E$1006,_xlpm.pos)),"",_xlpm.val)
))</f>
        <v>36</v>
      </c>
      <c r="Q5" s="217">
        <f t="shared" si="5"/>
        <v>36</v>
      </c>
      <c r="R5" s="117" t="str">
        <f>IF(M5="","",IF(L5="", "Missing component", _xlfn.XLOOKUP(L5, Lookup!A:A, Lookup!D:D, "NA")))</f>
        <v>Sanyam Agrawal</v>
      </c>
      <c r="T5" s="27"/>
      <c r="U5" s="27"/>
      <c r="V5" s="27"/>
      <c r="W5" s="27"/>
      <c r="X5" s="27"/>
    </row>
    <row r="6" spans="1:24">
      <c r="A6" s="30" t="s">
        <v>90</v>
      </c>
      <c r="B6" s="56" t="s">
        <v>155</v>
      </c>
      <c r="C6" s="97"/>
      <c r="D6" s="56">
        <f t="shared" si="1"/>
        <v>87.5</v>
      </c>
      <c r="E6" s="198">
        <f t="shared" si="2"/>
        <v>175</v>
      </c>
      <c r="F6" s="196" t="str" cm="1">
        <f t="array" ref="F6">IF(B6="","",_xlfn.LET(
  _xlpm.comp, TRIM(CLEAN(B6)),
  _xlpm.expected, E6,
  _xlpm.actual, SUMPRODUCT(--(TRIM(CLEAN($H$2:$H$140))=_xlpm.comp), $J$2:$J$140),
  IF(_xlpm.actual=_xlpm.expected, "No", "Mismatch by " &amp; (_xlpm.actual-_xlpm.expected))
))</f>
        <v>No</v>
      </c>
      <c r="G6" s="30" t="str" cm="1">
        <f t="array" ref="G6">IFERROR(INDEX(_xlfn._xlws.SORT(_xlfn.UNIQUE(_xlfn._xlws.FILTER($L$2:$L$140,$L$2:$L$140&lt;&gt;""))),ROW()-1),"")</f>
        <v>AIE_Core</v>
      </c>
      <c r="H6" s="97" t="str">
        <f>IF(G6="", "", _xlfn.XLOOKUP(G6, 'Component Masterlist v2'!A:A, 'Component Masterlist v2'!P:P, "Not found"))</f>
        <v>AIPL</v>
      </c>
      <c r="I6" s="56">
        <f t="shared" si="3"/>
        <v>67.5</v>
      </c>
      <c r="J6" s="198">
        <f t="shared" si="4"/>
        <v>135</v>
      </c>
      <c r="K6" s="196" t="str" cm="1">
        <f t="array" ref="K6">IF(G6="","",_xlfn.LET(
  _xlpm.comp, TRIM(CLEAN(G6)),
  _xlpm.expected, J6,
  _xlpm.actual, SUMPRODUCT(--(TRIM(CLEAN($L$2:$L$140))=_xlpm.comp), $Q$2:$Q$140),
  IF(_xlpm.actual=_xlpm.expected, "No", "Mismatch by " &amp; (_xlpm.actual-_xlpm.expected))
))</f>
        <v>No</v>
      </c>
      <c r="L6" s="68" t="str">
        <f>IF(M6="", "", _xlfn.XLOOKUP(M6,'Scrum Teams'!B:B,'Scrum Teams'!A:A,""))</f>
        <v>Accounting</v>
      </c>
      <c r="M6" s="74" t="str" cm="1">
        <f t="array" ref="M6">IFERROR(INDEX(_xlfn.SORTBY(_xlfn.UNIQUE(_xlfn._xlws.FILTER('Scrum Teams'!$B$2:$B$1006,'Scrum Teams'!$B$2:$B$1006&lt;&gt;"")),_xlfn.XLOOKUP(_xlfn.UNIQUE(_xlfn._xlws.FILTER('Scrum Teams'!$B$2:$B$1006,'Scrum Teams'!$B$2:$B$1006&lt;&gt;"")),'Scrum Teams'!$B:$B,'Scrum Teams'!$A:$A,"")),ROW()-1),"")</f>
        <v>Platinum</v>
      </c>
      <c r="N6" s="115" t="str">
        <f>IF(L6="", "", _xlfn.XLOOKUP(L6, 'Component Masterlist v2'!A:A, 'Component Masterlist v2'!P:P, "Not found"))</f>
        <v>ACCT</v>
      </c>
      <c r="O6" s="116">
        <f t="shared" si="0"/>
        <v>54</v>
      </c>
      <c r="P6" s="115">
        <f>IF(M6="","",_xlfn.LET(
  _xlpm.pos, MATCH(M6,'Scrum Teams'!$B$2:$B$1006,0),
  _xlpm.val, INDEX('Scrum Teams'!$E$2:$E$1006,_xlpm.pos),
  IF(ISBLANK(INDEX('Scrum Teams'!$E$2:$E$1006,_xlpm.pos)),"",_xlpm.val)
))</f>
        <v>108</v>
      </c>
      <c r="Q6" s="217">
        <f t="shared" si="5"/>
        <v>108</v>
      </c>
      <c r="R6" s="117" t="str">
        <f>IF(M6="","",IF(L6="", "Missing component", _xlfn.XLOOKUP(L6, Lookup!A:A, Lookup!D:D, "NA")))</f>
        <v>Sanyam Agrawal</v>
      </c>
      <c r="T6" s="27"/>
      <c r="U6" s="27"/>
      <c r="V6" s="27"/>
      <c r="W6" s="27"/>
      <c r="X6" s="27"/>
    </row>
    <row r="7" spans="1:24">
      <c r="A7" s="30" t="s">
        <v>57</v>
      </c>
      <c r="B7" s="56" t="s">
        <v>533</v>
      </c>
      <c r="C7" s="97"/>
      <c r="D7" s="56">
        <f t="shared" si="1"/>
        <v>112.5</v>
      </c>
      <c r="E7" s="198">
        <f t="shared" si="2"/>
        <v>225</v>
      </c>
      <c r="F7" s="196" t="str" cm="1">
        <f t="array" ref="F7">IF(B7="","",_xlfn.LET(
  _xlpm.comp, TRIM(CLEAN(B7)),
  _xlpm.expected, E7,
  _xlpm.actual, SUMPRODUCT(--(TRIM(CLEAN($H$2:$H$140))=_xlpm.comp), $J$2:$J$140),
  IF(_xlpm.actual=_xlpm.expected, "No", "Mismatch by " &amp; (_xlpm.actual-_xlpm.expected))
))</f>
        <v>No</v>
      </c>
      <c r="G7" s="30" t="str" cm="1">
        <f t="array" ref="G7">IFERROR(INDEX(_xlfn._xlws.SORT(_xlfn.UNIQUE(_xlfn._xlws.FILTER($L$2:$L$140,$L$2:$L$140&lt;&gt;""))),ROW()-1),"")</f>
        <v>AIE_Platform</v>
      </c>
      <c r="H7" s="97" t="str">
        <f>IF(G7="", "", _xlfn.XLOOKUP(G7, 'Component Masterlist v2'!A:A, 'Component Masterlist v2'!P:P, "Not found"))</f>
        <v>AIPL</v>
      </c>
      <c r="I7" s="56">
        <f t="shared" si="3"/>
        <v>45</v>
      </c>
      <c r="J7" s="198">
        <f t="shared" si="4"/>
        <v>90</v>
      </c>
      <c r="K7" s="196" t="str" cm="1">
        <f t="array" ref="K7">IF(G7="","",_xlfn.LET(
  _xlpm.comp, TRIM(CLEAN(G7)),
  _xlpm.expected, J7,
  _xlpm.actual, SUMPRODUCT(--(TRIM(CLEAN($L$2:$L$140))=_xlpm.comp), $Q$2:$Q$140),
  IF(_xlpm.actual=_xlpm.expected, "No", "Mismatch by " &amp; (_xlpm.actual-_xlpm.expected))
))</f>
        <v>No</v>
      </c>
      <c r="L7" s="68" t="str">
        <f>IF(M7="", "", _xlfn.XLOOKUP(M7,'Scrum Teams'!B:B,'Scrum Teams'!A:A,""))</f>
        <v>Accounting</v>
      </c>
      <c r="M7" s="74" t="str" cm="1">
        <f t="array" ref="M7">IFERROR(INDEX(_xlfn.SORTBY(_xlfn.UNIQUE(_xlfn._xlws.FILTER('Scrum Teams'!$B$2:$B$1006,'Scrum Teams'!$B$2:$B$1006&lt;&gt;"")),_xlfn.XLOOKUP(_xlfn.UNIQUE(_xlfn._xlws.FILTER('Scrum Teams'!$B$2:$B$1006,'Scrum Teams'!$B$2:$B$1006&lt;&gt;"")),'Scrum Teams'!$B:$B,'Scrum Teams'!$A:$A,"")),ROW()-1),"")</f>
        <v>Aurum</v>
      </c>
      <c r="N7" s="115" t="str">
        <f>IF(L7="", "", _xlfn.XLOOKUP(L7, 'Component Masterlist v2'!A:A, 'Component Masterlist v2'!P:P, "Not found"))</f>
        <v>ACCT</v>
      </c>
      <c r="O7" s="116">
        <f t="shared" si="0"/>
        <v>18</v>
      </c>
      <c r="P7" s="115">
        <f>IF(M7="","",_xlfn.LET(
  _xlpm.pos, MATCH(M7,'Scrum Teams'!$B$2:$B$1006,0),
  _xlpm.val, INDEX('Scrum Teams'!$E$2:$E$1006,_xlpm.pos),
  IF(ISBLANK(INDEX('Scrum Teams'!$E$2:$E$1006,_xlpm.pos)),"",_xlpm.val)
))</f>
        <v>36</v>
      </c>
      <c r="Q7" s="217">
        <f t="shared" si="5"/>
        <v>36</v>
      </c>
      <c r="R7" s="117" t="str">
        <f>IF(M7="","",IF(L7="", "Missing component", _xlfn.XLOOKUP(L7, Lookup!A:A, Lookup!D:D, "NA")))</f>
        <v>Sanyam Agrawal</v>
      </c>
      <c r="T7" s="27"/>
      <c r="U7" s="27"/>
      <c r="V7" s="27"/>
      <c r="W7" s="27"/>
      <c r="X7" s="27"/>
    </row>
    <row r="8" spans="1:24">
      <c r="A8" s="30" t="s">
        <v>11</v>
      </c>
      <c r="B8" s="56" t="s">
        <v>11</v>
      </c>
      <c r="C8" s="97"/>
      <c r="D8" s="56">
        <f t="shared" si="1"/>
        <v>175.5</v>
      </c>
      <c r="E8" s="198">
        <f t="shared" si="2"/>
        <v>351</v>
      </c>
      <c r="F8" s="196" t="str" cm="1">
        <f t="array" ref="F8">IF(B8="","",_xlfn.LET(
  _xlpm.comp, TRIM(CLEAN(B8)),
  _xlpm.expected, E8,
  _xlpm.actual, SUMPRODUCT(--(TRIM(CLEAN($H$2:$H$140))=_xlpm.comp), $J$2:$J$140),
  IF(_xlpm.actual=_xlpm.expected, "No", "Mismatch by " &amp; (_xlpm.actual-_xlpm.expected))
))</f>
        <v>No</v>
      </c>
      <c r="G8" s="30" t="str" cm="1">
        <f t="array" ref="G8">IFERROR(INDEX(_xlfn._xlws.SORT(_xlfn.UNIQUE(_xlfn._xlws.FILTER($L$2:$L$140,$L$2:$L$140&lt;&gt;""))),ROW()-1),"")</f>
        <v>AMC</v>
      </c>
      <c r="H8" s="97" t="str">
        <f>IF(G8="", "", _xlfn.XLOOKUP(G8, 'Component Masterlist v2'!A:A, 'Component Masterlist v2'!P:P, "Not found"))</f>
        <v>AMC</v>
      </c>
      <c r="I8" s="56">
        <f t="shared" si="3"/>
        <v>45</v>
      </c>
      <c r="J8" s="198">
        <f t="shared" si="4"/>
        <v>90</v>
      </c>
      <c r="K8" s="196" t="str" cm="1">
        <f t="array" ref="K8">IF(G8="","",_xlfn.LET(
  _xlpm.comp, TRIM(CLEAN(G8)),
  _xlpm.expected, J8,
  _xlpm.actual, SUMPRODUCT(--(TRIM(CLEAN($L$2:$L$140))=_xlpm.comp), $Q$2:$Q$140),
  IF(_xlpm.actual=_xlpm.expected, "No", "Mismatch by " &amp; (_xlpm.actual-_xlpm.expected))
))</f>
        <v>No</v>
      </c>
      <c r="L8" s="68" t="str">
        <f>IF(M8="", "", _xlfn.XLOOKUP(M8,'Scrum Teams'!B:B,'Scrum Teams'!A:A,""))</f>
        <v>AEPlatform</v>
      </c>
      <c r="M8" s="74" t="str" cm="1">
        <f t="array" ref="M8">IFERROR(INDEX(_xlfn.SORTBY(_xlfn.UNIQUE(_xlfn._xlws.FILTER('Scrum Teams'!$B$2:$B$1006,'Scrum Teams'!$B$2:$B$1006&lt;&gt;"")),_xlfn.XLOOKUP(_xlfn.UNIQUE(_xlfn._xlws.FILTER('Scrum Teams'!$B$2:$B$1006,'Scrum Teams'!$B$2:$B$1006&lt;&gt;"")),'Scrum Teams'!$B:$B,'Scrum Teams'!$A:$A,"")),ROW()-1),"")</f>
        <v>AEP Chat</v>
      </c>
      <c r="N8" s="115" t="str">
        <f>IF(L8="", "", _xlfn.XLOOKUP(L8, 'Component Masterlist v2'!A:A, 'Component Masterlist v2'!P:P, "Not found"))</f>
        <v>AEP</v>
      </c>
      <c r="O8" s="116">
        <f t="shared" si="0"/>
        <v>30</v>
      </c>
      <c r="P8" s="115">
        <f>IF(M8="","",_xlfn.LET(
  _xlpm.pos, MATCH(M8,'Scrum Teams'!$B$2:$B$1006,0),
  _xlpm.val, INDEX('Scrum Teams'!$E$2:$E$1006,_xlpm.pos),
  IF(ISBLANK(INDEX('Scrum Teams'!$E$2:$E$1006,_xlpm.pos)),"",_xlpm.val)
))</f>
        <v>60</v>
      </c>
      <c r="Q8" s="217">
        <f t="shared" si="5"/>
        <v>60</v>
      </c>
      <c r="R8" s="117" t="str">
        <f>IF(M8="","",IF(L8="", "Missing component", _xlfn.XLOOKUP(L8, Lookup!A:A, Lookup!D:D, "NA")))</f>
        <v>Santosh Golecha</v>
      </c>
      <c r="T8" s="27"/>
      <c r="U8" s="27"/>
      <c r="V8" s="27"/>
      <c r="W8" s="27"/>
      <c r="X8" s="27"/>
    </row>
    <row r="9" spans="1:24">
      <c r="A9" s="30" t="s">
        <v>63</v>
      </c>
      <c r="B9" s="56" t="s">
        <v>63</v>
      </c>
      <c r="C9" s="97"/>
      <c r="D9" s="56">
        <f t="shared" si="1"/>
        <v>170</v>
      </c>
      <c r="E9" s="198">
        <f t="shared" si="2"/>
        <v>340</v>
      </c>
      <c r="F9" s="196" t="str" cm="1">
        <f t="array" ref="F9">IF(B9="","",_xlfn.LET(
  _xlpm.comp, TRIM(CLEAN(B9)),
  _xlpm.expected, E9,
  _xlpm.actual, SUMPRODUCT(--(TRIM(CLEAN($H$2:$H$140))=_xlpm.comp), $J$2:$J$140),
  IF(_xlpm.actual=_xlpm.expected, "No", "Mismatch by " &amp; (_xlpm.actual-_xlpm.expected))
))</f>
        <v>No</v>
      </c>
      <c r="G9" s="30" t="str" cm="1">
        <f t="array" ref="G9">IFERROR(INDEX(_xlfn._xlws.SORT(_xlfn.UNIQUE(_xlfn._xlws.FILTER($L$2:$L$140,$L$2:$L$140&lt;&gt;""))),ROW()-1),"")</f>
        <v>Analytics</v>
      </c>
      <c r="H9" s="97" t="str">
        <f>IF(G9="", "", _xlfn.XLOOKUP(G9, 'Component Masterlist v2'!A:A, 'Component Masterlist v2'!P:P, "Not found"))</f>
        <v>ANLY</v>
      </c>
      <c r="I9" s="56">
        <f t="shared" si="3"/>
        <v>112.5</v>
      </c>
      <c r="J9" s="198">
        <f t="shared" si="4"/>
        <v>225</v>
      </c>
      <c r="K9" s="196" t="str" cm="1">
        <f t="array" ref="K9">IF(G9="","",_xlfn.LET(
  _xlpm.comp, TRIM(CLEAN(G9)),
  _xlpm.expected, J9,
  _xlpm.actual, SUMPRODUCT(--(TRIM(CLEAN($L$2:$L$140))=_xlpm.comp), $Q$2:$Q$140),
  IF(_xlpm.actual=_xlpm.expected, "No", "Mismatch by " &amp; (_xlpm.actual-_xlpm.expected))
))</f>
        <v>No</v>
      </c>
      <c r="L9" s="68" t="str">
        <f>IF(M9="", "", _xlfn.XLOOKUP(M9,'Scrum Teams'!B:B,'Scrum Teams'!A:A,""))</f>
        <v>AEPlatform</v>
      </c>
      <c r="M9" s="74" t="str" cm="1">
        <f t="array" ref="M9">IFERROR(INDEX(_xlfn.SORTBY(_xlfn.UNIQUE(_xlfn._xlws.FILTER('Scrum Teams'!$B$2:$B$1006,'Scrum Teams'!$B$2:$B$1006&lt;&gt;"")),_xlfn.XLOOKUP(_xlfn.UNIQUE(_xlfn._xlws.FILTER('Scrum Teams'!$B$2:$B$1006,'Scrum Teams'!$B$2:$B$1006&lt;&gt;"")),'Scrum Teams'!$B:$B,'Scrum Teams'!$A:$A,"")),ROW()-1),"")</f>
        <v>AEP Checkout</v>
      </c>
      <c r="N9" s="115" t="str">
        <f>IF(L9="", "", _xlfn.XLOOKUP(L9, 'Component Masterlist v2'!A:A, 'Component Masterlist v2'!P:P, "Not found"))</f>
        <v>AEP</v>
      </c>
      <c r="O9" s="116">
        <f t="shared" si="0"/>
        <v>180</v>
      </c>
      <c r="P9" s="115">
        <f>IF(M9="","",_xlfn.LET(
  _xlpm.pos, MATCH(M9,'Scrum Teams'!$B$2:$B$1006,0),
  _xlpm.val, INDEX('Scrum Teams'!$E$2:$E$1006,_xlpm.pos),
  IF(ISBLANK(INDEX('Scrum Teams'!$E$2:$E$1006,_xlpm.pos)),"",_xlpm.val)
))</f>
        <v>360</v>
      </c>
      <c r="Q9" s="217">
        <f t="shared" si="5"/>
        <v>360</v>
      </c>
      <c r="R9" s="117" t="str">
        <f>IF(M9="","",IF(L9="", "Missing component", _xlfn.XLOOKUP(L9, Lookup!A:A, Lookup!D:D, "NA")))</f>
        <v>Santosh Golecha</v>
      </c>
      <c r="T9" s="27"/>
      <c r="U9" s="27"/>
      <c r="V9" s="27"/>
      <c r="W9" s="27"/>
      <c r="X9" s="27"/>
    </row>
    <row r="10" spans="1:24">
      <c r="A10" s="80" t="s">
        <v>13</v>
      </c>
      <c r="B10" s="56" t="s">
        <v>274</v>
      </c>
      <c r="C10" s="97"/>
      <c r="D10" s="56">
        <f t="shared" si="1"/>
        <v>352</v>
      </c>
      <c r="E10" s="198">
        <f t="shared" si="2"/>
        <v>704</v>
      </c>
      <c r="F10" s="196" t="str" cm="1">
        <f t="array" ref="F10">IF(B10="","",_xlfn.LET(
  _xlpm.comp, TRIM(CLEAN(B10)),
  _xlpm.expected, E10,
  _xlpm.actual, SUMPRODUCT(--(TRIM(CLEAN($H$2:$H$140))=_xlpm.comp), $J$2:$J$140),
  IF(_xlpm.actual=_xlpm.expected, "No", "Mismatch by " &amp; (_xlpm.actual-_xlpm.expected))
))</f>
        <v>No</v>
      </c>
      <c r="G10" s="30" t="str" cm="1">
        <f t="array" ref="G10">IFERROR(INDEX(_xlfn._xlws.SORT(_xlfn.UNIQUE(_xlfn._xlws.FILTER($L$2:$L$140,$L$2:$L$140&lt;&gt;""))),ROW()-1),"")</f>
        <v>APC</v>
      </c>
      <c r="H10" s="97" t="str">
        <f>IF(G10="", "", _xlfn.XLOOKUP(G10, 'Component Masterlist v2'!A:A, 'Component Masterlist v2'!P:P, "Not found"))</f>
        <v>APC</v>
      </c>
      <c r="I10" s="56">
        <f t="shared" si="3"/>
        <v>175.5</v>
      </c>
      <c r="J10" s="198">
        <f t="shared" si="4"/>
        <v>351</v>
      </c>
      <c r="K10" s="196" t="str" cm="1">
        <f t="array" ref="K10">IF(G10="","",_xlfn.LET(
  _xlpm.comp, TRIM(CLEAN(G10)),
  _xlpm.expected, J10,
  _xlpm.actual, SUMPRODUCT(--(TRIM(CLEAN($L$2:$L$140))=_xlpm.comp), $Q$2:$Q$140),
  IF(_xlpm.actual=_xlpm.expected, "No", "Mismatch by " &amp; (_xlpm.actual-_xlpm.expected))
))</f>
        <v>No</v>
      </c>
      <c r="L10" s="68" t="str">
        <f>IF(M10="", "", _xlfn.XLOOKUP(M10,'Scrum Teams'!B:B,'Scrum Teams'!A:A,""))</f>
        <v>AEPlatform</v>
      </c>
      <c r="M10" s="74" t="str" cm="1">
        <f t="array" ref="M10">IFERROR(INDEX(_xlfn.SORTBY(_xlfn.UNIQUE(_xlfn._xlws.FILTER('Scrum Teams'!$B$2:$B$1006,'Scrum Teams'!$B$2:$B$1006&lt;&gt;"")),_xlfn.XLOOKUP(_xlfn.UNIQUE(_xlfn._xlws.FILTER('Scrum Teams'!$B$2:$B$1006,'Scrum Teams'!$B$2:$B$1006&lt;&gt;"")),'Scrum Teams'!$B:$B,'Scrum Teams'!$A:$A,"")),ROW()-1),"")</f>
        <v>AEP Core</v>
      </c>
      <c r="N10" s="115" t="str">
        <f>IF(L10="", "", _xlfn.XLOOKUP(L10, 'Component Masterlist v2'!A:A, 'Component Masterlist v2'!P:P, "Not found"))</f>
        <v>AEP</v>
      </c>
      <c r="O10" s="116">
        <f t="shared" si="0"/>
        <v>90</v>
      </c>
      <c r="P10" s="115">
        <f>IF(M10="","",_xlfn.LET(
  _xlpm.pos, MATCH(M10,'Scrum Teams'!$B$2:$B$1006,0),
  _xlpm.val, INDEX('Scrum Teams'!$E$2:$E$1006,_xlpm.pos),
  IF(ISBLANK(INDEX('Scrum Teams'!$E$2:$E$1006,_xlpm.pos)),"",_xlpm.val)
))</f>
        <v>180</v>
      </c>
      <c r="Q10" s="217">
        <f t="shared" si="5"/>
        <v>180</v>
      </c>
      <c r="R10" s="117" t="str">
        <f>IF(M10="","",IF(L10="", "Missing component", _xlfn.XLOOKUP(L10, Lookup!A:A, Lookup!D:D, "NA")))</f>
        <v>Santosh Golecha</v>
      </c>
      <c r="T10" s="27"/>
      <c r="U10" s="27"/>
      <c r="V10" s="27"/>
      <c r="W10" s="27"/>
      <c r="X10" s="27"/>
    </row>
    <row r="11" spans="1:24">
      <c r="A11" s="80" t="s">
        <v>50</v>
      </c>
      <c r="B11" s="56" t="s">
        <v>402</v>
      </c>
      <c r="C11" s="97"/>
      <c r="D11" s="56">
        <f t="shared" si="1"/>
        <v>34</v>
      </c>
      <c r="E11" s="198">
        <f t="shared" si="2"/>
        <v>68</v>
      </c>
      <c r="F11" s="196" t="str" cm="1">
        <f t="array" ref="F11">IF(B11="","",_xlfn.LET(
  _xlpm.comp, TRIM(CLEAN(B11)),
  _xlpm.expected, E11,
  _xlpm.actual, SUMPRODUCT(--(TRIM(CLEAN($H$2:$H$140))=_xlpm.comp), $J$2:$J$140),
  IF(_xlpm.actual=_xlpm.expected, "No", "Mismatch by " &amp; (_xlpm.actual-_xlpm.expected))
))</f>
        <v>No</v>
      </c>
      <c r="G11" s="30" t="str" cm="1">
        <f t="array" ref="G11">IFERROR(INDEX(_xlfn._xlws.SORT(_xlfn.UNIQUE(_xlfn._xlws.FILTER($L$2:$L$140,$L$2:$L$140&lt;&gt;""))),ROW()-1),"")</f>
        <v>APEX</v>
      </c>
      <c r="H11" s="97" t="str">
        <f>IF(G11="", "", _xlfn.XLOOKUP(G11, 'Component Masterlist v2'!A:A, 'Component Masterlist v2'!P:P, "Not found"))</f>
        <v>APEX</v>
      </c>
      <c r="I11" s="56">
        <f t="shared" si="3"/>
        <v>170</v>
      </c>
      <c r="J11" s="198">
        <f t="shared" si="4"/>
        <v>340</v>
      </c>
      <c r="K11" s="196" t="str" cm="1">
        <f t="array" ref="K11">IF(G11="","",_xlfn.LET(
  _xlpm.comp, TRIM(CLEAN(G11)),
  _xlpm.expected, J11,
  _xlpm.actual, SUMPRODUCT(--(TRIM(CLEAN($L$2:$L$140))=_xlpm.comp), $Q$2:$Q$140),
  IF(_xlpm.actual=_xlpm.expected, "No", "Mismatch by " &amp; (_xlpm.actual-_xlpm.expected))
))</f>
        <v>No</v>
      </c>
      <c r="L11" s="68" t="str">
        <f>IF(M11="", "", _xlfn.XLOOKUP(M11,'Scrum Teams'!B:B,'Scrum Teams'!A:A,""))</f>
        <v>AEPlatform</v>
      </c>
      <c r="M11" s="74" t="str" cm="1">
        <f t="array" ref="M11">IFERROR(INDEX(_xlfn.SORTBY(_xlfn.UNIQUE(_xlfn._xlws.FILTER('Scrum Teams'!$B$2:$B$1006,'Scrum Teams'!$B$2:$B$1006&lt;&gt;"")),_xlfn.XLOOKUP(_xlfn.UNIQUE(_xlfn._xlws.FILTER('Scrum Teams'!$B$2:$B$1006,'Scrum Teams'!$B$2:$B$1006&lt;&gt;"")),'Scrum Teams'!$B:$B,'Scrum Teams'!$A:$A,"")),ROW()-1),"")</f>
        <v>AEP Retail</v>
      </c>
      <c r="N11" s="115" t="str">
        <f>IF(L11="", "", _xlfn.XLOOKUP(L11, 'Component Masterlist v2'!A:A, 'Component Masterlist v2'!P:P, "Not found"))</f>
        <v>AEP</v>
      </c>
      <c r="O11" s="116">
        <f t="shared" si="0"/>
        <v>120</v>
      </c>
      <c r="P11" s="115">
        <f>IF(M11="","",_xlfn.LET(
  _xlpm.pos, MATCH(M11,'Scrum Teams'!$B$2:$B$1006,0),
  _xlpm.val, INDEX('Scrum Teams'!$E$2:$E$1006,_xlpm.pos),
  IF(ISBLANK(INDEX('Scrum Teams'!$E$2:$E$1006,_xlpm.pos)),"",_xlpm.val)
))</f>
        <v>240</v>
      </c>
      <c r="Q11" s="217">
        <f t="shared" si="5"/>
        <v>240</v>
      </c>
      <c r="R11" s="117" t="str">
        <f>IF(M11="","",IF(L11="", "Missing component", _xlfn.XLOOKUP(L11, Lookup!A:A, Lookup!D:D, "NA")))</f>
        <v>Santosh Golecha</v>
      </c>
      <c r="T11" s="27"/>
      <c r="U11" s="27"/>
      <c r="V11" s="27"/>
      <c r="W11" s="27"/>
      <c r="X11" s="27"/>
    </row>
    <row r="12" spans="1:24">
      <c r="A12" s="30" t="s">
        <v>91</v>
      </c>
      <c r="B12" s="56" t="s">
        <v>260</v>
      </c>
      <c r="C12" s="97"/>
      <c r="D12" s="56">
        <f t="shared" si="1"/>
        <v>135</v>
      </c>
      <c r="E12" s="198">
        <f t="shared" si="2"/>
        <v>270</v>
      </c>
      <c r="F12" s="196" t="str" cm="1">
        <f t="array" ref="F12">IF(B12="","",_xlfn.LET(
  _xlpm.comp, TRIM(CLEAN(B12)),
  _xlpm.expected, E12,
  _xlpm.actual, SUMPRODUCT(--(TRIM(CLEAN($H$2:$H$140))=_xlpm.comp), $J$2:$J$140),
  IF(_xlpm.actual=_xlpm.expected, "No", "Mismatch by " &amp; (_xlpm.actual-_xlpm.expected))
))</f>
        <v>No</v>
      </c>
      <c r="G12" s="30" t="str" cm="1">
        <f t="array" ref="G12">IFERROR(INDEX(_xlfn._xlws.SORT(_xlfn.UNIQUE(_xlfn._xlws.FILTER($L$2:$L$140,$L$2:$L$140&lt;&gt;""))),ROW()-1),"")</f>
        <v>ApplicationPlatforms</v>
      </c>
      <c r="H12" s="97" t="str">
        <f>IF(G12="", "", _xlfn.XLOOKUP(G12, 'Component Masterlist v2'!A:A, 'Component Masterlist v2'!P:P, "Not found"))</f>
        <v>APLT</v>
      </c>
      <c r="I12" s="56">
        <f t="shared" si="3"/>
        <v>352</v>
      </c>
      <c r="J12" s="198">
        <f t="shared" si="4"/>
        <v>704</v>
      </c>
      <c r="K12" s="196" t="str" cm="1">
        <f t="array" ref="K12">IF(G12="","",_xlfn.LET(
  _xlpm.comp, TRIM(CLEAN(G12)),
  _xlpm.expected, J12,
  _xlpm.actual, SUMPRODUCT(--(TRIM(CLEAN($L$2:$L$140))=_xlpm.comp), $Q$2:$Q$140),
  IF(_xlpm.actual=_xlpm.expected, "No", "Mismatch by " &amp; (_xlpm.actual-_xlpm.expected))
))</f>
        <v>No</v>
      </c>
      <c r="L12" s="68" t="str">
        <f>IF(M12="", "", _xlfn.XLOOKUP(M12,'Scrum Teams'!B:B,'Scrum Teams'!A:A,""))</f>
        <v>AEPlatform</v>
      </c>
      <c r="M12" s="74" t="str" cm="1">
        <f t="array" ref="M12">IFERROR(INDEX(_xlfn.SORTBY(_xlfn.UNIQUE(_xlfn._xlws.FILTER('Scrum Teams'!$B$2:$B$1006,'Scrum Teams'!$B$2:$B$1006&lt;&gt;"")),_xlfn.XLOOKUP(_xlfn.UNIQUE(_xlfn._xlws.FILTER('Scrum Teams'!$B$2:$B$1006,'Scrum Teams'!$B$2:$B$1006&lt;&gt;"")),'Scrum Teams'!$B:$B,'Scrum Teams'!$A:$A,"")),ROW()-1),"")</f>
        <v>AEP FnI</v>
      </c>
      <c r="N12" s="115" t="str">
        <f>IF(L12="", "", _xlfn.XLOOKUP(L12, 'Component Masterlist v2'!A:A, 'Component Masterlist v2'!P:P, "Not found"))</f>
        <v>AEP</v>
      </c>
      <c r="O12" s="116">
        <f t="shared" si="0"/>
        <v>120</v>
      </c>
      <c r="P12" s="115">
        <f>IF(M12="","",_xlfn.LET(
  _xlpm.pos, MATCH(M12,'Scrum Teams'!$B$2:$B$1006,0),
  _xlpm.val, INDEX('Scrum Teams'!$E$2:$E$1006,_xlpm.pos),
  IF(ISBLANK(INDEX('Scrum Teams'!$E$2:$E$1006,_xlpm.pos)),"",_xlpm.val)
))</f>
        <v>240</v>
      </c>
      <c r="Q12" s="217">
        <f t="shared" si="5"/>
        <v>240</v>
      </c>
      <c r="R12" s="117" t="str">
        <f>IF(M12="","",IF(L12="", "Missing component", _xlfn.XLOOKUP(L12, Lookup!A:A, Lookup!D:D, "NA")))</f>
        <v>Santosh Golecha</v>
      </c>
      <c r="T12" s="27"/>
      <c r="U12" s="27"/>
      <c r="V12" s="27"/>
      <c r="W12" s="27"/>
      <c r="X12" s="27"/>
    </row>
    <row r="13" spans="1:24">
      <c r="A13" s="80" t="s">
        <v>82</v>
      </c>
      <c r="B13" s="56" t="s">
        <v>82</v>
      </c>
      <c r="C13" s="97"/>
      <c r="D13" s="56">
        <f t="shared" si="1"/>
        <v>442.5</v>
      </c>
      <c r="E13" s="198">
        <f t="shared" si="2"/>
        <v>885</v>
      </c>
      <c r="F13" s="196" t="str" cm="1">
        <f t="array" ref="F13">IF(B13="","",_xlfn.LET(
  _xlpm.comp, TRIM(CLEAN(B13)),
  _xlpm.expected, E13,
  _xlpm.actual, SUMPRODUCT(--(TRIM(CLEAN($H$2:$H$140))=_xlpm.comp), $J$2:$J$140),
  IF(_xlpm.actual=_xlpm.expected, "No", "Mismatch by " &amp; (_xlpm.actual-_xlpm.expected))
))</f>
        <v>No</v>
      </c>
      <c r="G13" s="30" t="str" cm="1">
        <f t="array" ref="G13">IFERROR(INDEX(_xlfn._xlws.SORT(_xlfn.UNIQUE(_xlfn._xlws.FILTER($L$2:$L$140,$L$2:$L$140&lt;&gt;""))),ROW()-1),"")</f>
        <v>ARCIntegration</v>
      </c>
      <c r="H13" s="97" t="str">
        <f>IF(G13="", "", _xlfn.XLOOKUP(G13, 'Component Masterlist v2'!A:A, 'Component Masterlist v2'!P:P, "Not found"))</f>
        <v>INTG</v>
      </c>
      <c r="I13" s="56">
        <f t="shared" si="3"/>
        <v>285</v>
      </c>
      <c r="J13" s="198">
        <f t="shared" si="4"/>
        <v>570</v>
      </c>
      <c r="K13" s="196" t="str" cm="1">
        <f t="array" ref="K13">IF(G13="","",_xlfn.LET(
  _xlpm.comp, TRIM(CLEAN(G13)),
  _xlpm.expected, J13,
  _xlpm.actual, SUMPRODUCT(--(TRIM(CLEAN($L$2:$L$140))=_xlpm.comp), $Q$2:$Q$140),
  IF(_xlpm.actual=_xlpm.expected, "No", "Mismatch by " &amp; (_xlpm.actual-_xlpm.expected))
))</f>
        <v>No</v>
      </c>
      <c r="L13" s="68" t="str">
        <f>IF(M13="", "", _xlfn.XLOOKUP(M13,'Scrum Teams'!B:B,'Scrum Teams'!A:A,""))</f>
        <v>AEPlatform</v>
      </c>
      <c r="M13" s="74" t="str" cm="1">
        <f t="array" ref="M13">IFERROR(INDEX(_xlfn.SORTBY(_xlfn.UNIQUE(_xlfn._xlws.FILTER('Scrum Teams'!$B$2:$B$1006,'Scrum Teams'!$B$2:$B$1006&lt;&gt;"")),_xlfn.XLOOKUP(_xlfn.UNIQUE(_xlfn._xlws.FILTER('Scrum Teams'!$B$2:$B$1006,'Scrum Teams'!$B$2:$B$1006&lt;&gt;"")),'Scrum Teams'!$B:$B,'Scrum Teams'!$A:$A,"")),ROW()-1),"")</f>
        <v>AEP Pricing</v>
      </c>
      <c r="N13" s="115" t="str">
        <f>IF(L13="", "", _xlfn.XLOOKUP(L13, 'Component Masterlist v2'!A:A, 'Component Masterlist v2'!P:P, "Not found"))</f>
        <v>AEP</v>
      </c>
      <c r="O13" s="116">
        <f t="shared" si="0"/>
        <v>105</v>
      </c>
      <c r="P13" s="115">
        <f>IF(M13="","",_xlfn.LET(
  _xlpm.pos, MATCH(M13,'Scrum Teams'!$B$2:$B$1006,0),
  _xlpm.val, INDEX('Scrum Teams'!$E$2:$E$1006,_xlpm.pos),
  IF(ISBLANK(INDEX('Scrum Teams'!$E$2:$E$1006,_xlpm.pos)),"",_xlpm.val)
))</f>
        <v>210</v>
      </c>
      <c r="Q13" s="217">
        <f t="shared" si="5"/>
        <v>210</v>
      </c>
      <c r="R13" s="117" t="str">
        <f>IF(M13="","",IF(L13="", "Missing component", _xlfn.XLOOKUP(L13, Lookup!A:A, Lookup!D:D, "NA")))</f>
        <v>Santosh Golecha</v>
      </c>
      <c r="T13" s="27"/>
      <c r="U13" s="27"/>
      <c r="V13" s="27"/>
      <c r="W13" s="27"/>
      <c r="X13" s="27"/>
    </row>
    <row r="14" spans="1:24">
      <c r="A14" s="80" t="s">
        <v>924</v>
      </c>
      <c r="B14" s="56" t="s">
        <v>511</v>
      </c>
      <c r="C14" s="97"/>
      <c r="D14" s="56">
        <f t="shared" si="1"/>
        <v>142.5</v>
      </c>
      <c r="E14" s="198">
        <f t="shared" si="2"/>
        <v>285</v>
      </c>
      <c r="F14" s="196" t="str" cm="1">
        <f t="array" ref="F14">IF(B14="","",_xlfn.LET(
  _xlpm.comp, TRIM(CLEAN(B14)),
  _xlpm.expected, E14,
  _xlpm.actual, SUMPRODUCT(--(TRIM(CLEAN($H$2:$H$140))=_xlpm.comp), $J$2:$J$140),
  IF(_xlpm.actual=_xlpm.expected, "No", "Mismatch by " &amp; (_xlpm.actual-_xlpm.expected))
))</f>
        <v>No</v>
      </c>
      <c r="G14" s="30" t="str" cm="1">
        <f t="array" ref="G14">IFERROR(INDEX(_xlfn._xlws.SORT(_xlfn.UNIQUE(_xlfn._xlws.FILTER($L$2:$L$140,$L$2:$L$140&lt;&gt;""))),ROW()-1),"")</f>
        <v>Campaign</v>
      </c>
      <c r="H14" s="97" t="str">
        <f>IF(G14="", "", _xlfn.XLOOKUP(G14, 'Component Masterlist v2'!A:A, 'Component Masterlist v2'!P:P, "Not found"))</f>
        <v>CRM</v>
      </c>
      <c r="I14" s="56">
        <f t="shared" si="3"/>
        <v>77.5</v>
      </c>
      <c r="J14" s="198">
        <f t="shared" si="4"/>
        <v>155</v>
      </c>
      <c r="K14" s="196" t="str" cm="1">
        <f t="array" ref="K14">IF(G14="","",_xlfn.LET(
  _xlpm.comp, TRIM(CLEAN(G14)),
  _xlpm.expected, J14,
  _xlpm.actual, SUMPRODUCT(--(TRIM(CLEAN($L$2:$L$140))=_xlpm.comp), $Q$2:$Q$140),
  IF(_xlpm.actual=_xlpm.expected, "No", "Mismatch by " &amp; (_xlpm.actual-_xlpm.expected))
))</f>
        <v>No</v>
      </c>
      <c r="L14" s="68" t="str">
        <f>IF(M14="", "", _xlfn.XLOOKUP(M14,'Scrum Teams'!B:B,'Scrum Teams'!A:A,""))</f>
        <v>AEPlatform</v>
      </c>
      <c r="M14" s="74" t="str" cm="1">
        <f t="array" ref="M14">IFERROR(INDEX(_xlfn.SORTBY(_xlfn.UNIQUE(_xlfn._xlws.FILTER('Scrum Teams'!$B$2:$B$1006,'Scrum Teams'!$B$2:$B$1006&lt;&gt;"")),_xlfn.XLOOKUP(_xlfn.UNIQUE(_xlfn._xlws.FILTER('Scrum Teams'!$B$2:$B$1006,'Scrum Teams'!$B$2:$B$1006&lt;&gt;"")),'Scrum Teams'!$B:$B,'Scrum Teams'!$A:$A,"")),ROW()-1),"")</f>
        <v>AEP VI</v>
      </c>
      <c r="N14" s="115" t="str">
        <f>IF(L14="", "", _xlfn.XLOOKUP(L14, 'Component Masterlist v2'!A:A, 'Component Masterlist v2'!P:P, "Not found"))</f>
        <v>AEP</v>
      </c>
      <c r="O14" s="116">
        <f t="shared" si="0"/>
        <v>120</v>
      </c>
      <c r="P14" s="115">
        <f>IF(M14="","",_xlfn.LET(
  _xlpm.pos, MATCH(M14,'Scrum Teams'!$B$2:$B$1006,0),
  _xlpm.val, INDEX('Scrum Teams'!$E$2:$E$1006,_xlpm.pos),
  IF(ISBLANK(INDEX('Scrum Teams'!$E$2:$E$1006,_xlpm.pos)),"",_xlpm.val)
))</f>
        <v>240</v>
      </c>
      <c r="Q14" s="217">
        <f t="shared" si="5"/>
        <v>240</v>
      </c>
      <c r="R14" s="117" t="str">
        <f>IF(M14="","",IF(L14="", "Missing component", _xlfn.XLOOKUP(L14, Lookup!A:A, Lookup!D:D, "NA")))</f>
        <v>Santosh Golecha</v>
      </c>
      <c r="T14" s="27"/>
      <c r="U14" s="27"/>
      <c r="V14" s="27"/>
      <c r="W14" s="27"/>
      <c r="X14" s="27"/>
    </row>
    <row r="15" spans="1:24">
      <c r="A15" s="80" t="s">
        <v>925</v>
      </c>
      <c r="B15" s="56" t="s">
        <v>623</v>
      </c>
      <c r="C15" s="97"/>
      <c r="D15" s="56">
        <f t="shared" si="1"/>
        <v>313.5</v>
      </c>
      <c r="E15" s="198">
        <f t="shared" si="2"/>
        <v>627</v>
      </c>
      <c r="F15" s="196" t="str" cm="1">
        <f t="array" ref="F15">IF(B15="","",_xlfn.LET(
  _xlpm.comp, TRIM(CLEAN(B15)),
  _xlpm.expected, E15,
  _xlpm.actual, SUMPRODUCT(--(TRIM(CLEAN($H$2:$H$140))=_xlpm.comp), $J$2:$J$140),
  IF(_xlpm.actual=_xlpm.expected, "No", "Mismatch by " &amp; (_xlpm.actual-_xlpm.expected))
))</f>
        <v>No</v>
      </c>
      <c r="G15" s="30" t="str" cm="1">
        <f t="array" ref="G15">IFERROR(INDEX(_xlfn._xlws.SORT(_xlfn.UNIQUE(_xlfn._xlws.FILTER($L$2:$L$140,$L$2:$L$140&lt;&gt;""))),ROW()-1),"")</f>
        <v>Cashiering</v>
      </c>
      <c r="H15" s="97" t="str">
        <f>IF(G15="", "", _xlfn.XLOOKUP(G15, 'Component Masterlist v2'!A:A, 'Component Masterlist v2'!P:P, "Not found"))</f>
        <v>CASH</v>
      </c>
      <c r="I15" s="56">
        <f t="shared" si="3"/>
        <v>34</v>
      </c>
      <c r="J15" s="198">
        <f t="shared" si="4"/>
        <v>68</v>
      </c>
      <c r="K15" s="196" t="str" cm="1">
        <f t="array" ref="K15">IF(G15="","",_xlfn.LET(
  _xlpm.comp, TRIM(CLEAN(G15)),
  _xlpm.expected, J15,
  _xlpm.actual, SUMPRODUCT(--(TRIM(CLEAN($L$2:$L$140))=_xlpm.comp), $Q$2:$Q$140),
  IF(_xlpm.actual=_xlpm.expected, "No", "Mismatch by " &amp; (_xlpm.actual-_xlpm.expected))
))</f>
        <v>No</v>
      </c>
      <c r="L15" s="68" t="str">
        <f>IF(M15="", "", _xlfn.XLOOKUP(M15,'Scrum Teams'!B:B,'Scrum Teams'!A:A,""))</f>
        <v>AI_Core</v>
      </c>
      <c r="M15" s="74" t="str" cm="1">
        <f t="array" ref="M15">IFERROR(INDEX(_xlfn.SORTBY(_xlfn.UNIQUE(_xlfn._xlws.FILTER('Scrum Teams'!$B$2:$B$1006,'Scrum Teams'!$B$2:$B$1006&lt;&gt;"")),_xlfn.XLOOKUP(_xlfn.UNIQUE(_xlfn._xlws.FILTER('Scrum Teams'!$B$2:$B$1006,'Scrum Teams'!$B$2:$B$1006&lt;&gt;"")),'Scrum Teams'!$B:$B,'Scrum Teams'!$A:$A,"")),ROW()-1),"")</f>
        <v>AI-Generic</v>
      </c>
      <c r="N15" s="115" t="str">
        <f>IF(L15="", "", _xlfn.XLOOKUP(L15, 'Component Masterlist v2'!A:A, 'Component Masterlist v2'!P:P, "Not found"))</f>
        <v>AI</v>
      </c>
      <c r="O15" s="116">
        <f t="shared" si="0"/>
        <v>0</v>
      </c>
      <c r="P15" s="115">
        <f>IF(M15="","",_xlfn.LET(
  _xlpm.pos, MATCH(M15,'Scrum Teams'!$B$2:$B$1006,0),
  _xlpm.val, INDEX('Scrum Teams'!$E$2:$E$1006,_xlpm.pos),
  IF(ISBLANK(INDEX('Scrum Teams'!$E$2:$E$1006,_xlpm.pos)),"",_xlpm.val)
))</f>
        <v>0</v>
      </c>
      <c r="Q15" s="217">
        <f t="shared" si="5"/>
        <v>0</v>
      </c>
      <c r="R15" s="117" t="str">
        <f>IF(M15="","",IF(L15="", "Missing component", _xlfn.XLOOKUP(L15, Lookup!A:A, Lookup!D:D, "NA")))</f>
        <v>Satish Sallakonda</v>
      </c>
      <c r="T15" s="27"/>
      <c r="U15" s="27"/>
      <c r="V15" s="27"/>
      <c r="W15" s="27"/>
      <c r="X15" s="27"/>
    </row>
    <row r="16" spans="1:24">
      <c r="A16" s="80" t="s">
        <v>926</v>
      </c>
      <c r="B16" s="56" t="s">
        <v>523</v>
      </c>
      <c r="C16" s="97"/>
      <c r="D16" s="56">
        <f t="shared" si="1"/>
        <v>238.5</v>
      </c>
      <c r="E16" s="198">
        <f t="shared" si="2"/>
        <v>477</v>
      </c>
      <c r="F16" s="196" t="str" cm="1">
        <f t="array" ref="F16">IF(B16="","",_xlfn.LET(
  _xlpm.comp, TRIM(CLEAN(B16)),
  _xlpm.expected, E16,
  _xlpm.actual, SUMPRODUCT(--(TRIM(CLEAN($H$2:$H$140))=_xlpm.comp), $J$2:$J$140),
  IF(_xlpm.actual=_xlpm.expected, "No", "Mismatch by " &amp; (_xlpm.actual-_xlpm.expected))
))</f>
        <v>No</v>
      </c>
      <c r="G16" s="30" t="str" cm="1">
        <f t="array" ref="G16">IFERROR(INDEX(_xlfn._xlws.SORT(_xlfn.UNIQUE(_xlfn._xlws.FILTER($L$2:$L$140,$L$2:$L$140&lt;&gt;""))),ROW()-1),"")</f>
        <v>Communication</v>
      </c>
      <c r="H16" s="97" t="str">
        <f>IF(G16="", "", _xlfn.XLOOKUP(G16, 'Component Masterlist v2'!A:A, 'Component Masterlist v2'!P:P, "Not found"))</f>
        <v>COMM</v>
      </c>
      <c r="I16" s="56">
        <f t="shared" si="3"/>
        <v>135</v>
      </c>
      <c r="J16" s="198">
        <f t="shared" si="4"/>
        <v>270</v>
      </c>
      <c r="K16" s="196" t="str" cm="1">
        <f t="array" ref="K16">IF(G16="","",_xlfn.LET(
  _xlpm.comp, TRIM(CLEAN(G16)),
  _xlpm.expected, J16,
  _xlpm.actual, SUMPRODUCT(--(TRIM(CLEAN($L$2:$L$140))=_xlpm.comp), $Q$2:$Q$140),
  IF(_xlpm.actual=_xlpm.expected, "No", "Mismatch by " &amp; (_xlpm.actual-_xlpm.expected))
))</f>
        <v>No</v>
      </c>
      <c r="L16" s="68" t="str">
        <f>IF(M16="", "", _xlfn.XLOOKUP(M16,'Scrum Teams'!B:B,'Scrum Teams'!A:A,""))</f>
        <v>AI_Core</v>
      </c>
      <c r="M16" s="74" t="str" cm="1">
        <f t="array" ref="M16">IFERROR(INDEX(_xlfn.SORTBY(_xlfn.UNIQUE(_xlfn._xlws.FILTER('Scrum Teams'!$B$2:$B$1006,'Scrum Teams'!$B$2:$B$1006&lt;&gt;"")),_xlfn.XLOOKUP(_xlfn.UNIQUE(_xlfn._xlws.FILTER('Scrum Teams'!$B$2:$B$1006,'Scrum Teams'!$B$2:$B$1006&lt;&gt;"")),'Scrum Teams'!$B:$B,'Scrum Teams'!$A:$A,"")),ROW()-1),"")</f>
        <v>AI-Retail</v>
      </c>
      <c r="N16" s="115" t="str">
        <f>IF(L16="", "", _xlfn.XLOOKUP(L16, 'Component Masterlist v2'!A:A, 'Component Masterlist v2'!P:P, "Not found"))</f>
        <v>AI</v>
      </c>
      <c r="O16" s="116">
        <f t="shared" si="0"/>
        <v>60</v>
      </c>
      <c r="P16" s="115">
        <f>IF(M16="","",_xlfn.LET(
  _xlpm.pos, MATCH(M16,'Scrum Teams'!$B$2:$B$1006,0),
  _xlpm.val, INDEX('Scrum Teams'!$E$2:$E$1006,_xlpm.pos),
  IF(ISBLANK(INDEX('Scrum Teams'!$E$2:$E$1006,_xlpm.pos)),"",_xlpm.val)
))</f>
        <v>120</v>
      </c>
      <c r="Q16" s="217">
        <f t="shared" si="5"/>
        <v>120</v>
      </c>
      <c r="R16" s="117" t="str">
        <f>IF(M16="","",IF(L16="", "Missing component", _xlfn.XLOOKUP(L16, Lookup!A:A, Lookup!D:D, "NA")))</f>
        <v>Satish Sallakonda</v>
      </c>
      <c r="T16" s="27"/>
      <c r="U16" s="27"/>
      <c r="V16" s="27"/>
      <c r="W16" s="27"/>
      <c r="X16" s="27"/>
    </row>
    <row r="17" spans="1:24">
      <c r="A17" s="80" t="s">
        <v>51</v>
      </c>
      <c r="B17" s="56" t="s">
        <v>399</v>
      </c>
      <c r="C17" s="97"/>
      <c r="D17" s="56">
        <f t="shared" si="1"/>
        <v>44</v>
      </c>
      <c r="E17" s="198">
        <f t="shared" si="2"/>
        <v>88</v>
      </c>
      <c r="F17" s="196" t="str" cm="1">
        <f t="array" ref="F17">IF(B17="","",_xlfn.LET(
  _xlpm.comp, TRIM(CLEAN(B17)),
  _xlpm.expected, E17,
  _xlpm.actual, SUMPRODUCT(--(TRIM(CLEAN($H$2:$H$140))=_xlpm.comp), $J$2:$J$140),
  IF(_xlpm.actual=_xlpm.expected, "No", "Mismatch by " &amp; (_xlpm.actual-_xlpm.expected))
))</f>
        <v>No</v>
      </c>
      <c r="G17" s="30" t="str" cm="1">
        <f t="array" ref="G17">IFERROR(INDEX(_xlfn._xlws.SORT(_xlfn.UNIQUE(_xlfn._xlws.FILTER($L$2:$L$140,$L$2:$L$140&lt;&gt;""))),ROW()-1),"")</f>
        <v>CRM</v>
      </c>
      <c r="H17" s="97" t="str">
        <f>IF(G17="", "", _xlfn.XLOOKUP(G17, 'Component Masterlist v2'!A:A, 'Component Masterlist v2'!P:P, "Not found"))</f>
        <v>CRM</v>
      </c>
      <c r="I17" s="56">
        <f t="shared" si="3"/>
        <v>365</v>
      </c>
      <c r="J17" s="198">
        <f t="shared" si="4"/>
        <v>730</v>
      </c>
      <c r="K17" s="196" t="str" cm="1">
        <f t="array" ref="K17">IF(G17="","",_xlfn.LET(
  _xlpm.comp, TRIM(CLEAN(G17)),
  _xlpm.expected, J17,
  _xlpm.actual, SUMPRODUCT(--(TRIM(CLEAN($L$2:$L$140))=_xlpm.comp), $Q$2:$Q$140),
  IF(_xlpm.actual=_xlpm.expected, "No", "Mismatch by " &amp; (_xlpm.actual-_xlpm.expected))
))</f>
        <v>No</v>
      </c>
      <c r="L17" s="68" t="str">
        <f>IF(M17="", "", _xlfn.XLOOKUP(M17,'Scrum Teams'!B:B,'Scrum Teams'!A:A,""))</f>
        <v>AI_Core</v>
      </c>
      <c r="M17" s="74" t="str" cm="1">
        <f t="array" ref="M17">IFERROR(INDEX(_xlfn.SORTBY(_xlfn.UNIQUE(_xlfn._xlws.FILTER('Scrum Teams'!$B$2:$B$1006,'Scrum Teams'!$B$2:$B$1006&lt;&gt;"")),_xlfn.XLOOKUP(_xlfn.UNIQUE(_xlfn._xlws.FILTER('Scrum Teams'!$B$2:$B$1006,'Scrum Teams'!$B$2:$B$1006&lt;&gt;"")),'Scrum Teams'!$B:$B,'Scrum Teams'!$A:$A,"")),ROW()-1),"")</f>
        <v>AI-SCP</v>
      </c>
      <c r="N17" s="115" t="str">
        <f>IF(L17="", "", _xlfn.XLOOKUP(L17, 'Component Masterlist v2'!A:A, 'Component Masterlist v2'!P:P, "Not found"))</f>
        <v>AI</v>
      </c>
      <c r="O17" s="116">
        <f t="shared" si="0"/>
        <v>30</v>
      </c>
      <c r="P17" s="115">
        <f>IF(M17="","",_xlfn.LET(
  _xlpm.pos, MATCH(M17,'Scrum Teams'!$B$2:$B$1006,0),
  _xlpm.val, INDEX('Scrum Teams'!$E$2:$E$1006,_xlpm.pos),
  IF(ISBLANK(INDEX('Scrum Teams'!$E$2:$E$1006,_xlpm.pos)),"",_xlpm.val)
))</f>
        <v>60</v>
      </c>
      <c r="Q17" s="217">
        <f t="shared" si="5"/>
        <v>60</v>
      </c>
      <c r="R17" s="117" t="str">
        <f>IF(M17="","",IF(L17="", "Missing component", _xlfn.XLOOKUP(L17, Lookup!A:A, Lookup!D:D, "NA")))</f>
        <v>Satish Sallakonda</v>
      </c>
      <c r="T17" s="27"/>
      <c r="U17" s="27"/>
      <c r="V17" s="27"/>
      <c r="W17" s="27"/>
      <c r="X17" s="27"/>
    </row>
    <row r="18" spans="1:24">
      <c r="A18" s="80" t="s">
        <v>84</v>
      </c>
      <c r="B18" s="56" t="s">
        <v>145</v>
      </c>
      <c r="C18" s="97"/>
      <c r="D18" s="56">
        <f t="shared" si="1"/>
        <v>368</v>
      </c>
      <c r="E18" s="198">
        <f t="shared" si="2"/>
        <v>736</v>
      </c>
      <c r="F18" s="196" t="str" cm="1">
        <f t="array" ref="F18">IF(B18="","",_xlfn.LET(
  _xlpm.comp, TRIM(CLEAN(B18)),
  _xlpm.expected, E18,
  _xlpm.actual, SUMPRODUCT(--(TRIM(CLEAN($H$2:$H$140))=_xlpm.comp), $J$2:$J$140),
  IF(_xlpm.actual=_xlpm.expected, "No", "Mismatch by " &amp; (_xlpm.actual-_xlpm.expected))
))</f>
        <v>No</v>
      </c>
      <c r="G18" s="30" t="str" cm="1">
        <f t="array" ref="G18">IFERROR(INDEX(_xlfn._xlws.SORT(_xlfn.UNIQUE(_xlfn._xlws.FILTER($L$2:$L$140,$L$2:$L$140&lt;&gt;""))),ROW()-1),"")</f>
        <v>DataPlatform</v>
      </c>
      <c r="H18" s="97" t="str">
        <f>IF(G18="", "", _xlfn.XLOOKUP(G18, 'Component Masterlist v2'!A:A, 'Component Masterlist v2'!P:P, "Not found"))</f>
        <v>DPLT</v>
      </c>
      <c r="I18" s="56">
        <f t="shared" si="3"/>
        <v>142.5</v>
      </c>
      <c r="J18" s="198">
        <f t="shared" si="4"/>
        <v>285</v>
      </c>
      <c r="K18" s="196" t="str" cm="1">
        <f t="array" ref="K18">IF(G18="","",_xlfn.LET(
  _xlpm.comp, TRIM(CLEAN(G18)),
  _xlpm.expected, J18,
  _xlpm.actual, SUMPRODUCT(--(TRIM(CLEAN($L$2:$L$140))=_xlpm.comp), $Q$2:$Q$140),
  IF(_xlpm.actual=_xlpm.expected, "No", "Mismatch by " &amp; (_xlpm.actual-_xlpm.expected))
))</f>
        <v>No</v>
      </c>
      <c r="L18" s="68" t="str">
        <f>IF(M18="", "", _xlfn.XLOOKUP(M18,'Scrum Teams'!B:B,'Scrum Teams'!A:A,""))</f>
        <v>AI_Core</v>
      </c>
      <c r="M18" s="74" t="str" cm="1">
        <f t="array" ref="M18">IFERROR(INDEX(_xlfn.SORTBY(_xlfn.UNIQUE(_xlfn._xlws.FILTER('Scrum Teams'!$B$2:$B$1006,'Scrum Teams'!$B$2:$B$1006&lt;&gt;"")),_xlfn.XLOOKUP(_xlfn.UNIQUE(_xlfn._xlws.FILTER('Scrum Teams'!$B$2:$B$1006,'Scrum Teams'!$B$2:$B$1006&lt;&gt;"")),'Scrum Teams'!$B:$B,'Scrum Teams'!$A:$A,"")),ROW()-1),"")</f>
        <v>AI-Service</v>
      </c>
      <c r="N18" s="115" t="str">
        <f>IF(L18="", "", _xlfn.XLOOKUP(L18, 'Component Masterlist v2'!A:A, 'Component Masterlist v2'!P:P, "Not found"))</f>
        <v>AI</v>
      </c>
      <c r="O18" s="116">
        <f t="shared" si="0"/>
        <v>60</v>
      </c>
      <c r="P18" s="115">
        <f>IF(M18="","",_xlfn.LET(
  _xlpm.pos, MATCH(M18,'Scrum Teams'!$B$2:$B$1006,0),
  _xlpm.val, INDEX('Scrum Teams'!$E$2:$E$1006,_xlpm.pos),
  IF(ISBLANK(INDEX('Scrum Teams'!$E$2:$E$1006,_xlpm.pos)),"",_xlpm.val)
))</f>
        <v>120</v>
      </c>
      <c r="Q18" s="217">
        <f t="shared" si="5"/>
        <v>120</v>
      </c>
      <c r="R18" s="117" t="str">
        <f>IF(M18="","",IF(L18="", "Missing component", _xlfn.XLOOKUP(L18, Lookup!A:A, Lookup!D:D, "NA")))</f>
        <v>Satish Sallakonda</v>
      </c>
      <c r="T18" s="27"/>
      <c r="U18" s="27"/>
      <c r="V18" s="27"/>
      <c r="W18" s="27"/>
      <c r="X18" s="27"/>
    </row>
    <row r="19" spans="1:24">
      <c r="A19" s="80" t="s">
        <v>85</v>
      </c>
      <c r="B19" s="56" t="s">
        <v>146</v>
      </c>
      <c r="C19" s="97"/>
      <c r="D19" s="56">
        <f t="shared" si="1"/>
        <v>90</v>
      </c>
      <c r="E19" s="198">
        <f t="shared" si="2"/>
        <v>180</v>
      </c>
      <c r="F19" s="196" t="str" cm="1">
        <f t="array" ref="F19">IF(B19="","",_xlfn.LET(
  _xlpm.comp, TRIM(CLEAN(B19)),
  _xlpm.expected, E19,
  _xlpm.actual, SUMPRODUCT(--(TRIM(CLEAN($H$2:$H$140))=_xlpm.comp), $J$2:$J$140),
  IF(_xlpm.actual=_xlpm.expected, "No", "Mismatch by " &amp; (_xlpm.actual-_xlpm.expected))
))</f>
        <v>No</v>
      </c>
      <c r="G19" s="30" t="str" cm="1">
        <f t="array" ref="G19">IFERROR(INDEX(_xlfn._xlws.SORT(_xlfn.UNIQUE(_xlfn._xlws.FILTER($L$2:$L$140,$L$2:$L$140&lt;&gt;""))),ROW()-1),"")</f>
        <v>DigitalRetailing</v>
      </c>
      <c r="H19" s="97" t="str">
        <f>IF(G19="", "", _xlfn.XLOOKUP(G19, 'Component Masterlist v2'!A:A, 'Component Masterlist v2'!P:P, "Not found"))</f>
        <v>DGRT</v>
      </c>
      <c r="I19" s="56">
        <f t="shared" si="3"/>
        <v>238.5</v>
      </c>
      <c r="J19" s="198">
        <f t="shared" si="4"/>
        <v>477</v>
      </c>
      <c r="K19" s="196" t="str" cm="1">
        <f t="array" ref="K19">IF(G19="","",_xlfn.LET(
  _xlpm.comp, TRIM(CLEAN(G19)),
  _xlpm.expected, J19,
  _xlpm.actual, SUMPRODUCT(--(TRIM(CLEAN($L$2:$L$140))=_xlpm.comp), $Q$2:$Q$140),
  IF(_xlpm.actual=_xlpm.expected, "No", "Mismatch by " &amp; (_xlpm.actual-_xlpm.expected))
))</f>
        <v>No</v>
      </c>
      <c r="L19" s="68" t="str">
        <f>IF(M19="", "", _xlfn.XLOOKUP(M19,'Scrum Teams'!B:B,'Scrum Teams'!A:A,""))</f>
        <v>AIBDC</v>
      </c>
      <c r="M19" s="74" t="str" cm="1">
        <f t="array" ref="M19">IFERROR(INDEX(_xlfn.SORTBY(_xlfn.UNIQUE(_xlfn._xlws.FILTER('Scrum Teams'!$B$2:$B$1006,'Scrum Teams'!$B$2:$B$1006&lt;&gt;"")),_xlfn.XLOOKUP(_xlfn.UNIQUE(_xlfn._xlws.FILTER('Scrum Teams'!$B$2:$B$1006,'Scrum Teams'!$B$2:$B$1006&lt;&gt;"")),'Scrum Teams'!$B:$B,'Scrum Teams'!$A:$A,"")),ROW()-1),"")</f>
        <v>AIBDC</v>
      </c>
      <c r="N19" s="115" t="str">
        <f>IF(L19="", "", _xlfn.XLOOKUP(L19, 'Component Masterlist v2'!A:A, 'Component Masterlist v2'!P:P, "Not found"))</f>
        <v>AIB</v>
      </c>
      <c r="O19" s="116">
        <f t="shared" si="0"/>
        <v>87.5</v>
      </c>
      <c r="P19" s="115">
        <f>IF(M19="","",_xlfn.LET(
  _xlpm.pos, MATCH(M19,'Scrum Teams'!$B$2:$B$1006,0),
  _xlpm.val, INDEX('Scrum Teams'!$E$2:$E$1006,_xlpm.pos),
  IF(ISBLANK(INDEX('Scrum Teams'!$E$2:$E$1006,_xlpm.pos)),"",_xlpm.val)
))</f>
        <v>175</v>
      </c>
      <c r="Q19" s="217">
        <f t="shared" si="5"/>
        <v>175</v>
      </c>
      <c r="R19" s="117" t="str">
        <f>IF(M19="","",IF(L19="", "Missing component", _xlfn.XLOOKUP(L19, Lookup!A:A, Lookup!D:D, "NA")))</f>
        <v>Ved Singh</v>
      </c>
      <c r="T19" s="27"/>
      <c r="U19" s="27"/>
      <c r="V19" s="27"/>
      <c r="W19" s="27"/>
      <c r="X19" s="27"/>
    </row>
    <row r="20" spans="1:24">
      <c r="A20" s="30" t="s">
        <v>795</v>
      </c>
      <c r="B20" s="78" t="s">
        <v>795</v>
      </c>
      <c r="C20" s="27"/>
      <c r="D20" s="56">
        <f t="shared" si="1"/>
        <v>1500</v>
      </c>
      <c r="E20" s="198">
        <f t="shared" si="2"/>
        <v>3000</v>
      </c>
      <c r="F20" s="196" t="str" cm="1">
        <f t="array" ref="F20">IF(B20="","",_xlfn.LET(
  _xlpm.comp, TRIM(CLEAN(B20)),
  _xlpm.expected, E20,
  _xlpm.actual, SUMPRODUCT(--(TRIM(CLEAN($H$2:$H$140))=_xlpm.comp), $J$2:$J$140),
  IF(_xlpm.actual=_xlpm.expected, "No", "Mismatch by " &amp; (_xlpm.actual-_xlpm.expected))
))</f>
        <v>No</v>
      </c>
      <c r="G20" s="57" t="str" cm="1">
        <f t="array" ref="G20">IFERROR(INDEX(_xlfn._xlws.SORT(_xlfn.UNIQUE(_xlfn._xlws.FILTER($L$2:$L$140,$L$2:$L$140&lt;&gt;""))),ROW()-1),"")</f>
        <v>DR_GM</v>
      </c>
      <c r="H20" s="237" t="str">
        <f>IF(G20="", "", _xlfn.XLOOKUP(G20, 'Component Masterlist v2'!A:A, 'Component Masterlist v2'!P:P, "Not found"))</f>
        <v>GM</v>
      </c>
      <c r="I20" s="218">
        <v>1500</v>
      </c>
      <c r="J20" s="219">
        <v>3000</v>
      </c>
      <c r="K20" s="196" t="str" cm="1">
        <f t="array" ref="K20">IF(G20="","",_xlfn.LET(
  _xlpm.comp, TRIM(CLEAN(G20)),
  _xlpm.expected, J20,
  _xlpm.actual, SUMPRODUCT(--(TRIM(CLEAN($L$2:$L$140))=_xlpm.comp), $Q$2:$Q$140),
  IF(_xlpm.actual=_xlpm.expected, "No", "Mismatch by " &amp; (_xlpm.actual-_xlpm.expected))
))</f>
        <v>Mismatch by -1635</v>
      </c>
      <c r="L20" s="68" t="str">
        <f>IF(M20="", "", _xlfn.XLOOKUP(M20,'Scrum Teams'!B:B,'Scrum Teams'!A:A,""))</f>
        <v>AIE_Core</v>
      </c>
      <c r="M20" s="74" t="str" cm="1">
        <f t="array" ref="M20">IFERROR(INDEX(_xlfn.SORTBY(_xlfn.UNIQUE(_xlfn._xlws.FILTER('Scrum Teams'!$B$2:$B$1006,'Scrum Teams'!$B$2:$B$1006&lt;&gt;"")),_xlfn.XLOOKUP(_xlfn.UNIQUE(_xlfn._xlws.FILTER('Scrum Teams'!$B$2:$B$1006,'Scrum Teams'!$B$2:$B$1006&lt;&gt;"")),'Scrum Teams'!$B:$B,'Scrum Teams'!$A:$A,"")),ROW()-1),"")</f>
        <v>AIE-Generic</v>
      </c>
      <c r="N20" s="115" t="str">
        <f>IF(L20="", "", _xlfn.XLOOKUP(L20, 'Component Masterlist v2'!A:A, 'Component Masterlist v2'!P:P, "Not found"))</f>
        <v>AIPL</v>
      </c>
      <c r="O20" s="116">
        <f t="shared" si="0"/>
        <v>22.5</v>
      </c>
      <c r="P20" s="115">
        <f>IF(M20="","",_xlfn.LET(
  _xlpm.pos, MATCH(M20,'Scrum Teams'!$B$2:$B$1006,0),
  _xlpm.val, INDEX('Scrum Teams'!$E$2:$E$1006,_xlpm.pos),
  IF(ISBLANK(INDEX('Scrum Teams'!$E$2:$E$1006,_xlpm.pos)),"",_xlpm.val)
))</f>
        <v>45</v>
      </c>
      <c r="Q20" s="217">
        <f t="shared" si="5"/>
        <v>45</v>
      </c>
      <c r="R20" s="117" t="str">
        <f>IF(M20="","",IF(L20="", "Missing component", _xlfn.XLOOKUP(L20, Lookup!A:A, Lookup!D:D, "NA")))</f>
        <v>Satish Sallakonda</v>
      </c>
      <c r="T20" s="27"/>
      <c r="U20" s="27"/>
      <c r="V20" s="27"/>
      <c r="W20" s="27"/>
      <c r="X20" s="27"/>
    </row>
    <row r="21" spans="1:24">
      <c r="A21" s="80" t="s">
        <v>927</v>
      </c>
      <c r="B21" s="56" t="s">
        <v>591</v>
      </c>
      <c r="C21" s="97"/>
      <c r="D21" s="56">
        <f t="shared" si="1"/>
        <v>670.5</v>
      </c>
      <c r="E21" s="198">
        <f t="shared" si="2"/>
        <v>1341</v>
      </c>
      <c r="F21" s="196" t="str" cm="1">
        <f t="array" ref="F21">IF(B21="","",_xlfn.LET(
  _xlpm.comp, TRIM(CLEAN(B21)),
  _xlpm.expected, E21,
  _xlpm.actual, SUMPRODUCT(--(TRIM(CLEAN($H$2:$H$140))=_xlpm.comp), $J$2:$J$140),
  IF(_xlpm.actual=_xlpm.expected, "No", "Mismatch by " &amp; (_xlpm.actual-_xlpm.expected))
))</f>
        <v>No</v>
      </c>
      <c r="G21" s="57" t="str" cm="1">
        <f t="array" ref="G21">IFERROR(INDEX(_xlfn._xlws.SORT(_xlfn.UNIQUE(_xlfn._xlws.FILTER($L$2:$L$140,$L$2:$L$140&lt;&gt;""))),ROW()-1),"")</f>
        <v>DR_Honda</v>
      </c>
      <c r="H21" s="237" t="str">
        <f>IF(G21="", "", _xlfn.XLOOKUP(G21, 'Component Masterlist v2'!A:A, 'Component Masterlist v2'!P:P, "Not found"))</f>
        <v>AHM</v>
      </c>
      <c r="I21" s="218">
        <v>305.5</v>
      </c>
      <c r="J21" s="219">
        <v>611</v>
      </c>
      <c r="K21" s="196" t="str" cm="1">
        <f t="array" ref="K21">IF(G21="","",_xlfn.LET(
  _xlpm.comp, TRIM(CLEAN(G21)),
  _xlpm.expected, J21,
  _xlpm.actual, SUMPRODUCT(--(TRIM(CLEAN($L$2:$L$140))=_xlpm.comp), $Q$2:$Q$140),
  IF(_xlpm.actual=_xlpm.expected, "No", "Mismatch by " &amp; (_xlpm.actual-_xlpm.expected))
))</f>
        <v>Mismatch by -288</v>
      </c>
      <c r="L21" s="68" t="str">
        <f>IF(M21="", "", _xlfn.XLOOKUP(M21,'Scrum Teams'!B:B,'Scrum Teams'!A:A,""))</f>
        <v>AIE_Core</v>
      </c>
      <c r="M21" s="74" t="str" cm="1">
        <f t="array" ref="M21">IFERROR(INDEX(_xlfn.SORTBY(_xlfn.UNIQUE(_xlfn._xlws.FILTER('Scrum Teams'!$B$2:$B$1006,'Scrum Teams'!$B$2:$B$1006&lt;&gt;"")),_xlfn.XLOOKUP(_xlfn.UNIQUE(_xlfn._xlws.FILTER('Scrum Teams'!$B$2:$B$1006,'Scrum Teams'!$B$2:$B$1006&lt;&gt;"")),'Scrum Teams'!$B:$B,'Scrum Teams'!$A:$A,"")),ROW()-1),"")</f>
        <v>AIE-Retail</v>
      </c>
      <c r="N21" s="115" t="str">
        <f>IF(L21="", "", _xlfn.XLOOKUP(L21, 'Component Masterlist v2'!A:A, 'Component Masterlist v2'!P:P, "Not found"))</f>
        <v>AIPL</v>
      </c>
      <c r="O21" s="116">
        <f t="shared" si="0"/>
        <v>22.5</v>
      </c>
      <c r="P21" s="115">
        <f>IF(M21="","",_xlfn.LET(
  _xlpm.pos, MATCH(M21,'Scrum Teams'!$B$2:$B$1006,0),
  _xlpm.val, INDEX('Scrum Teams'!$E$2:$E$1006,_xlpm.pos),
  IF(ISBLANK(INDEX('Scrum Teams'!$E$2:$E$1006,_xlpm.pos)),"",_xlpm.val)
))</f>
        <v>45</v>
      </c>
      <c r="Q21" s="217">
        <f t="shared" si="5"/>
        <v>45</v>
      </c>
      <c r="R21" s="117" t="str">
        <f>IF(M21="","",IF(L21="", "Missing component", _xlfn.XLOOKUP(L21, Lookup!A:A, Lookup!D:D, "NA")))</f>
        <v>Satish Sallakonda</v>
      </c>
      <c r="T21" s="27"/>
      <c r="U21" s="27"/>
      <c r="V21" s="27"/>
      <c r="W21" s="27"/>
      <c r="X21" s="27"/>
    </row>
    <row r="22" spans="1:24">
      <c r="A22" s="80" t="s">
        <v>153</v>
      </c>
      <c r="B22" s="56" t="s">
        <v>154</v>
      </c>
      <c r="C22" s="97"/>
      <c r="D22" s="56">
        <f t="shared" si="1"/>
        <v>45</v>
      </c>
      <c r="E22" s="198">
        <f t="shared" si="2"/>
        <v>90</v>
      </c>
      <c r="F22" s="196" t="str" cm="1">
        <f t="array" ref="F22">IF(B22="","",_xlfn.LET(
  _xlpm.comp, TRIM(CLEAN(B22)),
  _xlpm.expected, E22,
  _xlpm.actual, SUMPRODUCT(--(TRIM(CLEAN($H$2:$H$140))=_xlpm.comp), $J$2:$J$140),
  IF(_xlpm.actual=_xlpm.expected, "No", "Mismatch by " &amp; (_xlpm.actual-_xlpm.expected))
))</f>
        <v>No</v>
      </c>
      <c r="G22" s="30" t="str" cm="1">
        <f t="array" ref="G22">IFERROR(INDEX(_xlfn._xlws.SORT(_xlfn.UNIQUE(_xlfn._xlws.FILTER($L$2:$L$140,$L$2:$L$140&lt;&gt;""))),ROW()-1),"")</f>
        <v>DR_Hyundai</v>
      </c>
      <c r="H22" s="97" t="str">
        <f>IF(G22="", "", _xlfn.XLOOKUP(G22, 'Component Masterlist v2'!A:A, 'Component Masterlist v2'!P:P, "Not found"))</f>
        <v>HYUN</v>
      </c>
      <c r="I22" s="56">
        <f t="shared" ref="I22:I23" si="6">IF(J22="","",J22/2)</f>
        <v>45</v>
      </c>
      <c r="J22" s="198">
        <f t="shared" ref="J22" si="7">IF(G22="","",SUMIFS($Q$2:$Q$140,$L$2:$L$140,G22))</f>
        <v>90</v>
      </c>
      <c r="K22" s="196" t="str" cm="1">
        <f t="array" ref="K22">IF(G22="","",_xlfn.LET(
  _xlpm.comp, TRIM(CLEAN(G22)),
  _xlpm.expected, J22,
  _xlpm.actual, SUMPRODUCT(--(TRIM(CLEAN($L$2:$L$140))=_xlpm.comp), $Q$2:$Q$140),
  IF(_xlpm.actual=_xlpm.expected, "No", "Mismatch by " &amp; (_xlpm.actual-_xlpm.expected))
))</f>
        <v>No</v>
      </c>
      <c r="L22" s="68" t="str">
        <f>IF(M22="", "", _xlfn.XLOOKUP(M22,'Scrum Teams'!B:B,'Scrum Teams'!A:A,""))</f>
        <v>AIE_Core</v>
      </c>
      <c r="M22" s="74" t="str" cm="1">
        <f t="array" ref="M22">IFERROR(INDEX(_xlfn.SORTBY(_xlfn.UNIQUE(_xlfn._xlws.FILTER('Scrum Teams'!$B$2:$B$1006,'Scrum Teams'!$B$2:$B$1006&lt;&gt;"")),_xlfn.XLOOKUP(_xlfn.UNIQUE(_xlfn._xlws.FILTER('Scrum Teams'!$B$2:$B$1006,'Scrum Teams'!$B$2:$B$1006&lt;&gt;"")),'Scrum Teams'!$B:$B,'Scrum Teams'!$A:$A,"")),ROW()-1),"")</f>
        <v>AIE-Service</v>
      </c>
      <c r="N22" s="115" t="str">
        <f>IF(L22="", "", _xlfn.XLOOKUP(L22, 'Component Masterlist v2'!A:A, 'Component Masterlist v2'!P:P, "Not found"))</f>
        <v>AIPL</v>
      </c>
      <c r="O22" s="116">
        <f t="shared" si="0"/>
        <v>22.5</v>
      </c>
      <c r="P22" s="115">
        <f>IF(M22="","",_xlfn.LET(
  _xlpm.pos, MATCH(M22,'Scrum Teams'!$B$2:$B$1006,0),
  _xlpm.val, INDEX('Scrum Teams'!$E$2:$E$1006,_xlpm.pos),
  IF(ISBLANK(INDEX('Scrum Teams'!$E$2:$E$1006,_xlpm.pos)),"",_xlpm.val)
))</f>
        <v>45</v>
      </c>
      <c r="Q22" s="217">
        <f t="shared" si="5"/>
        <v>45</v>
      </c>
      <c r="R22" s="117" t="str">
        <f>IF(M22="","",IF(L22="", "Missing component", _xlfn.XLOOKUP(L22, Lookup!A:A, Lookup!D:D, "NA")))</f>
        <v>Satish Sallakonda</v>
      </c>
      <c r="T22" s="27"/>
      <c r="U22" s="27"/>
      <c r="V22" s="27"/>
      <c r="W22" s="27"/>
      <c r="X22" s="27"/>
    </row>
    <row r="23" spans="1:24">
      <c r="A23" s="80" t="s">
        <v>139</v>
      </c>
      <c r="B23" s="56" t="s">
        <v>306</v>
      </c>
      <c r="C23" s="97"/>
      <c r="D23" s="56">
        <f t="shared" si="1"/>
        <v>285</v>
      </c>
      <c r="E23" s="198">
        <f t="shared" si="2"/>
        <v>570</v>
      </c>
      <c r="F23" s="196" t="str" cm="1">
        <f t="array" ref="F23">IF(B23="","",_xlfn.LET(
  _xlpm.comp, TRIM(CLEAN(B23)),
  _xlpm.expected, E23,
  _xlpm.actual, SUMPRODUCT(--(TRIM(CLEAN($H$2:$H$140))=_xlpm.comp), $J$2:$J$140),
  IF(_xlpm.actual=_xlpm.expected, "No", "Mismatch by " &amp; (_xlpm.actual-_xlpm.expected))
))</f>
        <v>No</v>
      </c>
      <c r="G23" s="30" t="str" cm="1">
        <f t="array" ref="G23">IFERROR(INDEX(_xlfn._xlws.SORT(_xlfn.UNIQUE(_xlfn._xlws.FILTER($L$2:$L$140,$L$2:$L$140&lt;&gt;""))),ROW()-1),"")</f>
        <v>eSign_Platform</v>
      </c>
      <c r="H23" s="97" t="str">
        <f>IF(G23="", "", _xlfn.XLOOKUP(G23, 'Component Masterlist v2'!A:A, 'Component Masterlist v2'!P:P, "Not found"))</f>
        <v>ESGN</v>
      </c>
      <c r="I23" s="56">
        <f t="shared" si="6"/>
        <v>44</v>
      </c>
      <c r="J23" s="198">
        <f t="shared" ref="J23" si="8">IF(G23="","",SUMIFS($Q$2:$Q$140,$L$2:$L$140,G23))</f>
        <v>88</v>
      </c>
      <c r="K23" s="196" t="str" cm="1">
        <f t="array" ref="K23">IF(G23="","",_xlfn.LET(
  _xlpm.comp, TRIM(CLEAN(G23)),
  _xlpm.expected, J23,
  _xlpm.actual, SUMPRODUCT(--(TRIM(CLEAN($L$2:$L$140))=_xlpm.comp), $Q$2:$Q$140),
  IF(_xlpm.actual=_xlpm.expected, "No", "Mismatch by " &amp; (_xlpm.actual-_xlpm.expected))
))</f>
        <v>No</v>
      </c>
      <c r="L23" s="68" t="str">
        <f>IF(M23="", "", _xlfn.XLOOKUP(M23,'Scrum Teams'!B:B,'Scrum Teams'!A:A,""))</f>
        <v>AIE_Platform</v>
      </c>
      <c r="M23" s="74" t="str" cm="1">
        <f t="array" ref="M23">IFERROR(INDEX(_xlfn.SORTBY(_xlfn.UNIQUE(_xlfn._xlws.FILTER('Scrum Teams'!$B$2:$B$1006,'Scrum Teams'!$B$2:$B$1006&lt;&gt;"")),_xlfn.XLOOKUP(_xlfn.UNIQUE(_xlfn._xlws.FILTER('Scrum Teams'!$B$2:$B$1006,'Scrum Teams'!$B$2:$B$1006&lt;&gt;"")),'Scrum Teams'!$B:$B,'Scrum Teams'!$A:$A,"")),ROW()-1),"")</f>
        <v>AIE_Platform</v>
      </c>
      <c r="N23" s="115" t="str">
        <f>IF(L23="", "", _xlfn.XLOOKUP(L23, 'Component Masterlist v2'!A:A, 'Component Masterlist v2'!P:P, "Not found"))</f>
        <v>AIPL</v>
      </c>
      <c r="O23" s="116">
        <f t="shared" si="0"/>
        <v>45</v>
      </c>
      <c r="P23" s="115">
        <f>IF(M23="","",_xlfn.LET(
  _xlpm.pos, MATCH(M23,'Scrum Teams'!$B$2:$B$1006,0),
  _xlpm.val, INDEX('Scrum Teams'!$E$2:$E$1006,_xlpm.pos),
  IF(ISBLANK(INDEX('Scrum Teams'!$E$2:$E$1006,_xlpm.pos)),"",_xlpm.val)
))</f>
        <v>90</v>
      </c>
      <c r="Q23" s="217">
        <f t="shared" si="5"/>
        <v>90</v>
      </c>
      <c r="R23" s="117" t="str">
        <f>IF(M23="","",IF(L23="", "Missing component", _xlfn.XLOOKUP(L23, Lookup!A:A, Lookup!D:D, "NA")))</f>
        <v>Satish Sallakonda</v>
      </c>
      <c r="T23" s="27"/>
      <c r="U23" s="27"/>
      <c r="V23" s="27"/>
      <c r="W23" s="27"/>
      <c r="X23" s="27"/>
    </row>
    <row r="24" spans="1:24">
      <c r="A24" s="80" t="s">
        <v>928</v>
      </c>
      <c r="B24" s="56" t="s">
        <v>38</v>
      </c>
      <c r="C24" s="97"/>
      <c r="D24" s="56">
        <f t="shared" si="1"/>
        <v>45</v>
      </c>
      <c r="E24" s="198">
        <f t="shared" si="2"/>
        <v>90</v>
      </c>
      <c r="F24" s="196" t="str" cm="1">
        <f t="array" ref="F24">IF(B24="","",_xlfn.LET(
  _xlpm.comp, TRIM(CLEAN(B24)),
  _xlpm.expected, E24,
  _xlpm.actual, SUMPRODUCT(--(TRIM(CLEAN($H$2:$H$140))=_xlpm.comp), $J$2:$J$140),
  IF(_xlpm.actual=_xlpm.expected, "No", "Mismatch by " &amp; (_xlpm.actual-_xlpm.expected))
))</f>
        <v>No</v>
      </c>
      <c r="G24" s="57" t="str" cm="1">
        <f t="array" ref="G24">IFERROR(INDEX(_xlfn._xlws.SORT(_xlfn.UNIQUE(_xlfn._xlws.FILTER($L$2:$L$140,$L$2:$L$140&lt;&gt;""))),ROW()-1),"")</f>
        <v>Fleet_Honda</v>
      </c>
      <c r="H24" s="237" t="str">
        <f>IF(G24="", "", _xlfn.XLOOKUP(G24, 'Component Masterlist v2'!A:A, 'Component Masterlist v2'!P:P, "Not found"))</f>
        <v>AHM</v>
      </c>
      <c r="I24" s="218">
        <v>365</v>
      </c>
      <c r="J24" s="219">
        <v>730</v>
      </c>
      <c r="K24" s="196" t="str" cm="1">
        <f t="array" ref="K24">IF(G24="","",_xlfn.LET(
  _xlpm.comp, TRIM(CLEAN(G24)),
  _xlpm.expected, J24,
  _xlpm.actual, SUMPRODUCT(--(TRIM(CLEAN($L$2:$L$140))=_xlpm.comp), $Q$2:$Q$140),
  IF(_xlpm.actual=_xlpm.expected, "No", "Mismatch by " &amp; (_xlpm.actual-_xlpm.expected))
))</f>
        <v>Mismatch by -488</v>
      </c>
      <c r="L24" s="68" t="str">
        <f>IF(M24="", "", _xlfn.XLOOKUP(M24,'Scrum Teams'!B:B,'Scrum Teams'!A:A,""))</f>
        <v>AMC</v>
      </c>
      <c r="M24" s="74" t="str" cm="1">
        <f t="array" ref="M24">IFERROR(INDEX(_xlfn.SORTBY(_xlfn.UNIQUE(_xlfn._xlws.FILTER('Scrum Teams'!$B$2:$B$1006,'Scrum Teams'!$B$2:$B$1006&lt;&gt;"")),_xlfn.XLOOKUP(_xlfn.UNIQUE(_xlfn._xlws.FILTER('Scrum Teams'!$B$2:$B$1006,'Scrum Teams'!$B$2:$B$1006&lt;&gt;"")),'Scrum Teams'!$B:$B,'Scrum Teams'!$A:$A,"")),ROW()-1),"")</f>
        <v>AMC</v>
      </c>
      <c r="N24" s="115" t="str">
        <f>IF(L24="", "", _xlfn.XLOOKUP(L24, 'Component Masterlist v2'!A:A, 'Component Masterlist v2'!P:P, "Not found"))</f>
        <v>AMC</v>
      </c>
      <c r="O24" s="116" t="str">
        <f t="shared" si="0"/>
        <v/>
      </c>
      <c r="P24" s="115" t="str">
        <f>IF(M24="","",_xlfn.LET(
  _xlpm.pos, MATCH(M24,'Scrum Teams'!$B$2:$B$1006,0),
  _xlpm.val, INDEX('Scrum Teams'!$E$2:$E$1006,_xlpm.pos),
  IF(ISBLANK(INDEX('Scrum Teams'!$E$2:$E$1006,_xlpm.pos)),"",_xlpm.val)
))</f>
        <v/>
      </c>
      <c r="Q24" s="217">
        <f t="shared" si="5"/>
        <v>90</v>
      </c>
      <c r="R24" s="117" t="str">
        <f>IF(M24="","",IF(L24="", "Missing component", _xlfn.XLOOKUP(L24, Lookup!A:A, Lookup!D:D, "NA")))</f>
        <v>Santosh Golecha</v>
      </c>
      <c r="T24" s="27"/>
      <c r="U24" s="27"/>
      <c r="V24" s="27"/>
      <c r="W24" s="27"/>
      <c r="X24" s="27"/>
    </row>
    <row r="25" spans="1:24">
      <c r="A25" s="80" t="s">
        <v>929</v>
      </c>
      <c r="B25" s="56" t="s">
        <v>697</v>
      </c>
      <c r="C25" s="97"/>
      <c r="D25" s="56">
        <f t="shared" si="1"/>
        <v>85</v>
      </c>
      <c r="E25" s="198">
        <f t="shared" si="2"/>
        <v>170</v>
      </c>
      <c r="F25" s="196" t="str" cm="1">
        <f t="array" ref="F25">IF(B25="","",_xlfn.LET(
  _xlpm.comp, TRIM(CLEAN(B25)),
  _xlpm.expected, E25,
  _xlpm.actual, SUMPRODUCT(--(TRIM(CLEAN($H$2:$H$140))=_xlpm.comp), $J$2:$J$140),
  IF(_xlpm.actual=_xlpm.expected, "No", "Mismatch by " &amp; (_xlpm.actual-_xlpm.expected))
))</f>
        <v>No</v>
      </c>
      <c r="G25" s="30" t="str" cm="1">
        <f t="array" ref="G25">IFERROR(INDEX(_xlfn._xlws.SORT(_xlfn.UNIQUE(_xlfn._xlws.FILTER($L$2:$L$140,$L$2:$L$140&lt;&gt;""))),ROW()-1),"")</f>
        <v>FnI</v>
      </c>
      <c r="H25" s="97" t="str">
        <f>IF(G25="", "", _xlfn.XLOOKUP(G25, 'Component Masterlist v2'!A:A, 'Component Masterlist v2'!P:P, "Not found"))</f>
        <v>FNI</v>
      </c>
      <c r="I25" s="56">
        <f t="shared" ref="I25:I27" si="9">IF(J25="","",J25/2)</f>
        <v>368</v>
      </c>
      <c r="J25" s="198">
        <f t="shared" ref="J25" si="10">IF(G25="","",SUMIFS($Q$2:$Q$140,$L$2:$L$140,G25))</f>
        <v>736</v>
      </c>
      <c r="K25" s="196" t="str" cm="1">
        <f t="array" ref="K25">IF(G25="","",_xlfn.LET(
  _xlpm.comp, TRIM(CLEAN(G25)),
  _xlpm.expected, J25,
  _xlpm.actual, SUMPRODUCT(--(TRIM(CLEAN($L$2:$L$140))=_xlpm.comp), $Q$2:$Q$140),
  IF(_xlpm.actual=_xlpm.expected, "No", "Mismatch by " &amp; (_xlpm.actual-_xlpm.expected))
))</f>
        <v>No</v>
      </c>
      <c r="L25" s="68" t="str">
        <f>IF(M25="", "", _xlfn.XLOOKUP(M25,'Scrum Teams'!B:B,'Scrum Teams'!A:A,""))</f>
        <v>Analytics</v>
      </c>
      <c r="M25" s="74" t="str" cm="1">
        <f t="array" ref="M25">IFERROR(INDEX(_xlfn.SORTBY(_xlfn.UNIQUE(_xlfn._xlws.FILTER('Scrum Teams'!$B$2:$B$1006,'Scrum Teams'!$B$2:$B$1006&lt;&gt;"")),_xlfn.XLOOKUP(_xlfn.UNIQUE(_xlfn._xlws.FILTER('Scrum Teams'!$B$2:$B$1006,'Scrum Teams'!$B$2:$B$1006&lt;&gt;"")),'Scrum Teams'!$B:$B,'Scrum Teams'!$A:$A,"")),ROW()-1),"")</f>
        <v>Analytics-Eng</v>
      </c>
      <c r="N25" s="115" t="str">
        <f>IF(L25="", "", _xlfn.XLOOKUP(L25, 'Component Masterlist v2'!A:A, 'Component Masterlist v2'!P:P, "Not found"))</f>
        <v>ANLY</v>
      </c>
      <c r="O25" s="116">
        <f t="shared" si="0"/>
        <v>112.5</v>
      </c>
      <c r="P25" s="115">
        <f>IF(M25="","",_xlfn.LET(
  _xlpm.pos, MATCH(M25,'Scrum Teams'!$B$2:$B$1006,0),
  _xlpm.val, INDEX('Scrum Teams'!$E$2:$E$1006,_xlpm.pos),
  IF(ISBLANK(INDEX('Scrum Teams'!$E$2:$E$1006,_xlpm.pos)),"",_xlpm.val)
))</f>
        <v>225</v>
      </c>
      <c r="Q25" s="217">
        <f t="shared" si="5"/>
        <v>225</v>
      </c>
      <c r="R25" s="117" t="str">
        <f>IF(M25="","",IF(L25="", "Missing component", _xlfn.XLOOKUP(L25, Lookup!A:A, Lookup!D:D, "NA")))</f>
        <v>Satish Sallakonda</v>
      </c>
    </row>
    <row r="26" spans="1:24">
      <c r="A26" s="80" t="s">
        <v>47</v>
      </c>
      <c r="B26" s="56" t="s">
        <v>149</v>
      </c>
      <c r="C26" s="97"/>
      <c r="D26" s="56">
        <f t="shared" si="1"/>
        <v>336</v>
      </c>
      <c r="E26" s="198">
        <f t="shared" si="2"/>
        <v>672</v>
      </c>
      <c r="F26" s="196" t="str" cm="1">
        <f t="array" ref="F26">IF(B26="","",_xlfn.LET(
  _xlpm.comp, TRIM(CLEAN(B26)),
  _xlpm.expected, E26,
  _xlpm.actual, SUMPRODUCT(--(TRIM(CLEAN($H$2:$H$140))=_xlpm.comp), $J$2:$J$140),
  IF(_xlpm.actual=_xlpm.expected, "No", "Mismatch by " &amp; (_xlpm.actual-_xlpm.expected))
))</f>
        <v>No</v>
      </c>
      <c r="G26" s="30" t="str" cm="1">
        <f t="array" ref="G26">IFERROR(INDEX(_xlfn._xlws.SORT(_xlfn.UNIQUE(_xlfn._xlws.FILTER($L$2:$L$140,$L$2:$L$140&lt;&gt;""))),ROW()-1),"")</f>
        <v>Galaxy</v>
      </c>
      <c r="H26" s="97" t="str">
        <f>IF(G26="", "", _xlfn.XLOOKUP(G26, 'Component Masterlist v2'!A:A, 'Component Masterlist v2'!P:P, "Not found"))</f>
        <v>GAL</v>
      </c>
      <c r="I26" s="56">
        <f t="shared" si="9"/>
        <v>90</v>
      </c>
      <c r="J26" s="198">
        <f t="shared" ref="J26:J27" si="11">IF(G26="","",SUMIFS($Q$2:$Q$140,$L$2:$L$140,G26))</f>
        <v>180</v>
      </c>
      <c r="K26" s="196" t="str" cm="1">
        <f t="array" ref="K26">IF(G26="","",_xlfn.LET(
  _xlpm.comp, TRIM(CLEAN(G26)),
  _xlpm.expected, J26,
  _xlpm.actual, SUMPRODUCT(--(TRIM(CLEAN($L$2:$L$140))=_xlpm.comp), $Q$2:$Q$140),
  IF(_xlpm.actual=_xlpm.expected, "No", "Mismatch by " &amp; (_xlpm.actual-_xlpm.expected))
))</f>
        <v>No</v>
      </c>
      <c r="L26" s="68" t="str">
        <f>IF(M26="", "", _xlfn.XLOOKUP(M26,'Scrum Teams'!B:B,'Scrum Teams'!A:A,""))</f>
        <v>APC</v>
      </c>
      <c r="M26" s="74" t="str" cm="1">
        <f t="array" ref="M26">IFERROR(INDEX(_xlfn.SORTBY(_xlfn.UNIQUE(_xlfn._xlws.FILTER('Scrum Teams'!$B$2:$B$1006,'Scrum Teams'!$B$2:$B$1006&lt;&gt;"")),_xlfn.XLOOKUP(_xlfn.UNIQUE(_xlfn._xlws.FILTER('Scrum Teams'!$B$2:$B$1006,'Scrum Teams'!$B$2:$B$1006&lt;&gt;"")),'Scrum Teams'!$B:$B,'Scrum Teams'!$A:$A,"")),ROW()-1),"")</f>
        <v>IEX</v>
      </c>
      <c r="N26" s="115" t="str">
        <f>IF(L26="", "", _xlfn.XLOOKUP(L26, 'Component Masterlist v2'!A:A, 'Component Masterlist v2'!P:P, "Not found"))</f>
        <v>APC</v>
      </c>
      <c r="O26" s="116">
        <f t="shared" si="0"/>
        <v>49.5</v>
      </c>
      <c r="P26" s="115">
        <f>IF(M26="","",_xlfn.LET(
  _xlpm.pos, MATCH(M26,'Scrum Teams'!$B$2:$B$1006,0),
  _xlpm.val, INDEX('Scrum Teams'!$E$2:$E$1006,_xlpm.pos),
  IF(ISBLANK(INDEX('Scrum Teams'!$E$2:$E$1006,_xlpm.pos)),"",_xlpm.val)
))</f>
        <v>99</v>
      </c>
      <c r="Q26" s="217">
        <f t="shared" si="5"/>
        <v>99</v>
      </c>
      <c r="R26" s="117" t="str">
        <f>IF(M26="","",IF(L26="", "Missing component", _xlfn.XLOOKUP(L26, Lookup!A:A, Lookup!D:D, "NA")))</f>
        <v>Keith Wiseman</v>
      </c>
    </row>
    <row r="27" spans="1:24">
      <c r="A27" s="80" t="s">
        <v>52</v>
      </c>
      <c r="B27" s="56" t="s">
        <v>391</v>
      </c>
      <c r="C27" s="97"/>
      <c r="D27" s="56">
        <f t="shared" si="1"/>
        <v>70</v>
      </c>
      <c r="E27" s="198">
        <f t="shared" si="2"/>
        <v>140</v>
      </c>
      <c r="F27" s="196" t="str" cm="1">
        <f t="array" ref="F27">IF(B27="","",_xlfn.LET(
  _xlpm.comp, TRIM(CLEAN(B27)),
  _xlpm.expected, E27,
  _xlpm.actual, SUMPRODUCT(--(TRIM(CLEAN($H$2:$H$140))=_xlpm.comp), $J$2:$J$140),
  IF(_xlpm.actual=_xlpm.expected, "No", "Mismatch by " &amp; (_xlpm.actual-_xlpm.expected))
))</f>
        <v>No</v>
      </c>
      <c r="G27" s="30" t="str" cm="1">
        <f t="array" ref="G27">IFERROR(INDEX(_xlfn._xlws.SORT(_xlfn.UNIQUE(_xlfn._xlws.FILTER($L$2:$L$140,$L$2:$L$140&lt;&gt;""))),ROW()-1),"")</f>
        <v>HorizontalPlatforms</v>
      </c>
      <c r="H27" s="97" t="str">
        <f>IF(G27="", "", _xlfn.XLOOKUP(G27, 'Component Masterlist v2'!A:A, 'Component Masterlist v2'!P:P, "Not found"))</f>
        <v>HPLT</v>
      </c>
      <c r="I27" s="56">
        <f t="shared" si="9"/>
        <v>195</v>
      </c>
      <c r="J27" s="198">
        <f t="shared" si="11"/>
        <v>390</v>
      </c>
      <c r="K27" s="196" t="str" cm="1">
        <f t="array" ref="K27">IF(G27="","",_xlfn.LET(
  _xlpm.comp, TRIM(CLEAN(G27)),
  _xlpm.expected, J27,
  _xlpm.actual, SUMPRODUCT(--(TRIM(CLEAN($L$2:$L$140))=_xlpm.comp), $Q$2:$Q$140),
  IF(_xlpm.actual=_xlpm.expected, "No", "Mismatch by " &amp; (_xlpm.actual-_xlpm.expected))
))</f>
        <v>No</v>
      </c>
      <c r="L27" s="68" t="str">
        <f>IF(M27="", "", _xlfn.XLOOKUP(M27,'Scrum Teams'!B:B,'Scrum Teams'!A:A,""))</f>
        <v>APC</v>
      </c>
      <c r="M27" s="74" t="str" cm="1">
        <f t="array" ref="M27">IFERROR(INDEX(_xlfn.SORTBY(_xlfn.UNIQUE(_xlfn._xlws.FILTER('Scrum Teams'!$B$2:$B$1006,'Scrum Teams'!$B$2:$B$1006&lt;&gt;"")),_xlfn.XLOOKUP(_xlfn.UNIQUE(_xlfn._xlws.FILTER('Scrum Teams'!$B$2:$B$1006,'Scrum Teams'!$B$2:$B$1006&lt;&gt;"")),'Scrum Teams'!$B:$B,'Scrum Teams'!$A:$A,"")),ROW()-1),"")</f>
        <v>PEX</v>
      </c>
      <c r="N27" s="115" t="str">
        <f>IF(L27="", "", _xlfn.XLOOKUP(L27, 'Component Masterlist v2'!A:A, 'Component Masterlist v2'!P:P, "Not found"))</f>
        <v>APC</v>
      </c>
      <c r="O27" s="116">
        <f t="shared" si="0"/>
        <v>58.5</v>
      </c>
      <c r="P27" s="115">
        <f>IF(M27="","",_xlfn.LET(
  _xlpm.pos, MATCH(M27,'Scrum Teams'!$B$2:$B$1006,0),
  _xlpm.val, INDEX('Scrum Teams'!$E$2:$E$1006,_xlpm.pos),
  IF(ISBLANK(INDEX('Scrum Teams'!$E$2:$E$1006,_xlpm.pos)),"",_xlpm.val)
))</f>
        <v>117</v>
      </c>
      <c r="Q27" s="217">
        <f t="shared" si="5"/>
        <v>117</v>
      </c>
      <c r="R27" s="117" t="str">
        <f>IF(M27="","",IF(L27="", "Missing component", _xlfn.XLOOKUP(L27, Lookup!A:A, Lookup!D:D, "NA")))</f>
        <v>Keith Wiseman</v>
      </c>
    </row>
    <row r="28" spans="1:24">
      <c r="A28" s="80" t="s">
        <v>45</v>
      </c>
      <c r="B28" s="56" t="s">
        <v>141</v>
      </c>
      <c r="C28" s="97"/>
      <c r="D28" s="56">
        <f t="shared" si="1"/>
        <v>170</v>
      </c>
      <c r="E28" s="198">
        <f t="shared" si="2"/>
        <v>340</v>
      </c>
      <c r="F28" s="196" t="str" cm="1">
        <f t="array" ref="F28">IF(B28="","",_xlfn.LET(
  _xlpm.comp, TRIM(CLEAN(B28)),
  _xlpm.expected, E28,
  _xlpm.actual, SUMPRODUCT(--(TRIM(CLEAN($H$2:$H$140))=_xlpm.comp), $J$2:$J$140),
  IF(_xlpm.actual=_xlpm.expected, "No", "Mismatch by " &amp; (_xlpm.actual-_xlpm.expected))
))</f>
        <v>No</v>
      </c>
      <c r="G28" s="30" t="str" cm="1">
        <f t="array" ref="G28">IFERROR(INDEX(_xlfn._xlws.SORT(_xlfn.UNIQUE(_xlfn._xlws.FILTER($L$2:$L$140,$L$2:$L$140&lt;&gt;""))),ROW()-1),"")</f>
        <v>IOT</v>
      </c>
      <c r="H28" s="97" t="str">
        <f>IF(G28="", "", _xlfn.XLOOKUP(G28, 'Component Masterlist v2'!A:A, 'Component Masterlist v2'!P:P, "Not found"))</f>
        <v>IOT</v>
      </c>
      <c r="I28" s="56">
        <f t="shared" ref="I28:I39" si="12">IF(J28="","",J28/2)</f>
        <v>45</v>
      </c>
      <c r="J28" s="198">
        <f t="shared" ref="J28:J39" si="13">IF(G28="","",SUMIFS($Q$2:$Q$140,$L$2:$L$140,G28))</f>
        <v>90</v>
      </c>
      <c r="K28" s="196" t="str" cm="1">
        <f t="array" ref="K28">IF(G28="","",_xlfn.LET(
  _xlpm.comp, TRIM(CLEAN(G28)),
  _xlpm.expected, J28,
  _xlpm.actual, SUMPRODUCT(--(TRIM(CLEAN($L$2:$L$140))=_xlpm.comp), $Q$2:$Q$140),
  IF(_xlpm.actual=_xlpm.expected, "No", "Mismatch by " &amp; (_xlpm.actual-_xlpm.expected))
))</f>
        <v>No</v>
      </c>
      <c r="L28" s="68" t="str">
        <f>IF(M28="", "", _xlfn.XLOOKUP(M28,'Scrum Teams'!B:B,'Scrum Teams'!A:A,""))</f>
        <v>APC</v>
      </c>
      <c r="M28" s="74" t="str" cm="1">
        <f t="array" ref="M28">IFERROR(INDEX(_xlfn.SORTBY(_xlfn.UNIQUE(_xlfn._xlws.FILTER('Scrum Teams'!$B$2:$B$1006,'Scrum Teams'!$B$2:$B$1006&lt;&gt;"")),_xlfn.XLOOKUP(_xlfn.UNIQUE(_xlfn._xlws.FILTER('Scrum Teams'!$B$2:$B$1006,'Scrum Teams'!$B$2:$B$1006&lt;&gt;"")),'Scrum Teams'!$B:$B,'Scrum Teams'!$A:$A,"")),ROW()-1),"")</f>
        <v>Cortex</v>
      </c>
      <c r="N28" s="115" t="str">
        <f>IF(L28="", "", _xlfn.XLOOKUP(L28, 'Component Masterlist v2'!A:A, 'Component Masterlist v2'!P:P, "Not found"))</f>
        <v>APC</v>
      </c>
      <c r="O28" s="116">
        <f t="shared" si="0"/>
        <v>67.5</v>
      </c>
      <c r="P28" s="115">
        <f>IF(M28="","",_xlfn.LET(
  _xlpm.pos, MATCH(M28,'Scrum Teams'!$B$2:$B$1006,0),
  _xlpm.val, INDEX('Scrum Teams'!$E$2:$E$1006,_xlpm.pos),
  IF(ISBLANK(INDEX('Scrum Teams'!$E$2:$E$1006,_xlpm.pos)),"",_xlpm.val)
))</f>
        <v>135</v>
      </c>
      <c r="Q28" s="217">
        <f t="shared" si="5"/>
        <v>135</v>
      </c>
      <c r="R28" s="117" t="str">
        <f>IF(M28="","",IF(L28="", "Missing component", _xlfn.XLOOKUP(L28, Lookup!A:A, Lookup!D:D, "NA")))</f>
        <v>Keith Wiseman</v>
      </c>
    </row>
    <row r="29" spans="1:24">
      <c r="A29" s="80" t="s">
        <v>930</v>
      </c>
      <c r="B29" s="56" t="s">
        <v>480</v>
      </c>
      <c r="C29" s="97"/>
      <c r="D29" s="56">
        <f t="shared" si="1"/>
        <v>195</v>
      </c>
      <c r="E29" s="198">
        <f t="shared" si="2"/>
        <v>390</v>
      </c>
      <c r="F29" s="196" t="str" cm="1">
        <f t="array" ref="F29">IF(B29="","",_xlfn.LET(
  _xlpm.comp, TRIM(CLEAN(B29)),
  _xlpm.expected, E29,
  _xlpm.actual, SUMPRODUCT(--(TRIM(CLEAN($H$2:$H$140))=_xlpm.comp), $J$2:$J$140),
  IF(_xlpm.actual=_xlpm.expected, "No", "Mismatch by " &amp; (_xlpm.actual-_xlpm.expected))
))</f>
        <v>No</v>
      </c>
      <c r="G29" s="30" t="str" cm="1">
        <f t="array" ref="G29">IFERROR(INDEX(_xlfn._xlws.SORT(_xlfn.UNIQUE(_xlfn._xlws.FILTER($L$2:$L$140,$L$2:$L$140&lt;&gt;""))),ROW()-1),"")</f>
        <v>OnboardingPlatforms</v>
      </c>
      <c r="H29" s="97" t="str">
        <f>IF(G29="", "", _xlfn.XLOOKUP(G29, 'Component Masterlist v2'!A:A, 'Component Masterlist v2'!P:P, "Not found"))</f>
        <v>OPLT</v>
      </c>
      <c r="I29" s="56">
        <f t="shared" si="12"/>
        <v>313.5</v>
      </c>
      <c r="J29" s="198">
        <f t="shared" si="13"/>
        <v>627</v>
      </c>
      <c r="K29" s="196" t="str" cm="1">
        <f t="array" ref="K29">IF(G29="","",_xlfn.LET(
  _xlpm.comp, TRIM(CLEAN(G29)),
  _xlpm.expected, J29,
  _xlpm.actual, SUMPRODUCT(--(TRIM(CLEAN($L$2:$L$140))=_xlpm.comp), $Q$2:$Q$140),
  IF(_xlpm.actual=_xlpm.expected, "No", "Mismatch by " &amp; (_xlpm.actual-_xlpm.expected))
))</f>
        <v>No</v>
      </c>
      <c r="L29" s="68" t="str">
        <f>IF(M29="", "", _xlfn.XLOOKUP(M29,'Scrum Teams'!B:B,'Scrum Teams'!A:A,""))</f>
        <v>APEX</v>
      </c>
      <c r="M29" s="74" t="str" cm="1">
        <f t="array" ref="M29">IFERROR(INDEX(_xlfn.SORTBY(_xlfn.UNIQUE(_xlfn._xlws.FILTER('Scrum Teams'!$B$2:$B$1006,'Scrum Teams'!$B$2:$B$1006&lt;&gt;"")),_xlfn.XLOOKUP(_xlfn.UNIQUE(_xlfn._xlws.FILTER('Scrum Teams'!$B$2:$B$1006,'Scrum Teams'!$B$2:$B$1006&lt;&gt;"")),'Scrum Teams'!$B:$B,'Scrum Teams'!$A:$A,"")),ROW()-1),"")</f>
        <v>R3, LD &amp; Automation</v>
      </c>
      <c r="N29" s="115" t="str">
        <f>IF(L29="", "", _xlfn.XLOOKUP(L29, 'Component Masterlist v2'!A:A, 'Component Masterlist v2'!P:P, "Not found"))</f>
        <v>APEX</v>
      </c>
      <c r="O29" s="116">
        <f t="shared" si="0"/>
        <v>50</v>
      </c>
      <c r="P29" s="115">
        <f>IF(M29="","",_xlfn.LET(
  _xlpm.pos, MATCH(M29,'Scrum Teams'!$B$2:$B$1006,0),
  _xlpm.val, INDEX('Scrum Teams'!$E$2:$E$1006,_xlpm.pos),
  IF(ISBLANK(INDEX('Scrum Teams'!$E$2:$E$1006,_xlpm.pos)),"",_xlpm.val)
))</f>
        <v>100</v>
      </c>
      <c r="Q29" s="217">
        <f t="shared" si="5"/>
        <v>100</v>
      </c>
      <c r="R29" s="117" t="str">
        <f>IF(M29="","",IF(L29="", "Missing component", _xlfn.XLOOKUP(L29, Lookup!A:A, Lookup!D:D, "NA")))</f>
        <v>Satish Sallakonda</v>
      </c>
    </row>
    <row r="30" spans="1:24">
      <c r="A30" s="80" t="s">
        <v>88</v>
      </c>
      <c r="B30" s="56" t="s">
        <v>151</v>
      </c>
      <c r="C30" s="97"/>
      <c r="D30" s="56">
        <f t="shared" si="1"/>
        <v>505</v>
      </c>
      <c r="E30" s="198">
        <f t="shared" si="2"/>
        <v>1010</v>
      </c>
      <c r="F30" s="196" t="str" cm="1">
        <f t="array" ref="F30">IF(B30="","",_xlfn.LET(
  _xlpm.comp, TRIM(CLEAN(B30)),
  _xlpm.expected, E30,
  _xlpm.actual, SUMPRODUCT(--(TRIM(CLEAN($H$2:$H$140))=_xlpm.comp), $J$2:$J$140),
  IF(_xlpm.actual=_xlpm.expected, "No", "Mismatch by " &amp; (_xlpm.actual-_xlpm.expected))
))</f>
        <v>No</v>
      </c>
      <c r="G30" s="30" t="str" cm="1">
        <f t="array" ref="G30">IFERROR(INDEX(_xlfn._xlws.SORT(_xlfn.UNIQUE(_xlfn._xlws.FILTER($L$2:$L$140,$L$2:$L$140&lt;&gt;""))),ROW()-1),"")</f>
        <v>ORBIT</v>
      </c>
      <c r="H30" s="97" t="str">
        <f>IF(G30="", "", _xlfn.XLOOKUP(G30, 'Component Masterlist v2'!A:A, 'Component Masterlist v2'!P:P, "Not found"))</f>
        <v>ORBT</v>
      </c>
      <c r="I30" s="56">
        <f t="shared" si="12"/>
        <v>85</v>
      </c>
      <c r="J30" s="198">
        <f t="shared" si="13"/>
        <v>170</v>
      </c>
      <c r="K30" s="196" t="str" cm="1">
        <f t="array" ref="K30">IF(G30="","",_xlfn.LET(
  _xlpm.comp, TRIM(CLEAN(G30)),
  _xlpm.expected, J30,
  _xlpm.actual, SUMPRODUCT(--(TRIM(CLEAN($L$2:$L$140))=_xlpm.comp), $Q$2:$Q$140),
  IF(_xlpm.actual=_xlpm.expected, "No", "Mismatch by " &amp; (_xlpm.actual-_xlpm.expected))
))</f>
        <v>No</v>
      </c>
      <c r="L30" s="68" t="str">
        <f>IF(M30="", "", _xlfn.XLOOKUP(M30,'Scrum Teams'!B:B,'Scrum Teams'!A:A,""))</f>
        <v>APEX</v>
      </c>
      <c r="M30" s="74" t="str" cm="1">
        <f t="array" ref="M30">IFERROR(INDEX(_xlfn.SORTBY(_xlfn.UNIQUE(_xlfn._xlws.FILTER('Scrum Teams'!$B$2:$B$1006,'Scrum Teams'!$B$2:$B$1006&lt;&gt;"")),_xlfn.XLOOKUP(_xlfn.UNIQUE(_xlfn._xlws.FILTER('Scrum Teams'!$B$2:$B$1006,'Scrum Teams'!$B$2:$B$1006&lt;&gt;"")),'Scrum Teams'!$B:$B,'Scrum Teams'!$A:$A,"")),ROW()-1),"")</f>
        <v>SCP</v>
      </c>
      <c r="N30" s="115" t="str">
        <f>IF(L30="", "", _xlfn.XLOOKUP(L30, 'Component Masterlist v2'!A:A, 'Component Masterlist v2'!P:P, "Not found"))</f>
        <v>APEX</v>
      </c>
      <c r="O30" s="116">
        <f t="shared" si="0"/>
        <v>30</v>
      </c>
      <c r="P30" s="115">
        <f>IF(M30="","",_xlfn.LET(
  _xlpm.pos, MATCH(M30,'Scrum Teams'!$B$2:$B$1006,0),
  _xlpm.val, INDEX('Scrum Teams'!$E$2:$E$1006,_xlpm.pos),
  IF(ISBLANK(INDEX('Scrum Teams'!$E$2:$E$1006,_xlpm.pos)),"",_xlpm.val)
))</f>
        <v>60</v>
      </c>
      <c r="Q30" s="217">
        <f t="shared" si="5"/>
        <v>60</v>
      </c>
      <c r="R30" s="117" t="str">
        <f>IF(M30="","",IF(L30="", "Missing component", _xlfn.XLOOKUP(L30, Lookup!A:A, Lookup!D:D, "NA")))</f>
        <v>Satish Sallakonda</v>
      </c>
    </row>
    <row r="31" spans="1:24">
      <c r="A31" s="80" t="s">
        <v>54</v>
      </c>
      <c r="B31" s="56" t="s">
        <v>152</v>
      </c>
      <c r="C31" s="97"/>
      <c r="D31" s="56">
        <f t="shared" si="1"/>
        <v>405</v>
      </c>
      <c r="E31" s="198">
        <f t="shared" si="2"/>
        <v>810</v>
      </c>
      <c r="F31" s="196" t="str" cm="1">
        <f t="array" ref="F31">IF(B31="","",_xlfn.LET(
  _xlpm.comp, TRIM(CLEAN(B31)),
  _xlpm.expected, E31,
  _xlpm.actual, SUMPRODUCT(--(TRIM(CLEAN($H$2:$H$140))=_xlpm.comp), $J$2:$J$140),
  IF(_xlpm.actual=_xlpm.expected, "No", "Mismatch by " &amp; (_xlpm.actual-_xlpm.expected))
))</f>
        <v>No</v>
      </c>
      <c r="G31" s="30" t="str" cm="1">
        <f t="array" ref="G31">IFERROR(INDEX(_xlfn._xlws.SORT(_xlfn.UNIQUE(_xlfn._xlws.FILTER($L$2:$L$140,$L$2:$L$140&lt;&gt;""))),ROW()-1),"")</f>
        <v>Parts</v>
      </c>
      <c r="H31" s="97" t="str">
        <f>IF(G31="", "", _xlfn.XLOOKUP(G31, 'Component Masterlist v2'!A:A, 'Component Masterlist v2'!P:P, "Not found"))</f>
        <v>PART</v>
      </c>
      <c r="I31" s="56">
        <f t="shared" si="12"/>
        <v>336</v>
      </c>
      <c r="J31" s="198">
        <f t="shared" si="13"/>
        <v>672</v>
      </c>
      <c r="K31" s="196" t="str" cm="1">
        <f t="array" ref="K31">IF(G31="","",_xlfn.LET(
  _xlpm.comp, TRIM(CLEAN(G31)),
  _xlpm.expected, J31,
  _xlpm.actual, SUMPRODUCT(--(TRIM(CLEAN($L$2:$L$140))=_xlpm.comp), $Q$2:$Q$140),
  IF(_xlpm.actual=_xlpm.expected, "No", "Mismatch by " &amp; (_xlpm.actual-_xlpm.expected))
))</f>
        <v>No</v>
      </c>
      <c r="L31" s="68" t="str">
        <f>IF(M31="", "", _xlfn.XLOOKUP(M31,'Scrum Teams'!B:B,'Scrum Teams'!A:A,""))</f>
        <v>APEX</v>
      </c>
      <c r="M31" s="74" t="str" cm="1">
        <f t="array" ref="M31">IFERROR(INDEX(_xlfn.SORTBY(_xlfn.UNIQUE(_xlfn._xlws.FILTER('Scrum Teams'!$B$2:$B$1006,'Scrum Teams'!$B$2:$B$1006&lt;&gt;"")),_xlfn.XLOOKUP(_xlfn.UNIQUE(_xlfn._xlws.FILTER('Scrum Teams'!$B$2:$B$1006,'Scrum Teams'!$B$2:$B$1006&lt;&gt;"")),'Scrum Teams'!$B:$B,'Scrum Teams'!$A:$A,"")),ROW()-1),"")</f>
        <v>Tax &amp; Fee</v>
      </c>
      <c r="N31" s="115" t="str">
        <f>IF(L31="", "", _xlfn.XLOOKUP(L31, 'Component Masterlist v2'!A:A, 'Component Masterlist v2'!P:P, "Not found"))</f>
        <v>APEX</v>
      </c>
      <c r="O31" s="116">
        <f t="shared" si="0"/>
        <v>30</v>
      </c>
      <c r="P31" s="115">
        <f>IF(M31="","",_xlfn.LET(
  _xlpm.pos, MATCH(M31,'Scrum Teams'!$B$2:$B$1006,0),
  _xlpm.val, INDEX('Scrum Teams'!$E$2:$E$1006,_xlpm.pos),
  IF(ISBLANK(INDEX('Scrum Teams'!$E$2:$E$1006,_xlpm.pos)),"",_xlpm.val)
))</f>
        <v>60</v>
      </c>
      <c r="Q31" s="217">
        <f t="shared" si="5"/>
        <v>60</v>
      </c>
      <c r="R31" s="117" t="str">
        <f>IF(M31="","",IF(L31="", "Missing component", _xlfn.XLOOKUP(L31, Lookup!A:A, Lookup!D:D, "NA")))</f>
        <v>Satish Sallakonda</v>
      </c>
    </row>
    <row r="32" spans="1:24">
      <c r="A32" s="80" t="s">
        <v>931</v>
      </c>
      <c r="B32" s="56" t="s">
        <v>708</v>
      </c>
      <c r="C32" s="97"/>
      <c r="D32" s="56">
        <f t="shared" si="1"/>
        <v>79.5</v>
      </c>
      <c r="E32" s="198">
        <f t="shared" si="2"/>
        <v>159</v>
      </c>
      <c r="F32" s="196" t="str" cm="1">
        <f t="array" ref="F32">IF(B32="","",_xlfn.LET(
  _xlpm.comp, TRIM(CLEAN(B32)),
  _xlpm.expected, E32,
  _xlpm.actual, SUMPRODUCT(--(TRIM(CLEAN($H$2:$H$140))=_xlpm.comp), $J$2:$J$140),
  IF(_xlpm.actual=_xlpm.expected, "No", "Mismatch by " &amp; (_xlpm.actual-_xlpm.expected))
))</f>
        <v>No</v>
      </c>
      <c r="G32" s="30" t="str" cm="1">
        <f t="array" ref="G32">IFERROR(INDEX(_xlfn._xlws.SORT(_xlfn.UNIQUE(_xlfn._xlws.FILTER($L$2:$L$140,$L$2:$L$140&lt;&gt;""))),ROW()-1),"")</f>
        <v>Payroll</v>
      </c>
      <c r="H32" s="97" t="str">
        <f>IF(G32="", "", _xlfn.XLOOKUP(G32, 'Component Masterlist v2'!A:A, 'Component Masterlist v2'!P:P, "Not found"))</f>
        <v>PYRL</v>
      </c>
      <c r="I32" s="56">
        <f t="shared" si="12"/>
        <v>70</v>
      </c>
      <c r="J32" s="198">
        <f t="shared" si="13"/>
        <v>140</v>
      </c>
      <c r="K32" s="196" t="str" cm="1">
        <f t="array" ref="K32">IF(G32="","",_xlfn.LET(
  _xlpm.comp, TRIM(CLEAN(G32)),
  _xlpm.expected, J32,
  _xlpm.actual, SUMPRODUCT(--(TRIM(CLEAN($L$2:$L$140))=_xlpm.comp), $Q$2:$Q$140),
  IF(_xlpm.actual=_xlpm.expected, "No", "Mismatch by " &amp; (_xlpm.actual-_xlpm.expected))
))</f>
        <v>No</v>
      </c>
      <c r="L32" s="68" t="str">
        <f>IF(M32="", "", _xlfn.XLOOKUP(M32,'Scrum Teams'!B:B,'Scrum Teams'!A:A,""))</f>
        <v>APEX</v>
      </c>
      <c r="M32" s="74" t="str" cm="1">
        <f t="array" ref="M32">IFERROR(INDEX(_xlfn.SORTBY(_xlfn.UNIQUE(_xlfn._xlws.FILTER('Scrum Teams'!$B$2:$B$1006,'Scrum Teams'!$B$2:$B$1006&lt;&gt;"")),_xlfn.XLOOKUP(_xlfn.UNIQUE(_xlfn._xlws.FILTER('Scrum Teams'!$B$2:$B$1006,'Scrum Teams'!$B$2:$B$1006&lt;&gt;"")),'Scrum Teams'!$B:$B,'Scrum Teams'!$A:$A,"")),ROW()-1),"")</f>
        <v>VDP &amp; Rewrite</v>
      </c>
      <c r="N32" s="115" t="str">
        <f>IF(L32="", "", _xlfn.XLOOKUP(L32, 'Component Masterlist v2'!A:A, 'Component Masterlist v2'!P:P, "Not found"))</f>
        <v>APEX</v>
      </c>
      <c r="O32" s="116">
        <f t="shared" si="0"/>
        <v>60</v>
      </c>
      <c r="P32" s="115">
        <f>IF(M32="","",_xlfn.LET(
  _xlpm.pos, MATCH(M32,'Scrum Teams'!$B$2:$B$1006,0),
  _xlpm.val, INDEX('Scrum Teams'!$E$2:$E$1006,_xlpm.pos),
  IF(ISBLANK(INDEX('Scrum Teams'!$E$2:$E$1006,_xlpm.pos)),"",_xlpm.val)
))</f>
        <v>120</v>
      </c>
      <c r="Q32" s="217">
        <f t="shared" si="5"/>
        <v>120</v>
      </c>
      <c r="R32" s="117" t="str">
        <f>IF(M32="","",IF(L32="", "Missing component", _xlfn.XLOOKUP(L32, Lookup!A:A, Lookup!D:D, "NA")))</f>
        <v>Satish Sallakonda</v>
      </c>
    </row>
    <row r="33" spans="1:24">
      <c r="A33" s="80" t="s">
        <v>26</v>
      </c>
      <c r="B33" s="56" t="s">
        <v>874</v>
      </c>
      <c r="C33" s="97"/>
      <c r="D33" s="56">
        <f t="shared" si="1"/>
        <v>60</v>
      </c>
      <c r="E33" s="198">
        <f t="shared" si="2"/>
        <v>120</v>
      </c>
      <c r="F33" s="196" t="str" cm="1">
        <f t="array" ref="F33">IF(B33="","",_xlfn.LET(
  _xlpm.comp, TRIM(CLEAN(B33)),
  _xlpm.expected, E33,
  _xlpm.actual, SUMPRODUCT(--(TRIM(CLEAN($H$2:$H$140))=_xlpm.comp), $J$2:$J$140),
  IF(_xlpm.actual=_xlpm.expected, "No", "Mismatch by " &amp; (_xlpm.actual-_xlpm.expected))
))</f>
        <v>No</v>
      </c>
      <c r="G33" s="30" t="str" cm="1">
        <f t="array" ref="G33">IFERROR(INDEX(_xlfn._xlws.SORT(_xlfn.UNIQUE(_xlfn._xlws.FILTER($L$2:$L$140,$L$2:$L$140&lt;&gt;""))),ROW()-1),"")</f>
        <v>PayTek</v>
      </c>
      <c r="H33" s="97" t="str">
        <f>IF(G33="", "", _xlfn.XLOOKUP(G33, 'Component Masterlist v2'!A:A, 'Component Masterlist v2'!P:P, "Not found"))</f>
        <v>PYTK</v>
      </c>
      <c r="I33" s="56">
        <f t="shared" si="12"/>
        <v>170</v>
      </c>
      <c r="J33" s="198">
        <f t="shared" si="13"/>
        <v>340</v>
      </c>
      <c r="K33" s="196" t="str" cm="1">
        <f t="array" ref="K33">IF(G33="","",_xlfn.LET(
  _xlpm.comp, TRIM(CLEAN(G33)),
  _xlpm.expected, J33,
  _xlpm.actual, SUMPRODUCT(--(TRIM(CLEAN($L$2:$L$140))=_xlpm.comp), $Q$2:$Q$140),
  IF(_xlpm.actual=_xlpm.expected, "No", "Mismatch by " &amp; (_xlpm.actual-_xlpm.expected))
))</f>
        <v>No</v>
      </c>
      <c r="L33" s="68" t="str">
        <f>IF(M33="", "", _xlfn.XLOOKUP(M33,'Scrum Teams'!B:B,'Scrum Teams'!A:A,""))</f>
        <v>ApplicationPlatforms</v>
      </c>
      <c r="M33" s="74" t="str" cm="1">
        <f t="array" ref="M33">IFERROR(INDEX(_xlfn.SORTBY(_xlfn.UNIQUE(_xlfn._xlws.FILTER('Scrum Teams'!$B$2:$B$1006,'Scrum Teams'!$B$2:$B$1006&lt;&gt;"")),_xlfn.XLOOKUP(_xlfn.UNIQUE(_xlfn._xlws.FILTER('Scrum Teams'!$B$2:$B$1006,'Scrum Teams'!$B$2:$B$1006&lt;&gt;"")),'Scrum Teams'!$B:$B,'Scrum Teams'!$A:$A,"")),ROW()-1),"")</f>
        <v>Audit &amp; Approval</v>
      </c>
      <c r="N33" s="115" t="str">
        <f>IF(L33="", "", _xlfn.XLOOKUP(L33, 'Component Masterlist v2'!A:A, 'Component Masterlist v2'!P:P, "Not found"))</f>
        <v>APLT</v>
      </c>
      <c r="O33" s="116">
        <f t="shared" si="0"/>
        <v>44</v>
      </c>
      <c r="P33" s="115">
        <f>IF(M33="","",_xlfn.LET(
  _xlpm.pos, MATCH(M33,'Scrum Teams'!$B$2:$B$1006,0),
  _xlpm.val, INDEX('Scrum Teams'!$E$2:$E$1006,_xlpm.pos),
  IF(ISBLANK(INDEX('Scrum Teams'!$E$2:$E$1006,_xlpm.pos)),"",_xlpm.val)
))</f>
        <v>88</v>
      </c>
      <c r="Q33" s="217">
        <f t="shared" si="5"/>
        <v>88</v>
      </c>
      <c r="R33" s="117" t="str">
        <f>IF(M33="","",IF(L33="", "Missing component", _xlfn.XLOOKUP(L33, Lookup!A:A, Lookup!D:D, "NA")))</f>
        <v>Keith Wiseman</v>
      </c>
    </row>
    <row r="34" spans="1:24">
      <c r="A34" s="80" t="s">
        <v>16</v>
      </c>
      <c r="B34" s="56" t="s">
        <v>297</v>
      </c>
      <c r="C34" s="97"/>
      <c r="D34" s="56">
        <f t="shared" si="1"/>
        <v>77</v>
      </c>
      <c r="E34" s="198">
        <f t="shared" si="2"/>
        <v>154</v>
      </c>
      <c r="F34" s="196" t="str" cm="1">
        <f t="array" ref="F34">IF(B34="","",_xlfn.LET(
  _xlpm.comp, TRIM(CLEAN(B34)),
  _xlpm.expected, E34,
  _xlpm.actual, SUMPRODUCT(--(TRIM(CLEAN($H$2:$H$140))=_xlpm.comp), $J$2:$J$140),
  IF(_xlpm.actual=_xlpm.expected, "No", "Mismatch by " &amp; (_xlpm.actual-_xlpm.expected))
))</f>
        <v>No</v>
      </c>
      <c r="G34" s="30" t="str" cm="1">
        <f t="array" ref="G34">IFERROR(INDEX(_xlfn._xlws.SORT(_xlfn.UNIQUE(_xlfn._xlws.FILTER($L$2:$L$140,$L$2:$L$140&lt;&gt;""))),ROW()-1),"")</f>
        <v>Retail</v>
      </c>
      <c r="H34" s="97" t="str">
        <f>IF(G34="", "", _xlfn.XLOOKUP(G34, 'Component Masterlist v2'!A:A, 'Component Masterlist v2'!P:P, "Not found"))</f>
        <v>RETL</v>
      </c>
      <c r="I34" s="56">
        <f t="shared" si="12"/>
        <v>505</v>
      </c>
      <c r="J34" s="198">
        <f t="shared" si="13"/>
        <v>1010</v>
      </c>
      <c r="K34" s="196" t="str" cm="1">
        <f t="array" ref="K34">IF(G34="","",_xlfn.LET(
  _xlpm.comp, TRIM(CLEAN(G34)),
  _xlpm.expected, J34,
  _xlpm.actual, SUMPRODUCT(--(TRIM(CLEAN($L$2:$L$140))=_xlpm.comp), $Q$2:$Q$140),
  IF(_xlpm.actual=_xlpm.expected, "No", "Mismatch by " &amp; (_xlpm.actual-_xlpm.expected))
))</f>
        <v>No</v>
      </c>
      <c r="L34" s="68" t="str">
        <f>IF(M34="", "", _xlfn.XLOOKUP(M34,'Scrum Teams'!B:B,'Scrum Teams'!A:A,""))</f>
        <v>ApplicationPlatforms</v>
      </c>
      <c r="M34" s="74" t="str" cm="1">
        <f t="array" ref="M34">IFERROR(INDEX(_xlfn.SORTBY(_xlfn.UNIQUE(_xlfn._xlws.FILTER('Scrum Teams'!$B$2:$B$1006,'Scrum Teams'!$B$2:$B$1006&lt;&gt;"")),_xlfn.XLOOKUP(_xlfn.UNIQUE(_xlfn._xlws.FILTER('Scrum Teams'!$B$2:$B$1006,'Scrum Teams'!$B$2:$B$1006&lt;&gt;"")),'Scrum Teams'!$B:$B,'Scrum Teams'!$A:$A,"")),ROW()-1),"")</f>
        <v>Compliance</v>
      </c>
      <c r="N34" s="115" t="str">
        <f>IF(L34="", "", _xlfn.XLOOKUP(L34, 'Component Masterlist v2'!A:A, 'Component Masterlist v2'!P:P, "Not found"))</f>
        <v>APLT</v>
      </c>
      <c r="O34" s="116">
        <f t="shared" si="0"/>
        <v>33</v>
      </c>
      <c r="P34" s="115">
        <f>IF(M34="","",_xlfn.LET(
  _xlpm.pos, MATCH(M34,'Scrum Teams'!$B$2:$B$1006,0),
  _xlpm.val, INDEX('Scrum Teams'!$E$2:$E$1006,_xlpm.pos),
  IF(ISBLANK(INDEX('Scrum Teams'!$E$2:$E$1006,_xlpm.pos)),"",_xlpm.val)
))</f>
        <v>66</v>
      </c>
      <c r="Q34" s="217">
        <f t="shared" si="5"/>
        <v>66</v>
      </c>
      <c r="R34" s="117" t="str">
        <f>IF(M34="","",IF(L34="", "Missing component", _xlfn.XLOOKUP(L34, Lookup!A:A, Lookup!D:D, "NA")))</f>
        <v>Keith Wiseman</v>
      </c>
    </row>
    <row r="35" spans="1:24">
      <c r="A35" s="30"/>
      <c r="B35" s="27"/>
      <c r="C35" s="27"/>
      <c r="D35" s="27"/>
      <c r="E35" s="216"/>
      <c r="F35" s="196"/>
      <c r="G35" s="30" t="str" cm="1">
        <f t="array" ref="G35">IFERROR(INDEX(_xlfn._xlws.SORT(_xlfn.UNIQUE(_xlfn._xlws.FILTER($L$2:$L$140,$L$2:$L$140&lt;&gt;""))),ROW()-1),"")</f>
        <v>Service</v>
      </c>
      <c r="H35" s="97" t="str">
        <f>IF(G35="", "", _xlfn.XLOOKUP(G35, 'Component Masterlist v2'!A:A, 'Component Masterlist v2'!P:P, "Not found"))</f>
        <v>SERV</v>
      </c>
      <c r="I35" s="56">
        <f t="shared" si="12"/>
        <v>405</v>
      </c>
      <c r="J35" s="198">
        <f t="shared" si="13"/>
        <v>810</v>
      </c>
      <c r="K35" s="196" t="str" cm="1">
        <f t="array" ref="K35">IF(G35="","",_xlfn.LET(
  _xlpm.comp, TRIM(CLEAN(G35)),
  _xlpm.expected, J35,
  _xlpm.actual, SUMPRODUCT(--(TRIM(CLEAN($L$2:$L$140))=_xlpm.comp), $Q$2:$Q$140),
  IF(_xlpm.actual=_xlpm.expected, "No", "Mismatch by " &amp; (_xlpm.actual-_xlpm.expected))
))</f>
        <v>No</v>
      </c>
      <c r="L35" s="68" t="str">
        <f>IF(M35="", "", _xlfn.XLOOKUP(M35,'Scrum Teams'!B:B,'Scrum Teams'!A:A,""))</f>
        <v>ApplicationPlatforms</v>
      </c>
      <c r="M35" s="74" t="str" cm="1">
        <f t="array" ref="M35">IFERROR(INDEX(_xlfn.SORTBY(_xlfn.UNIQUE(_xlfn._xlws.FILTER('Scrum Teams'!$B$2:$B$1006,'Scrum Teams'!$B$2:$B$1006&lt;&gt;"")),_xlfn.XLOOKUP(_xlfn.UNIQUE(_xlfn._xlws.FILTER('Scrum Teams'!$B$2:$B$1006,'Scrum Teams'!$B$2:$B$1006&lt;&gt;"")),'Scrum Teams'!$B:$B,'Scrum Teams'!$A:$A,"")),ROW()-1),"")</f>
        <v>Configuration Studio</v>
      </c>
      <c r="N35" s="115" t="str">
        <f>IF(L35="", "", _xlfn.XLOOKUP(L35, 'Component Masterlist v2'!A:A, 'Component Masterlist v2'!P:P, "Not found"))</f>
        <v>APLT</v>
      </c>
      <c r="O35" s="116">
        <f t="shared" si="0"/>
        <v>55</v>
      </c>
      <c r="P35" s="115">
        <f>IF(M35="","",_xlfn.LET(
  _xlpm.pos, MATCH(M35,'Scrum Teams'!$B$2:$B$1006,0),
  _xlpm.val, INDEX('Scrum Teams'!$E$2:$E$1006,_xlpm.pos),
  IF(ISBLANK(INDEX('Scrum Teams'!$E$2:$E$1006,_xlpm.pos)),"",_xlpm.val)
))</f>
        <v>110</v>
      </c>
      <c r="Q35" s="217">
        <f t="shared" si="5"/>
        <v>110</v>
      </c>
      <c r="R35" s="117" t="str">
        <f>IF(M35="","",IF(L35="", "Missing component", _xlfn.XLOOKUP(L35, Lookup!A:A, Lookup!D:D, "NA")))</f>
        <v>Keith Wiseman</v>
      </c>
    </row>
    <row r="36" spans="1:24">
      <c r="A36" s="197" t="s">
        <v>102</v>
      </c>
      <c r="B36" s="103"/>
      <c r="C36" s="183"/>
      <c r="D36" s="183">
        <f>SUM(D2:D34)</f>
        <v>8546</v>
      </c>
      <c r="E36" s="183">
        <f>SUM(E2:E34)</f>
        <v>17092</v>
      </c>
      <c r="F36" s="196"/>
      <c r="G36" s="30" t="str" cm="1">
        <f t="array" ref="G36">IFERROR(INDEX(_xlfn._xlws.SORT(_xlfn.UNIQUE(_xlfn._xlws.FILTER($L$2:$L$140,$L$2:$L$140&lt;&gt;""))),ROW()-1),"")</f>
        <v>SIPlatform</v>
      </c>
      <c r="H36" s="97" t="str">
        <f>IF(G36="", "", _xlfn.XLOOKUP(G36, 'Component Masterlist v2'!A:A, 'Component Masterlist v2'!P:P, "Not found"))</f>
        <v>SIP</v>
      </c>
      <c r="I36" s="56">
        <f t="shared" si="12"/>
        <v>79.5</v>
      </c>
      <c r="J36" s="198">
        <f t="shared" si="13"/>
        <v>159</v>
      </c>
      <c r="K36" s="196" t="str" cm="1">
        <f t="array" ref="K36">IF(G36="","",_xlfn.LET(
  _xlpm.comp, TRIM(CLEAN(G36)),
  _xlpm.expected, J36,
  _xlpm.actual, SUMPRODUCT(--(TRIM(CLEAN($L$2:$L$140))=_xlpm.comp), $Q$2:$Q$140),
  IF(_xlpm.actual=_xlpm.expected, "No", "Mismatch by " &amp; (_xlpm.actual-_xlpm.expected))
))</f>
        <v>No</v>
      </c>
      <c r="L36" s="68" t="str">
        <f>IF(M36="", "", _xlfn.XLOOKUP(M36,'Scrum Teams'!B:B,'Scrum Teams'!A:A,""))</f>
        <v>ApplicationPlatforms</v>
      </c>
      <c r="M36" s="74" t="str" cm="1">
        <f t="array" ref="M36">IFERROR(INDEX(_xlfn.SORTBY(_xlfn.UNIQUE(_xlfn._xlws.FILTER('Scrum Teams'!$B$2:$B$1006,'Scrum Teams'!$B$2:$B$1006&lt;&gt;"")),_xlfn.XLOOKUP(_xlfn.UNIQUE(_xlfn._xlws.FILTER('Scrum Teams'!$B$2:$B$1006,'Scrum Teams'!$B$2:$B$1006&lt;&gt;"")),'Scrum Teams'!$B:$B,'Scrum Teams'!$A:$A,"")),ROW()-1),"")</f>
        <v>Enterprise</v>
      </c>
      <c r="N36" s="115" t="str">
        <f>IF(L36="", "", _xlfn.XLOOKUP(L36, 'Component Masterlist v2'!A:A, 'Component Masterlist v2'!P:P, "Not found"))</f>
        <v>APLT</v>
      </c>
      <c r="O36" s="116">
        <f t="shared" si="0"/>
        <v>82.5</v>
      </c>
      <c r="P36" s="115">
        <f>IF(M36="","",_xlfn.LET(
  _xlpm.pos, MATCH(M36,'Scrum Teams'!$B$2:$B$1006,0),
  _xlpm.val, INDEX('Scrum Teams'!$E$2:$E$1006,_xlpm.pos),
  IF(ISBLANK(INDEX('Scrum Teams'!$E$2:$E$1006,_xlpm.pos)),"",_xlpm.val)
))</f>
        <v>165</v>
      </c>
      <c r="Q36" s="217">
        <f t="shared" si="5"/>
        <v>165</v>
      </c>
      <c r="R36" s="117" t="str">
        <f>IF(M36="","",IF(L36="", "Missing component", _xlfn.XLOOKUP(L36, Lookup!A:A, Lookup!D:D, "NA")))</f>
        <v>Keith Wiseman</v>
      </c>
      <c r="T36" s="25" t="s">
        <v>81</v>
      </c>
      <c r="U36" s="193">
        <v>38</v>
      </c>
      <c r="V36" s="193">
        <v>40</v>
      </c>
      <c r="W36" s="193">
        <v>0</v>
      </c>
      <c r="X36" s="193">
        <v>26</v>
      </c>
    </row>
    <row r="37" spans="1:24">
      <c r="G37" s="30" t="str" cm="1">
        <f t="array" ref="G37">IFERROR(INDEX(_xlfn._xlws.SORT(_xlfn.UNIQUE(_xlfn._xlws.FILTER($L$2:$L$140,$L$2:$L$140&lt;&gt;""))),ROW()-1),"")</f>
        <v>T1Platform</v>
      </c>
      <c r="H37" s="97" t="str">
        <f>IF(G37="", "", _xlfn.XLOOKUP(G37, 'Component Masterlist v2'!A:A, 'Component Masterlist v2'!P:P, "Not found"))</f>
        <v>T1PL</v>
      </c>
      <c r="I37" s="56">
        <f t="shared" si="12"/>
        <v>60</v>
      </c>
      <c r="J37" s="198">
        <f t="shared" si="13"/>
        <v>120</v>
      </c>
      <c r="K37" s="196" t="str" cm="1">
        <f t="array" ref="K37">IF(G37="","",_xlfn.LET(
  _xlpm.comp, TRIM(CLEAN(G37)),
  _xlpm.expected, J37,
  _xlpm.actual, SUMPRODUCT(--(TRIM(CLEAN($L$2:$L$140))=_xlpm.comp), $Q$2:$Q$140),
  IF(_xlpm.actual=_xlpm.expected, "No", "Mismatch by " &amp; (_xlpm.actual-_xlpm.expected))
))</f>
        <v>No</v>
      </c>
      <c r="L37" s="68" t="str">
        <f>IF(M37="", "", _xlfn.XLOOKUP(M37,'Scrum Teams'!B:B,'Scrum Teams'!A:A,""))</f>
        <v>ApplicationPlatforms</v>
      </c>
      <c r="M37" s="74" t="str" cm="1">
        <f t="array" ref="M37">IFERROR(INDEX(_xlfn.SORTBY(_xlfn.UNIQUE(_xlfn._xlws.FILTER('Scrum Teams'!$B$2:$B$1006,'Scrum Teams'!$B$2:$B$1006&lt;&gt;"")),_xlfn.XLOOKUP(_xlfn.UNIQUE(_xlfn._xlws.FILTER('Scrum Teams'!$B$2:$B$1006,'Scrum Teams'!$B$2:$B$1006&lt;&gt;"")),'Scrum Teams'!$B:$B,'Scrum Teams'!$A:$A,"")),ROW()-1),"")</f>
        <v>Identity Management</v>
      </c>
      <c r="N37" s="115" t="str">
        <f>IF(L37="", "", _xlfn.XLOOKUP(L37, 'Component Masterlist v2'!A:A, 'Component Masterlist v2'!P:P, "Not found"))</f>
        <v>APLT</v>
      </c>
      <c r="O37" s="116">
        <f t="shared" si="0"/>
        <v>44</v>
      </c>
      <c r="P37" s="115">
        <f>IF(M37="","",_xlfn.LET(
  _xlpm.pos, MATCH(M37,'Scrum Teams'!$B$2:$B$1006,0),
  _xlpm.val, INDEX('Scrum Teams'!$E$2:$E$1006,_xlpm.pos),
  IF(ISBLANK(INDEX('Scrum Teams'!$E$2:$E$1006,_xlpm.pos)),"",_xlpm.val)
))</f>
        <v>88</v>
      </c>
      <c r="Q37" s="217">
        <f t="shared" si="5"/>
        <v>88</v>
      </c>
      <c r="R37" s="117" t="str">
        <f>IF(M37="","",IF(L37="", "Missing component", _xlfn.XLOOKUP(L37, Lookup!A:A, Lookup!D:D, "NA")))</f>
        <v>Keith Wiseman</v>
      </c>
      <c r="T37" s="25" t="s">
        <v>50</v>
      </c>
      <c r="U37" s="193">
        <v>95</v>
      </c>
      <c r="V37" s="193">
        <v>0</v>
      </c>
      <c r="W37" s="193">
        <v>10</v>
      </c>
      <c r="X37" s="193">
        <v>35</v>
      </c>
    </row>
    <row r="38" spans="1:24">
      <c r="G38" s="30" t="str" cm="1">
        <f t="array" ref="G38">IFERROR(INDEX(_xlfn._xlws.SORT(_xlfn.UNIQUE(_xlfn._xlws.FILTER($L$2:$L$140,$L$2:$L$140&lt;&gt;""))),ROW()-1),"")</f>
        <v>ZEBRA</v>
      </c>
      <c r="H38" s="97" t="str">
        <f>IF(G38="", "", _xlfn.XLOOKUP(G38, 'Component Masterlist v2'!A:A, 'Component Masterlist v2'!P:P, "Not found"))</f>
        <v>ZEB</v>
      </c>
      <c r="I38" s="56">
        <f t="shared" si="12"/>
        <v>77</v>
      </c>
      <c r="J38" s="198">
        <f t="shared" si="13"/>
        <v>154</v>
      </c>
      <c r="K38" s="196" t="str" cm="1">
        <f t="array" ref="K38">IF(G38="","",_xlfn.LET(
  _xlpm.comp, TRIM(CLEAN(G38)),
  _xlpm.expected, J38,
  _xlpm.actual, SUMPRODUCT(--(TRIM(CLEAN($L$2:$L$140))=_xlpm.comp), $Q$2:$Q$140),
  IF(_xlpm.actual=_xlpm.expected, "No", "Mismatch by " &amp; (_xlpm.actual-_xlpm.expected))
))</f>
        <v>No</v>
      </c>
      <c r="L38" s="68" t="str">
        <f>IF(M38="", "", _xlfn.XLOOKUP(M38,'Scrum Teams'!B:B,'Scrum Teams'!A:A,""))</f>
        <v>ApplicationPlatforms</v>
      </c>
      <c r="M38" s="74" t="str" cm="1">
        <f t="array" ref="M38">IFERROR(INDEX(_xlfn.SORTBY(_xlfn.UNIQUE(_xlfn._xlws.FILTER('Scrum Teams'!$B$2:$B$1006,'Scrum Teams'!$B$2:$B$1006&lt;&gt;"")),_xlfn.XLOOKUP(_xlfn.UNIQUE(_xlfn._xlws.FILTER('Scrum Teams'!$B$2:$B$1006,'Scrum Teams'!$B$2:$B$1006&lt;&gt;"")),'Scrum Teams'!$B:$B,'Scrum Teams'!$A:$A,"")),ROW()-1),"")</f>
        <v>Printers &amp; Scanners</v>
      </c>
      <c r="N38" s="115" t="str">
        <f>IF(L38="", "", _xlfn.XLOOKUP(L38, 'Component Masterlist v2'!A:A, 'Component Masterlist v2'!P:P, "Not found"))</f>
        <v>APLT</v>
      </c>
      <c r="O38" s="116">
        <f t="shared" si="0"/>
        <v>38.5</v>
      </c>
      <c r="P38" s="115">
        <f>IF(M38="","",_xlfn.LET(
  _xlpm.pos, MATCH(M38,'Scrum Teams'!$B$2:$B$1006,0),
  _xlpm.val, INDEX('Scrum Teams'!$E$2:$E$1006,_xlpm.pos),
  IF(ISBLANK(INDEX('Scrum Teams'!$E$2:$E$1006,_xlpm.pos)),"",_xlpm.val)
))</f>
        <v>77</v>
      </c>
      <c r="Q38" s="217">
        <f t="shared" si="5"/>
        <v>77</v>
      </c>
      <c r="R38" s="117" t="str">
        <f>IF(M38="","",IF(L38="", "Missing component", _xlfn.XLOOKUP(L38, Lookup!A:A, Lookup!D:D, "NA")))</f>
        <v>Keith Wiseman</v>
      </c>
      <c r="T38" s="25" t="s">
        <v>108</v>
      </c>
      <c r="U38" s="193">
        <v>14</v>
      </c>
      <c r="V38" s="193">
        <v>8</v>
      </c>
      <c r="W38" s="193">
        <v>0</v>
      </c>
      <c r="X38" s="193">
        <v>7.333333333333333</v>
      </c>
    </row>
    <row r="39" spans="1:24">
      <c r="G39" s="30" t="str" cm="1">
        <f t="array" ref="G39">IFERROR(INDEX(_xlfn._xlws.SORT(_xlfn.UNIQUE(_xlfn._xlws.FILTER($L$2:$L$140,$L$2:$L$140&lt;&gt;""))),ROW()-1),"")</f>
        <v/>
      </c>
      <c r="H39" s="97" t="str">
        <f>IF(G39="", "", _xlfn.XLOOKUP(G39, 'Component Masterlist v2'!A:A, 'Component Masterlist v2'!P:P, "Not found"))</f>
        <v/>
      </c>
      <c r="I39" s="56" t="str">
        <f t="shared" si="12"/>
        <v/>
      </c>
      <c r="J39" s="198" t="str">
        <f t="shared" si="13"/>
        <v/>
      </c>
      <c r="K39" s="196"/>
      <c r="L39" s="68" t="str">
        <f>IF(M39="", "", _xlfn.XLOOKUP(M39,'Scrum Teams'!B:B,'Scrum Teams'!A:A,""))</f>
        <v>ApplicationPlatforms</v>
      </c>
      <c r="M39" s="74" t="str" cm="1">
        <f t="array" ref="M39">IFERROR(INDEX(_xlfn.SORTBY(_xlfn.UNIQUE(_xlfn._xlws.FILTER('Scrum Teams'!$B$2:$B$1006,'Scrum Teams'!$B$2:$B$1006&lt;&gt;"")),_xlfn.XLOOKUP(_xlfn.UNIQUE(_xlfn._xlws.FILTER('Scrum Teams'!$B$2:$B$1006,'Scrum Teams'!$B$2:$B$1006&lt;&gt;"")),'Scrum Teams'!$B:$B,'Scrum Teams'!$A:$A,"")),ROW()-1),"")</f>
        <v>Workflow Engine</v>
      </c>
      <c r="N39" s="115" t="str">
        <f>IF(L39="", "", _xlfn.XLOOKUP(L39, 'Component Masterlist v2'!A:A, 'Component Masterlist v2'!P:P, "Not found"))</f>
        <v>APLT</v>
      </c>
      <c r="O39" s="116">
        <f t="shared" si="0"/>
        <v>55</v>
      </c>
      <c r="P39" s="115">
        <f>IF(M39="","",_xlfn.LET(
  _xlpm.pos, MATCH(M39,'Scrum Teams'!$B$2:$B$1006,0),
  _xlpm.val, INDEX('Scrum Teams'!$E$2:$E$1006,_xlpm.pos),
  IF(ISBLANK(INDEX('Scrum Teams'!$E$2:$E$1006,_xlpm.pos)),"",_xlpm.val)
))</f>
        <v>110</v>
      </c>
      <c r="Q39" s="217">
        <f t="shared" si="5"/>
        <v>110</v>
      </c>
      <c r="R39" s="117" t="str">
        <f>IF(M39="","",IF(L39="", "Missing component", _xlfn.XLOOKUP(L39, Lookup!A:A, Lookup!D:D, "NA")))</f>
        <v>Keith Wiseman</v>
      </c>
    </row>
    <row r="40" spans="1:24">
      <c r="G40" s="197" t="s">
        <v>102</v>
      </c>
      <c r="H40" s="183"/>
      <c r="I40" s="183">
        <f>SUM($I$2:$I$38)</f>
        <v>8591</v>
      </c>
      <c r="J40" s="183">
        <f>SUM($J$2:$J$38)</f>
        <v>17182</v>
      </c>
      <c r="K40" s="196" t="str" cm="1">
        <f t="array" ref="K40">IF(G40="","",_xlfn.LET(
  _xlpm.comp, TRIM(CLEAN(G40)),
  _xlpm.expected, J40,
  _xlpm.actual, SUMPRODUCT(--(TRIM(CLEAN($L$2:$L$152))=_xlpm.comp), $Q$2:$Q$152),
  IF(_xlpm.actual=_xlpm.expected, "No", "Mismatch by " &amp; (_xlpm.actual-_xlpm.expected))
))</f>
        <v>Mismatch by -2411</v>
      </c>
      <c r="L40" s="68" t="str">
        <f>IF(M40="", "", _xlfn.XLOOKUP(M40,'Scrum Teams'!B:B,'Scrum Teams'!A:A,""))</f>
        <v>ARCIntegration</v>
      </c>
      <c r="M40" s="74" t="str" cm="1">
        <f t="array" ref="M40">IFERROR(INDEX(_xlfn.SORTBY(_xlfn.UNIQUE(_xlfn._xlws.FILTER('Scrum Teams'!$B$2:$B$1006,'Scrum Teams'!$B$2:$B$1006&lt;&gt;"")),_xlfn.XLOOKUP(_xlfn.UNIQUE(_xlfn._xlws.FILTER('Scrum Teams'!$B$2:$B$1006,'Scrum Teams'!$B$2:$B$1006&lt;&gt;"")),'Scrum Teams'!$B:$B,'Scrum Teams'!$A:$A,"")),ROW()-1),"")</f>
        <v>Credit &amp; FNI Integrations</v>
      </c>
      <c r="N40" s="115" t="str">
        <f>IF(L40="", "", _xlfn.XLOOKUP(L40, 'Component Masterlist v2'!A:A, 'Component Masterlist v2'!P:P, "Not found"))</f>
        <v>INTG</v>
      </c>
      <c r="O40" s="116">
        <f t="shared" si="0"/>
        <v>45</v>
      </c>
      <c r="P40" s="115">
        <f>IF(M40="","",_xlfn.LET(
  _xlpm.pos, MATCH(M40,'Scrum Teams'!$B$2:$B$1006,0),
  _xlpm.val, INDEX('Scrum Teams'!$E$2:$E$1006,_xlpm.pos),
  IF(ISBLANK(INDEX('Scrum Teams'!$E$2:$E$1006,_xlpm.pos)),"",_xlpm.val)
))</f>
        <v>90</v>
      </c>
      <c r="Q40" s="217">
        <f t="shared" si="5"/>
        <v>90</v>
      </c>
      <c r="R40" s="117" t="str">
        <f>IF(M40="","",IF(L40="", "Missing component", _xlfn.XLOOKUP(L40, Lookup!A:A, Lookup!D:D, "NA")))</f>
        <v>Turker Coskun</v>
      </c>
    </row>
    <row r="41" spans="1:24">
      <c r="G41"/>
      <c r="H41"/>
      <c r="I41"/>
      <c r="J41"/>
      <c r="K41" s="196" t="str" cm="1">
        <f t="array" ref="K41">IF(G41="","",_xlfn.LET(
  _xlpm.comp, TRIM(CLEAN(G41)),
  _xlpm.expected, J41,
  _xlpm.actual, SUMPRODUCT(--(TRIM(CLEAN($L$2:$L$140))=_xlpm.comp), $Q$2:$Q$140),
  IF(_xlpm.actual=_xlpm.expected, "No", "Mismatch by " &amp; (_xlpm.actual-_xlpm.expected))
))</f>
        <v/>
      </c>
      <c r="L41" s="68" t="str">
        <f>IF(M41="", "", _xlfn.XLOOKUP(M41,'Scrum Teams'!B:B,'Scrum Teams'!A:A,""))</f>
        <v>ARCIntegration</v>
      </c>
      <c r="M41" s="74" t="str" cm="1">
        <f t="array" ref="M41">IFERROR(INDEX(_xlfn.SORTBY(_xlfn.UNIQUE(_xlfn._xlws.FILTER('Scrum Teams'!$B$2:$B$1006,'Scrum Teams'!$B$2:$B$1006&lt;&gt;"")),_xlfn.XLOOKUP(_xlfn.UNIQUE(_xlfn._xlws.FILTER('Scrum Teams'!$B$2:$B$1006,'Scrum Teams'!$B$2:$B$1006&lt;&gt;"")),'Scrum Teams'!$B:$B,'Scrum Teams'!$A:$A,"")),ROW()-1),"")</f>
        <v>FixedOps Integration 1</v>
      </c>
      <c r="N41" s="115" t="str">
        <f>IF(L41="", "", _xlfn.XLOOKUP(L41, 'Component Masterlist v2'!A:A, 'Component Masterlist v2'!P:P, "Not found"))</f>
        <v>INTG</v>
      </c>
      <c r="O41" s="116">
        <f t="shared" si="0"/>
        <v>45</v>
      </c>
      <c r="P41" s="115">
        <f>IF(M41="","",_xlfn.LET(
  _xlpm.pos, MATCH(M41,'Scrum Teams'!$B$2:$B$1006,0),
  _xlpm.val, INDEX('Scrum Teams'!$E$2:$E$1006,_xlpm.pos),
  IF(ISBLANK(INDEX('Scrum Teams'!$E$2:$E$1006,_xlpm.pos)),"",_xlpm.val)
))</f>
        <v>90</v>
      </c>
      <c r="Q41" s="217">
        <f t="shared" si="5"/>
        <v>90</v>
      </c>
      <c r="R41" s="117" t="str">
        <f>IF(M41="","",IF(L41="", "Missing component", _xlfn.XLOOKUP(L41, Lookup!A:A, Lookup!D:D, "NA")))</f>
        <v>Turker Coskun</v>
      </c>
    </row>
    <row r="42" spans="1:24">
      <c r="G42"/>
      <c r="H42"/>
      <c r="I42"/>
      <c r="J42"/>
      <c r="K42" s="196" t="str" cm="1">
        <f t="array" ref="K42">IF(G42="","",_xlfn.LET(
  _xlpm.comp, TRIM(CLEAN(G42)),
  _xlpm.expected, J42,
  _xlpm.actual, SUMPRODUCT(--(TRIM(CLEAN($L$2:$L$140))=_xlpm.comp), $Q$2:$Q$140),
  IF(_xlpm.actual=_xlpm.expected, "No", "Mismatch by " &amp; (_xlpm.actual-_xlpm.expected))
))</f>
        <v/>
      </c>
      <c r="L42" s="68" t="str">
        <f>IF(M42="", "", _xlfn.XLOOKUP(M42,'Scrum Teams'!B:B,'Scrum Teams'!A:A,""))</f>
        <v>ARCIntegration</v>
      </c>
      <c r="M42" s="74" t="str" cm="1">
        <f t="array" ref="M42">IFERROR(INDEX(_xlfn.SORTBY(_xlfn.UNIQUE(_xlfn._xlws.FILTER('Scrum Teams'!$B$2:$B$1006,'Scrum Teams'!$B$2:$B$1006&lt;&gt;"")),_xlfn.XLOOKUP(_xlfn.UNIQUE(_xlfn._xlws.FILTER('Scrum Teams'!$B$2:$B$1006,'Scrum Teams'!$B$2:$B$1006&lt;&gt;"")),'Scrum Teams'!$B:$B,'Scrum Teams'!$A:$A,"")),ROW()-1),"")</f>
        <v>FixedOps Integration 2</v>
      </c>
      <c r="N42" s="115" t="str">
        <f>IF(L42="", "", _xlfn.XLOOKUP(L42, 'Component Masterlist v2'!A:A, 'Component Masterlist v2'!P:P, "Not found"))</f>
        <v>INTG</v>
      </c>
      <c r="O42" s="116">
        <f t="shared" si="0"/>
        <v>30</v>
      </c>
      <c r="P42" s="115">
        <f>IF(M42="","",_xlfn.LET(
  _xlpm.pos, MATCH(M42,'Scrum Teams'!$B$2:$B$1006,0),
  _xlpm.val, INDEX('Scrum Teams'!$E$2:$E$1006,_xlpm.pos),
  IF(ISBLANK(INDEX('Scrum Teams'!$E$2:$E$1006,_xlpm.pos)),"",_xlpm.val)
))</f>
        <v>60</v>
      </c>
      <c r="Q42" s="217">
        <f t="shared" si="5"/>
        <v>60</v>
      </c>
      <c r="R42" s="117" t="str">
        <f>IF(M42="","",IF(L42="", "Missing component", _xlfn.XLOOKUP(L42, Lookup!A:A, Lookup!D:D, "NA")))</f>
        <v>Turker Coskun</v>
      </c>
    </row>
    <row r="43" spans="1:24">
      <c r="G43"/>
      <c r="H43"/>
      <c r="I43"/>
      <c r="J43"/>
      <c r="K43" s="196" t="str" cm="1">
        <f t="array" ref="K43">IF(G43="","",_xlfn.LET(
  _xlpm.comp, TRIM(CLEAN(G43)),
  _xlpm.expected, J43,
  _xlpm.actual, SUMPRODUCT(--(TRIM(CLEAN($L$2:$L$140))=_xlpm.comp), $Q$2:$Q$140),
  IF(_xlpm.actual=_xlpm.expected, "No", "Mismatch by " &amp; (_xlpm.actual-_xlpm.expected))
))</f>
        <v/>
      </c>
      <c r="L43" s="68" t="str">
        <f>IF(M43="", "", _xlfn.XLOOKUP(M43,'Scrum Teams'!B:B,'Scrum Teams'!A:A,""))</f>
        <v>ARCIntegration</v>
      </c>
      <c r="M43" s="74" t="str" cm="1">
        <f t="array" ref="M43">IFERROR(INDEX(_xlfn.SORTBY(_xlfn.UNIQUE(_xlfn._xlws.FILTER('Scrum Teams'!$B$2:$B$1006,'Scrum Teams'!$B$2:$B$1006&lt;&gt;"")),_xlfn.XLOOKUP(_xlfn.UNIQUE(_xlfn._xlws.FILTER('Scrum Teams'!$B$2:$B$1006,'Scrum Teams'!$B$2:$B$1006&lt;&gt;"")),'Scrum Teams'!$B:$B,'Scrum Teams'!$A:$A,"")),ROW()-1),"")</f>
        <v>FixedOps Integration 3</v>
      </c>
      <c r="N43" s="115" t="str">
        <f>IF(L43="", "", _xlfn.XLOOKUP(L43, 'Component Masterlist v2'!A:A, 'Component Masterlist v2'!P:P, "Not found"))</f>
        <v>INTG</v>
      </c>
      <c r="O43" s="116">
        <f t="shared" si="0"/>
        <v>30</v>
      </c>
      <c r="P43" s="115">
        <f>IF(M43="","",_xlfn.LET(
  _xlpm.pos, MATCH(M43,'Scrum Teams'!$B$2:$B$1006,0),
  _xlpm.val, INDEX('Scrum Teams'!$E$2:$E$1006,_xlpm.pos),
  IF(ISBLANK(INDEX('Scrum Teams'!$E$2:$E$1006,_xlpm.pos)),"",_xlpm.val)
))</f>
        <v>60</v>
      </c>
      <c r="Q43" s="217">
        <f t="shared" si="5"/>
        <v>60</v>
      </c>
      <c r="R43" s="117" t="str">
        <f>IF(M43="","",IF(L43="", "Missing component", _xlfn.XLOOKUP(L43, Lookup!A:A, Lookup!D:D, "NA")))</f>
        <v>Turker Coskun</v>
      </c>
    </row>
    <row r="44" spans="1:24">
      <c r="G44"/>
      <c r="H44"/>
      <c r="I44"/>
      <c r="J44"/>
      <c r="K44" s="196" t="str" cm="1">
        <f t="array" ref="K44">IF(G44="","",_xlfn.LET(
  _xlpm.comp, TRIM(CLEAN(G44)),
  _xlpm.expected, J44,
  _xlpm.actual, SUMPRODUCT(--(TRIM(CLEAN($L$2:$L$140))=_xlpm.comp), $Q$2:$Q$140),
  IF(_xlpm.actual=_xlpm.expected, "No", "Mismatch by " &amp; (_xlpm.actual-_xlpm.expected))
))</f>
        <v/>
      </c>
      <c r="L44" s="68" t="str">
        <f>IF(M44="", "", _xlfn.XLOOKUP(M44,'Scrum Teams'!B:B,'Scrum Teams'!A:A,""))</f>
        <v>ARCIntegration</v>
      </c>
      <c r="M44" s="74" t="str" cm="1">
        <f t="array" ref="M44">IFERROR(INDEX(_xlfn.SORTBY(_xlfn.UNIQUE(_xlfn._xlws.FILTER('Scrum Teams'!$B$2:$B$1006,'Scrum Teams'!$B$2:$B$1006&lt;&gt;"")),_xlfn.XLOOKUP(_xlfn.UNIQUE(_xlfn._xlws.FILTER('Scrum Teams'!$B$2:$B$1006,'Scrum Teams'!$B$2:$B$1006&lt;&gt;"")),'Scrum Teams'!$B:$B,'Scrum Teams'!$A:$A,"")),ROW()-1),"")</f>
        <v>Platform Integrations</v>
      </c>
      <c r="N44" s="115" t="str">
        <f>IF(L44="", "", _xlfn.XLOOKUP(L44, 'Component Masterlist v2'!A:A, 'Component Masterlist v2'!P:P, "Not found"))</f>
        <v>INTG</v>
      </c>
      <c r="O44" s="116">
        <f t="shared" si="0"/>
        <v>60</v>
      </c>
      <c r="P44" s="115">
        <f>IF(M44="","",_xlfn.LET(
  _xlpm.pos, MATCH(M44,'Scrum Teams'!$B$2:$B$1006,0),
  _xlpm.val, INDEX('Scrum Teams'!$E$2:$E$1006,_xlpm.pos),
  IF(ISBLANK(INDEX('Scrum Teams'!$E$2:$E$1006,_xlpm.pos)),"",_xlpm.val)
))</f>
        <v>120</v>
      </c>
      <c r="Q44" s="217">
        <f t="shared" si="5"/>
        <v>120</v>
      </c>
      <c r="R44" s="117" t="str">
        <f>IF(M44="","",IF(L44="", "Missing component", _xlfn.XLOOKUP(L44, Lookup!A:A, Lookup!D:D, "NA")))</f>
        <v>Turker Coskun</v>
      </c>
    </row>
    <row r="45" spans="1:24">
      <c r="G45"/>
      <c r="H45"/>
      <c r="I45"/>
      <c r="J45"/>
      <c r="K45" s="196" t="str" cm="1">
        <f t="array" ref="K45">IF(G45="","",_xlfn.LET(
  _xlpm.comp, TRIM(CLEAN(G45)),
  _xlpm.expected, J45,
  _xlpm.actual, SUMPRODUCT(--(TRIM(CLEAN($L$2:$L$140))=_xlpm.comp), $Q$2:$Q$140),
  IF(_xlpm.actual=_xlpm.expected, "No", "Mismatch by " &amp; (_xlpm.actual-_xlpm.expected))
))</f>
        <v/>
      </c>
      <c r="L45" s="68" t="str">
        <f>IF(M45="", "", _xlfn.XLOOKUP(M45,'Scrum Teams'!B:B,'Scrum Teams'!A:A,""))</f>
        <v>ARCIntegration</v>
      </c>
      <c r="M45" s="74" t="str" cm="1">
        <f t="array" ref="M45">IFERROR(INDEX(_xlfn.SORTBY(_xlfn.UNIQUE(_xlfn._xlws.FILTER('Scrum Teams'!$B$2:$B$1006,'Scrum Teams'!$B$2:$B$1006&lt;&gt;"")),_xlfn.XLOOKUP(_xlfn.UNIQUE(_xlfn._xlws.FILTER('Scrum Teams'!$B$2:$B$1006,'Scrum Teams'!$B$2:$B$1006&lt;&gt;"")),'Scrum Teams'!$B:$B,'Scrum Teams'!$A:$A,"")),ROW()-1),"")</f>
        <v>Retail Integration 1</v>
      </c>
      <c r="N45" s="115" t="str">
        <f>IF(L45="", "", _xlfn.XLOOKUP(L45, 'Component Masterlist v2'!A:A, 'Component Masterlist v2'!P:P, "Not found"))</f>
        <v>INTG</v>
      </c>
      <c r="O45" s="116">
        <f t="shared" si="0"/>
        <v>45</v>
      </c>
      <c r="P45" s="115">
        <f>IF(M45="","",_xlfn.LET(
  _xlpm.pos, MATCH(M45,'Scrum Teams'!$B$2:$B$1006,0),
  _xlpm.val, INDEX('Scrum Teams'!$E$2:$E$1006,_xlpm.pos),
  IF(ISBLANK(INDEX('Scrum Teams'!$E$2:$E$1006,_xlpm.pos)),"",_xlpm.val)
))</f>
        <v>90</v>
      </c>
      <c r="Q45" s="217">
        <f t="shared" si="5"/>
        <v>90</v>
      </c>
      <c r="R45" s="117" t="str">
        <f>IF(M45="","",IF(L45="", "Missing component", _xlfn.XLOOKUP(L45, Lookup!A:A, Lookup!D:D, "NA")))</f>
        <v>Turker Coskun</v>
      </c>
    </row>
    <row r="46" spans="1:24">
      <c r="G46"/>
      <c r="H46"/>
      <c r="I46"/>
      <c r="J46"/>
      <c r="K46" s="196" t="str" cm="1">
        <f t="array" ref="K46">IF(G46="","",_xlfn.LET(
  _xlpm.comp, TRIM(CLEAN(G46)),
  _xlpm.expected, J46,
  _xlpm.actual, SUMPRODUCT(--(TRIM(CLEAN($L$2:$L$140))=_xlpm.comp), $Q$2:$Q$140),
  IF(_xlpm.actual=_xlpm.expected, "No", "Mismatch by " &amp; (_xlpm.actual-_xlpm.expected))
))</f>
        <v/>
      </c>
      <c r="L46" s="68" t="str">
        <f>IF(M46="", "", _xlfn.XLOOKUP(M46,'Scrum Teams'!B:B,'Scrum Teams'!A:A,""))</f>
        <v>ARCIntegration</v>
      </c>
      <c r="M46" s="74" t="str" cm="1">
        <f t="array" ref="M46">IFERROR(INDEX(_xlfn.SORTBY(_xlfn.UNIQUE(_xlfn._xlws.FILTER('Scrum Teams'!$B$2:$B$1006,'Scrum Teams'!$B$2:$B$1006&lt;&gt;"")),_xlfn.XLOOKUP(_xlfn.UNIQUE(_xlfn._xlws.FILTER('Scrum Teams'!$B$2:$B$1006,'Scrum Teams'!$B$2:$B$1006&lt;&gt;"")),'Scrum Teams'!$B:$B,'Scrum Teams'!$A:$A,"")),ROW()-1),"")</f>
        <v>Retail Integration 2</v>
      </c>
      <c r="N46" s="115" t="str">
        <f>IF(L46="", "", _xlfn.XLOOKUP(L46, 'Component Masterlist v2'!A:A, 'Component Masterlist v2'!P:P, "Not found"))</f>
        <v>INTG</v>
      </c>
      <c r="O46" s="116">
        <f t="shared" si="0"/>
        <v>30</v>
      </c>
      <c r="P46" s="115">
        <f>IF(M46="","",_xlfn.LET(
  _xlpm.pos, MATCH(M46,'Scrum Teams'!$B$2:$B$1006,0),
  _xlpm.val, INDEX('Scrum Teams'!$E$2:$E$1006,_xlpm.pos),
  IF(ISBLANK(INDEX('Scrum Teams'!$E$2:$E$1006,_xlpm.pos)),"",_xlpm.val)
))</f>
        <v>60</v>
      </c>
      <c r="Q46" s="217">
        <f t="shared" si="5"/>
        <v>60</v>
      </c>
      <c r="R46" s="117" t="str">
        <f>IF(M46="","",IF(L46="", "Missing component", _xlfn.XLOOKUP(L46, Lookup!A:A, Lookup!D:D, "NA")))</f>
        <v>Turker Coskun</v>
      </c>
    </row>
    <row r="47" spans="1:24">
      <c r="G47"/>
      <c r="H47"/>
      <c r="I47"/>
      <c r="J47"/>
      <c r="K47" s="196" t="str" cm="1">
        <f t="array" ref="K47">IF(G47="","",_xlfn.LET(
  _xlpm.comp, TRIM(CLEAN(G47)),
  _xlpm.expected, J47,
  _xlpm.actual, SUMPRODUCT(--(TRIM(CLEAN($L$2:$L$140))=_xlpm.comp), $Q$2:$Q$140),
  IF(_xlpm.actual=_xlpm.expected, "No", "Mismatch by " &amp; (_xlpm.actual-_xlpm.expected))
))</f>
        <v/>
      </c>
      <c r="L47" s="68" t="str">
        <f>IF(M47="", "", _xlfn.XLOOKUP(M47,'Scrum Teams'!B:B,'Scrum Teams'!A:A,""))</f>
        <v>Campaign</v>
      </c>
      <c r="M47" s="74" t="str" cm="1">
        <f t="array" ref="M47">IFERROR(INDEX(_xlfn.SORTBY(_xlfn.UNIQUE(_xlfn._xlws.FILTER('Scrum Teams'!$B$2:$B$1006,'Scrum Teams'!$B$2:$B$1006&lt;&gt;"")),_xlfn.XLOOKUP(_xlfn.UNIQUE(_xlfn._xlws.FILTER('Scrum Teams'!$B$2:$B$1006,'Scrum Teams'!$B$2:$B$1006&lt;&gt;"")),'Scrum Teams'!$B:$B,'Scrum Teams'!$A:$A,"")),ROW()-1),"")</f>
        <v>Bishop</v>
      </c>
      <c r="N47" s="115" t="str">
        <f>IF(L47="", "", _xlfn.XLOOKUP(L47, 'Component Masterlist v2'!A:A, 'Component Masterlist v2'!P:P, "Not found"))</f>
        <v>CRM</v>
      </c>
      <c r="O47" s="116">
        <f t="shared" si="0"/>
        <v>77.5</v>
      </c>
      <c r="P47" s="115">
        <f>IF(M47="","",_xlfn.LET(
  _xlpm.pos, MATCH(M47,'Scrum Teams'!$B$2:$B$1006,0),
  _xlpm.val, INDEX('Scrum Teams'!$E$2:$E$1006,_xlpm.pos),
  IF(ISBLANK(INDEX('Scrum Teams'!$E$2:$E$1006,_xlpm.pos)),"",_xlpm.val)
))</f>
        <v>155</v>
      </c>
      <c r="Q47" s="217">
        <f t="shared" si="5"/>
        <v>155</v>
      </c>
      <c r="R47" s="117" t="str">
        <f>IF(M47="","",IF(L47="", "Missing component", _xlfn.XLOOKUP(L47, Lookup!A:A, Lookup!D:D, "NA")))</f>
        <v>Ved Singh</v>
      </c>
    </row>
    <row r="48" spans="1:24">
      <c r="G48"/>
      <c r="H48"/>
      <c r="I48"/>
      <c r="J48"/>
      <c r="K48" s="196" t="str" cm="1">
        <f t="array" ref="K48">IF(G48="","",_xlfn.LET(
  _xlpm.comp, TRIM(CLEAN(G48)),
  _xlpm.expected, J48,
  _xlpm.actual, SUMPRODUCT(--(TRIM(CLEAN($L$2:$L$140))=_xlpm.comp), $Q$2:$Q$140),
  IF(_xlpm.actual=_xlpm.expected, "No", "Mismatch by " &amp; (_xlpm.actual-_xlpm.expected))
))</f>
        <v/>
      </c>
      <c r="L48" s="68" t="str">
        <f>IF(M48="", "", _xlfn.XLOOKUP(M48,'Scrum Teams'!B:B,'Scrum Teams'!A:A,""))</f>
        <v>Cashiering</v>
      </c>
      <c r="M48" s="74" t="str" cm="1">
        <f t="array" ref="M48">IFERROR(INDEX(_xlfn.SORTBY(_xlfn.UNIQUE(_xlfn._xlws.FILTER('Scrum Teams'!$B$2:$B$1006,'Scrum Teams'!$B$2:$B$1006&lt;&gt;"")),_xlfn.XLOOKUP(_xlfn.UNIQUE(_xlfn._xlws.FILTER('Scrum Teams'!$B$2:$B$1006,'Scrum Teams'!$B$2:$B$1006&lt;&gt;"")),'Scrum Teams'!$B:$B,'Scrum Teams'!$A:$A,"")),ROW()-1),"")</f>
        <v>Cashiering</v>
      </c>
      <c r="N48" s="115" t="str">
        <f>IF(L48="", "", _xlfn.XLOOKUP(L48, 'Component Masterlist v2'!A:A, 'Component Masterlist v2'!P:P, "Not found"))</f>
        <v>CASH</v>
      </c>
      <c r="O48" s="116">
        <f t="shared" si="0"/>
        <v>34</v>
      </c>
      <c r="P48" s="115">
        <f>IF(M48="","",_xlfn.LET(
  _xlpm.pos, MATCH(M48,'Scrum Teams'!$B$2:$B$1006,0),
  _xlpm.val, INDEX('Scrum Teams'!$E$2:$E$1006,_xlpm.pos),
  IF(ISBLANK(INDEX('Scrum Teams'!$E$2:$E$1006,_xlpm.pos)),"",_xlpm.val)
))</f>
        <v>68</v>
      </c>
      <c r="Q48" s="217">
        <f t="shared" si="5"/>
        <v>68</v>
      </c>
      <c r="R48" s="117" t="str">
        <f>IF(M48="","",IF(L48="", "Missing component", _xlfn.XLOOKUP(L48, Lookup!A:A, Lookup!D:D, "NA")))</f>
        <v>Sanyam Agrawal</v>
      </c>
    </row>
    <row r="49" spans="7:24">
      <c r="G49"/>
      <c r="H49"/>
      <c r="I49"/>
      <c r="J49"/>
      <c r="K49" s="196" t="str" cm="1">
        <f t="array" ref="K49">IF(G49="","",_xlfn.LET(
  _xlpm.comp, TRIM(CLEAN(G49)),
  _xlpm.expected, J49,
  _xlpm.actual, SUMPRODUCT(--(TRIM(CLEAN($L$2:$L$140))=_xlpm.comp), $Q$2:$Q$140),
  IF(_xlpm.actual=_xlpm.expected, "No", "Mismatch by " &amp; (_xlpm.actual-_xlpm.expected))
))</f>
        <v/>
      </c>
      <c r="L49" s="68" t="str">
        <f>IF(M49="", "", _xlfn.XLOOKUP(M49,'Scrum Teams'!B:B,'Scrum Teams'!A:A,""))</f>
        <v>Communication</v>
      </c>
      <c r="M49" s="74" t="str" cm="1">
        <f t="array" ref="M49">IFERROR(INDEX(_xlfn.SORTBY(_xlfn.UNIQUE(_xlfn._xlws.FILTER('Scrum Teams'!$B$2:$B$1006,'Scrum Teams'!$B$2:$B$1006&lt;&gt;"")),_xlfn.XLOOKUP(_xlfn.UNIQUE(_xlfn._xlws.FILTER('Scrum Teams'!$B$2:$B$1006,'Scrum Teams'!$B$2:$B$1006&lt;&gt;"")),'Scrum Teams'!$B:$B,'Scrum Teams'!$A:$A,"")),ROW()-1),"")</f>
        <v>Communication</v>
      </c>
      <c r="N49" s="115" t="str">
        <f>IF(L49="", "", _xlfn.XLOOKUP(L49, 'Component Masterlist v2'!A:A, 'Component Masterlist v2'!P:P, "Not found"))</f>
        <v>COMM</v>
      </c>
      <c r="O49" s="116">
        <f t="shared" si="0"/>
        <v>135</v>
      </c>
      <c r="P49" s="115">
        <f>IF(M49="","",_xlfn.LET(
  _xlpm.pos, MATCH(M49,'Scrum Teams'!$B$2:$B$1006,0),
  _xlpm.val, INDEX('Scrum Teams'!$E$2:$E$1006,_xlpm.pos),
  IF(ISBLANK(INDEX('Scrum Teams'!$E$2:$E$1006,_xlpm.pos)),"",_xlpm.val)
))</f>
        <v>270</v>
      </c>
      <c r="Q49" s="217">
        <f t="shared" si="5"/>
        <v>270</v>
      </c>
      <c r="R49" s="117" t="str">
        <f>IF(M49="","",IF(L49="", "Missing component", _xlfn.XLOOKUP(L49, Lookup!A:A, Lookup!D:D, "NA")))</f>
        <v>Ved Singh</v>
      </c>
    </row>
    <row r="50" spans="7:24">
      <c r="G50"/>
      <c r="H50"/>
      <c r="I50"/>
      <c r="J50"/>
      <c r="K50" s="196" t="str" cm="1">
        <f t="array" ref="K50">IF(G50="","",_xlfn.LET(
  _xlpm.comp, TRIM(CLEAN(G50)),
  _xlpm.expected, J50,
  _xlpm.actual, SUMPRODUCT(--(TRIM(CLEAN($L$2:$L$140))=_xlpm.comp), $Q$2:$Q$140),
  IF(_xlpm.actual=_xlpm.expected, "No", "Mismatch by " &amp; (_xlpm.actual-_xlpm.expected))
))</f>
        <v/>
      </c>
      <c r="L50" s="68" t="str">
        <f>IF(M50="", "", _xlfn.XLOOKUP(M50,'Scrum Teams'!B:B,'Scrum Teams'!A:A,""))</f>
        <v>CRM</v>
      </c>
      <c r="M50" s="74" t="str" cm="1">
        <f t="array" ref="M50">IFERROR(INDEX(_xlfn.SORTBY(_xlfn.UNIQUE(_xlfn._xlws.FILTER('Scrum Teams'!$B$2:$B$1006,'Scrum Teams'!$B$2:$B$1006&lt;&gt;"")),_xlfn.XLOOKUP(_xlfn.UNIQUE(_xlfn._xlws.FILTER('Scrum Teams'!$B$2:$B$1006,'Scrum Teams'!$B$2:$B$1006&lt;&gt;"")),'Scrum Teams'!$B:$B,'Scrum Teams'!$A:$A,"")),ROW()-1),"")</f>
        <v>Gambit</v>
      </c>
      <c r="N50" s="115" t="str">
        <f>IF(L50="", "", _xlfn.XLOOKUP(L50, 'Component Masterlist v2'!A:A, 'Component Masterlist v2'!P:P, "Not found"))</f>
        <v>CRM</v>
      </c>
      <c r="O50" s="116">
        <f t="shared" si="0"/>
        <v>40</v>
      </c>
      <c r="P50" s="115">
        <f>IF(M50="","",_xlfn.LET(
  _xlpm.pos, MATCH(M50,'Scrum Teams'!$B$2:$B$1006,0),
  _xlpm.val, INDEX('Scrum Teams'!$E$2:$E$1006,_xlpm.pos),
  IF(ISBLANK(INDEX('Scrum Teams'!$E$2:$E$1006,_xlpm.pos)),"",_xlpm.val)
))</f>
        <v>80</v>
      </c>
      <c r="Q50" s="217">
        <f t="shared" si="5"/>
        <v>80</v>
      </c>
      <c r="R50" s="117" t="str">
        <f>IF(M50="","",IF(L50="", "Missing component", _xlfn.XLOOKUP(L50, Lookup!A:A, Lookup!D:D, "NA")))</f>
        <v>Ved Singh</v>
      </c>
    </row>
    <row r="51" spans="7:24">
      <c r="G51"/>
      <c r="H51"/>
      <c r="I51"/>
      <c r="J51"/>
      <c r="K51" s="196" t="str" cm="1">
        <f t="array" ref="K51">IF(G51="","",_xlfn.LET(
  _xlpm.comp, TRIM(CLEAN(G51)),
  _xlpm.expected, J51,
  _xlpm.actual, SUMPRODUCT(--(TRIM(CLEAN($L$2:$L$140))=_xlpm.comp), $Q$2:$Q$140),
  IF(_xlpm.actual=_xlpm.expected, "No", "Mismatch by " &amp; (_xlpm.actual-_xlpm.expected))
))</f>
        <v/>
      </c>
      <c r="L51" s="68" t="str">
        <f>IF(M51="", "", _xlfn.XLOOKUP(M51,'Scrum Teams'!B:B,'Scrum Teams'!A:A,""))</f>
        <v>CRM</v>
      </c>
      <c r="M51" s="74" t="str" cm="1">
        <f t="array" ref="M51">IFERROR(INDEX(_xlfn.SORTBY(_xlfn.UNIQUE(_xlfn._xlws.FILTER('Scrum Teams'!$B$2:$B$1006,'Scrum Teams'!$B$2:$B$1006&lt;&gt;"")),_xlfn.XLOOKUP(_xlfn.UNIQUE(_xlfn._xlws.FILTER('Scrum Teams'!$B$2:$B$1006,'Scrum Teams'!$B$2:$B$1006&lt;&gt;"")),'Scrum Teams'!$B:$B,'Scrum Teams'!$A:$A,"")),ROW()-1),"")</f>
        <v>Mystique</v>
      </c>
      <c r="N51" s="115" t="str">
        <f>IF(L51="", "", _xlfn.XLOOKUP(L51, 'Component Masterlist v2'!A:A, 'Component Masterlist v2'!P:P, "Not found"))</f>
        <v>CRM</v>
      </c>
      <c r="O51" s="116">
        <f t="shared" si="0"/>
        <v>95</v>
      </c>
      <c r="P51" s="115">
        <f>IF(M51="","",_xlfn.LET(
  _xlpm.pos, MATCH(M51,'Scrum Teams'!$B$2:$B$1006,0),
  _xlpm.val, INDEX('Scrum Teams'!$E$2:$E$1006,_xlpm.pos),
  IF(ISBLANK(INDEX('Scrum Teams'!$E$2:$E$1006,_xlpm.pos)),"",_xlpm.val)
))</f>
        <v>190</v>
      </c>
      <c r="Q51" s="217">
        <f t="shared" si="5"/>
        <v>190</v>
      </c>
      <c r="R51" s="117" t="str">
        <f>IF(M51="","",IF(L51="", "Missing component", _xlfn.XLOOKUP(L51, Lookup!A:A, Lookup!D:D, "NA")))</f>
        <v>Ved Singh</v>
      </c>
    </row>
    <row r="52" spans="7:24">
      <c r="G52"/>
      <c r="H52"/>
      <c r="I52"/>
      <c r="J52"/>
      <c r="K52" s="196" t="str" cm="1">
        <f t="array" ref="K52">IF(G52="","",_xlfn.LET(
  _xlpm.comp, TRIM(CLEAN(G52)),
  _xlpm.expected, J52,
  _xlpm.actual, SUMPRODUCT(--(TRIM(CLEAN($L$2:$L$140))=_xlpm.comp), $Q$2:$Q$140),
  IF(_xlpm.actual=_xlpm.expected, "No", "Mismatch by " &amp; (_xlpm.actual-_xlpm.expected))
))</f>
        <v/>
      </c>
      <c r="L52" s="68" t="str">
        <f>IF(M52="", "", _xlfn.XLOOKUP(M52,'Scrum Teams'!B:B,'Scrum Teams'!A:A,""))</f>
        <v>CRM</v>
      </c>
      <c r="M52" s="74" t="str" cm="1">
        <f t="array" ref="M52">IFERROR(INDEX(_xlfn.SORTBY(_xlfn.UNIQUE(_xlfn._xlws.FILTER('Scrum Teams'!$B$2:$B$1006,'Scrum Teams'!$B$2:$B$1006&lt;&gt;"")),_xlfn.XLOOKUP(_xlfn.UNIQUE(_xlfn._xlws.FILTER('Scrum Teams'!$B$2:$B$1006,'Scrum Teams'!$B$2:$B$1006&lt;&gt;"")),'Scrum Teams'!$B:$B,'Scrum Teams'!$A:$A,"")),ROW()-1),"")</f>
        <v>Storm</v>
      </c>
      <c r="N52" s="115" t="str">
        <f>IF(L52="", "", _xlfn.XLOOKUP(L52, 'Component Masterlist v2'!A:A, 'Component Masterlist v2'!P:P, "Not found"))</f>
        <v>CRM</v>
      </c>
      <c r="O52" s="116">
        <f t="shared" si="0"/>
        <v>87.5</v>
      </c>
      <c r="P52" s="115">
        <f>IF(M52="","",_xlfn.LET(
  _xlpm.pos, MATCH(M52,'Scrum Teams'!$B$2:$B$1006,0),
  _xlpm.val, INDEX('Scrum Teams'!$E$2:$E$1006,_xlpm.pos),
  IF(ISBLANK(INDEX('Scrum Teams'!$E$2:$E$1006,_xlpm.pos)),"",_xlpm.val)
))</f>
        <v>175</v>
      </c>
      <c r="Q52" s="217">
        <f t="shared" si="5"/>
        <v>175</v>
      </c>
      <c r="R52" s="117" t="str">
        <f>IF(M52="","",IF(L52="", "Missing component", _xlfn.XLOOKUP(L52, Lookup!A:A, Lookup!D:D, "NA")))</f>
        <v>Ved Singh</v>
      </c>
    </row>
    <row r="53" spans="7:24">
      <c r="G53"/>
      <c r="H53"/>
      <c r="I53"/>
      <c r="J53"/>
      <c r="K53" s="196" t="str" cm="1">
        <f t="array" ref="K53">IF(G53="","",_xlfn.LET(
  _xlpm.comp, TRIM(CLEAN(G53)),
  _xlpm.expected, J53,
  _xlpm.actual, SUMPRODUCT(--(TRIM(CLEAN($L$2:$L$140))=_xlpm.comp), $Q$2:$Q$140),
  IF(_xlpm.actual=_xlpm.expected, "No", "Mismatch by " &amp; (_xlpm.actual-_xlpm.expected))
))</f>
        <v/>
      </c>
      <c r="L53" s="68" t="str">
        <f>IF(M53="", "", _xlfn.XLOOKUP(M53,'Scrum Teams'!B:B,'Scrum Teams'!A:A,""))</f>
        <v>CRM</v>
      </c>
      <c r="M53" s="74" t="str" cm="1">
        <f t="array" ref="M53">IFERROR(INDEX(_xlfn.SORTBY(_xlfn.UNIQUE(_xlfn._xlws.FILTER('Scrum Teams'!$B$2:$B$1006,'Scrum Teams'!$B$2:$B$1006&lt;&gt;"")),_xlfn.XLOOKUP(_xlfn.UNIQUE(_xlfn._xlws.FILTER('Scrum Teams'!$B$2:$B$1006,'Scrum Teams'!$B$2:$B$1006&lt;&gt;"")),'Scrum Teams'!$B:$B,'Scrum Teams'!$A:$A,"")),ROW()-1),"")</f>
        <v>Wolverine</v>
      </c>
      <c r="N53" s="115" t="str">
        <f>IF(L53="", "", _xlfn.XLOOKUP(L53, 'Component Masterlist v2'!A:A, 'Component Masterlist v2'!P:P, "Not found"))</f>
        <v>CRM</v>
      </c>
      <c r="O53" s="116">
        <f t="shared" si="0"/>
        <v>75</v>
      </c>
      <c r="P53" s="115">
        <f>IF(M53="","",_xlfn.LET(
  _xlpm.pos, MATCH(M53,'Scrum Teams'!$B$2:$B$1006,0),
  _xlpm.val, INDEX('Scrum Teams'!$E$2:$E$1006,_xlpm.pos),
  IF(ISBLANK(INDEX('Scrum Teams'!$E$2:$E$1006,_xlpm.pos)),"",_xlpm.val)
))</f>
        <v>150</v>
      </c>
      <c r="Q53" s="217">
        <f t="shared" si="5"/>
        <v>150</v>
      </c>
      <c r="R53" s="117" t="str">
        <f>IF(M53="","",IF(L53="", "Missing component", _xlfn.XLOOKUP(L53, Lookup!A:A, Lookup!D:D, "NA")))</f>
        <v>Ved Singh</v>
      </c>
    </row>
    <row r="54" spans="7:24">
      <c r="G54"/>
      <c r="H54"/>
      <c r="I54"/>
      <c r="J54"/>
      <c r="K54" s="196" t="str" cm="1">
        <f t="array" ref="K54">IF(G54="","",_xlfn.LET(
  _xlpm.comp, TRIM(CLEAN(G54)),
  _xlpm.expected, J54,
  _xlpm.actual, SUMPRODUCT(--(TRIM(CLEAN($L$2:$L$140))=_xlpm.comp), $Q$2:$Q$140),
  IF(_xlpm.actual=_xlpm.expected, "No", "Mismatch by " &amp; (_xlpm.actual-_xlpm.expected))
))</f>
        <v/>
      </c>
      <c r="L54" s="68" t="str">
        <f>IF(M54="", "", _xlfn.XLOOKUP(M54,'Scrum Teams'!B:B,'Scrum Teams'!A:A,""))</f>
        <v>CRM</v>
      </c>
      <c r="M54" s="74" t="str" cm="1">
        <f t="array" ref="M54">IFERROR(INDEX(_xlfn.SORTBY(_xlfn.UNIQUE(_xlfn._xlws.FILTER('Scrum Teams'!$B$2:$B$1006,'Scrum Teams'!$B$2:$B$1006&lt;&gt;"")),_xlfn.XLOOKUP(_xlfn.UNIQUE(_xlfn._xlws.FILTER('Scrum Teams'!$B$2:$B$1006,'Scrum Teams'!$B$2:$B$1006&lt;&gt;"")),'Scrum Teams'!$B:$B,'Scrum Teams'!$A:$A,"")),ROW()-1),"")</f>
        <v>CRM-CMS</v>
      </c>
      <c r="N54" s="115" t="str">
        <f>IF(L54="", "", _xlfn.XLOOKUP(L54, 'Component Masterlist v2'!A:A, 'Component Masterlist v2'!P:P, "Not found"))</f>
        <v>CRM</v>
      </c>
      <c r="O54" s="116">
        <f t="shared" si="0"/>
        <v>40</v>
      </c>
      <c r="P54" s="115">
        <f>IF(M54="","",_xlfn.LET(
  _xlpm.pos, MATCH(M54,'Scrum Teams'!$B$2:$B$1006,0),
  _xlpm.val, INDEX('Scrum Teams'!$E$2:$E$1006,_xlpm.pos),
  IF(ISBLANK(INDEX('Scrum Teams'!$E$2:$E$1006,_xlpm.pos)),"",_xlpm.val)
))</f>
        <v>80</v>
      </c>
      <c r="Q54" s="217">
        <f t="shared" si="5"/>
        <v>80</v>
      </c>
      <c r="R54" s="117" t="str">
        <f>IF(M54="","",IF(L54="", "Missing component", _xlfn.XLOOKUP(L54, Lookup!A:A, Lookup!D:D, "NA")))</f>
        <v>Ved Singh</v>
      </c>
    </row>
    <row r="55" spans="7:24">
      <c r="G55"/>
      <c r="H55"/>
      <c r="I55"/>
      <c r="J55"/>
      <c r="K55" s="196" t="str" cm="1">
        <f t="array" ref="K55">IF(G55="","",_xlfn.LET(
  _xlpm.comp, TRIM(CLEAN(G55)),
  _xlpm.expected, J55,
  _xlpm.actual, SUMPRODUCT(--(TRIM(CLEAN($L$2:$L$140))=_xlpm.comp), $Q$2:$Q$140),
  IF(_xlpm.actual=_xlpm.expected, "No", "Mismatch by " &amp; (_xlpm.actual-_xlpm.expected))
))</f>
        <v/>
      </c>
      <c r="L55" s="68" t="str">
        <f>IF(M55="", "", _xlfn.XLOOKUP(M55,'Scrum Teams'!B:B,'Scrum Teams'!A:A,""))</f>
        <v>CRM</v>
      </c>
      <c r="M55" s="74" t="str" cm="1">
        <f t="array" ref="M55">IFERROR(INDEX(_xlfn.SORTBY(_xlfn.UNIQUE(_xlfn._xlws.FILTER('Scrum Teams'!$B$2:$B$1006,'Scrum Teams'!$B$2:$B$1006&lt;&gt;"")),_xlfn.XLOOKUP(_xlfn.UNIQUE(_xlfn._xlws.FILTER('Scrum Teams'!$B$2:$B$1006,'Scrum Teams'!$B$2:$B$1006&lt;&gt;"")),'Scrum Teams'!$B:$B,'Scrum Teams'!$A:$A,"")),ROW()-1),"")</f>
        <v>CRM-CDM</v>
      </c>
      <c r="N55" s="115" t="str">
        <f>IF(L55="", "", _xlfn.XLOOKUP(L55, 'Component Masterlist v2'!A:A, 'Component Masterlist v2'!P:P, "Not found"))</f>
        <v>CRM</v>
      </c>
      <c r="O55" s="116">
        <f t="shared" si="0"/>
        <v>27.5</v>
      </c>
      <c r="P55" s="115">
        <f>IF(M55="","",_xlfn.LET(
  _xlpm.pos, MATCH(M55,'Scrum Teams'!$B$2:$B$1006,0),
  _xlpm.val, INDEX('Scrum Teams'!$E$2:$E$1006,_xlpm.pos),
  IF(ISBLANK(INDEX('Scrum Teams'!$E$2:$E$1006,_xlpm.pos)),"",_xlpm.val)
))</f>
        <v>55</v>
      </c>
      <c r="Q55" s="217">
        <f t="shared" si="5"/>
        <v>55</v>
      </c>
      <c r="R55" s="117" t="str">
        <f>IF(M55="","",IF(L55="", "Missing component", _xlfn.XLOOKUP(L55, Lookup!A:A, Lookup!D:D, "NA")))</f>
        <v>Ved Singh</v>
      </c>
    </row>
    <row r="56" spans="7:24">
      <c r="G56"/>
      <c r="H56"/>
      <c r="I56"/>
      <c r="J56"/>
      <c r="K56" s="196" t="str" cm="1">
        <f t="array" ref="K56">IF(G56="","",_xlfn.LET(
  _xlpm.comp, TRIM(CLEAN(G56)),
  _xlpm.expected, J56,
  _xlpm.actual, SUMPRODUCT(--(TRIM(CLEAN($L$2:$L$140))=_xlpm.comp), $Q$2:$Q$140),
  IF(_xlpm.actual=_xlpm.expected, "No", "Mismatch by " &amp; (_xlpm.actual-_xlpm.expected))
))</f>
        <v/>
      </c>
      <c r="L56" s="68" t="str">
        <f>IF(M56="", "", _xlfn.XLOOKUP(M56,'Scrum Teams'!B:B,'Scrum Teams'!A:A,""))</f>
        <v>DataPlatform</v>
      </c>
      <c r="M56" s="74" t="str" cm="1">
        <f t="array" ref="M56">IFERROR(INDEX(_xlfn.SORTBY(_xlfn.UNIQUE(_xlfn._xlws.FILTER('Scrum Teams'!$B$2:$B$1006,'Scrum Teams'!$B$2:$B$1006&lt;&gt;"")),_xlfn.XLOOKUP(_xlfn.UNIQUE(_xlfn._xlws.FILTER('Scrum Teams'!$B$2:$B$1006,'Scrum Teams'!$B$2:$B$1006&lt;&gt;"")),'Scrum Teams'!$B:$B,'Scrum Teams'!$A:$A,"")),ROW()-1),"")</f>
        <v>Data Analytics</v>
      </c>
      <c r="N56" s="115" t="str">
        <f>IF(L56="", "", _xlfn.XLOOKUP(L56, 'Component Masterlist v2'!A:A, 'Component Masterlist v2'!P:P, "Not found"))</f>
        <v>DPLT</v>
      </c>
      <c r="O56" s="116">
        <f t="shared" si="0"/>
        <v>15</v>
      </c>
      <c r="P56" s="115">
        <f>IF(M56="","",_xlfn.LET(
  _xlpm.pos, MATCH(M56,'Scrum Teams'!$B$2:$B$1006,0),
  _xlpm.val, INDEX('Scrum Teams'!$E$2:$E$1006,_xlpm.pos),
  IF(ISBLANK(INDEX('Scrum Teams'!$E$2:$E$1006,_xlpm.pos)),"",_xlpm.val)
))</f>
        <v>30</v>
      </c>
      <c r="Q56" s="217">
        <f t="shared" si="5"/>
        <v>30</v>
      </c>
      <c r="R56" s="117" t="str">
        <f>IF(M56="","",IF(L56="", "Missing component", _xlfn.XLOOKUP(L56, Lookup!A:A, Lookup!D:D, "NA")))</f>
        <v>Satish Sallakonda</v>
      </c>
    </row>
    <row r="57" spans="7:24">
      <c r="G57"/>
      <c r="H57"/>
      <c r="I57"/>
      <c r="J57"/>
      <c r="K57" s="196" t="str" cm="1">
        <f t="array" ref="K57">IF(G57="","",_xlfn.LET(
  _xlpm.comp, TRIM(CLEAN(G57)),
  _xlpm.expected, J57,
  _xlpm.actual, SUMPRODUCT(--(TRIM(CLEAN($L$2:$L$140))=_xlpm.comp), $Q$2:$Q$140),
  IF(_xlpm.actual=_xlpm.expected, "No", "Mismatch by " &amp; (_xlpm.actual-_xlpm.expected))
))</f>
        <v/>
      </c>
      <c r="L57" s="68" t="str">
        <f>IF(M57="", "", _xlfn.XLOOKUP(M57,'Scrum Teams'!B:B,'Scrum Teams'!A:A,""))</f>
        <v>DataPlatform</v>
      </c>
      <c r="M57" s="74" t="str" cm="1">
        <f t="array" ref="M57">IFERROR(INDEX(_xlfn.SORTBY(_xlfn.UNIQUE(_xlfn._xlws.FILTER('Scrum Teams'!$B$2:$B$1006,'Scrum Teams'!$B$2:$B$1006&lt;&gt;"")),_xlfn.XLOOKUP(_xlfn.UNIQUE(_xlfn._xlws.FILTER('Scrum Teams'!$B$2:$B$1006,'Scrum Teams'!$B$2:$B$1006&lt;&gt;"")),'Scrum Teams'!$B:$B,'Scrum Teams'!$A:$A,"")),ROW()-1),"")</f>
        <v>Data Intelligence</v>
      </c>
      <c r="N57" s="115" t="str">
        <f>IF(L57="", "", _xlfn.XLOOKUP(L57, 'Component Masterlist v2'!A:A, 'Component Masterlist v2'!P:P, "Not found"))</f>
        <v>DPLT</v>
      </c>
      <c r="O57" s="116">
        <f t="shared" si="0"/>
        <v>52.5</v>
      </c>
      <c r="P57" s="115">
        <f>IF(M57="","",_xlfn.LET(
  _xlpm.pos, MATCH(M57,'Scrum Teams'!$B$2:$B$1006,0),
  _xlpm.val, INDEX('Scrum Teams'!$E$2:$E$1006,_xlpm.pos),
  IF(ISBLANK(INDEX('Scrum Teams'!$E$2:$E$1006,_xlpm.pos)),"",_xlpm.val)
))</f>
        <v>105</v>
      </c>
      <c r="Q57" s="217">
        <f t="shared" si="5"/>
        <v>105</v>
      </c>
      <c r="R57" s="117" t="str">
        <f>IF(M57="","",IF(L57="", "Missing component", _xlfn.XLOOKUP(L57, Lookup!A:A, Lookup!D:D, "NA")))</f>
        <v>Satish Sallakonda</v>
      </c>
    </row>
    <row r="58" spans="7:24">
      <c r="G58"/>
      <c r="H58"/>
      <c r="I58"/>
      <c r="J58"/>
      <c r="K58" s="196" t="str" cm="1">
        <f t="array" ref="K58">IF(G58="","",_xlfn.LET(
  _xlpm.comp, TRIM(CLEAN(G58)),
  _xlpm.expected, J58,
  _xlpm.actual, SUMPRODUCT(--(TRIM(CLEAN($L$2:$L$140))=_xlpm.comp), $Q$2:$Q$140),
  IF(_xlpm.actual=_xlpm.expected, "No", "Mismatch by " &amp; (_xlpm.actual-_xlpm.expected))
))</f>
        <v/>
      </c>
      <c r="L58" s="68" t="str">
        <f>IF(M58="", "", _xlfn.XLOOKUP(M58,'Scrum Teams'!B:B,'Scrum Teams'!A:A,""))</f>
        <v>DataPlatform</v>
      </c>
      <c r="M58" s="74" t="str" cm="1">
        <f t="array" ref="M58">IFERROR(INDEX(_xlfn.SORTBY(_xlfn.UNIQUE(_xlfn._xlws.FILTER('Scrum Teams'!$B$2:$B$1006,'Scrum Teams'!$B$2:$B$1006&lt;&gt;"")),_xlfn.XLOOKUP(_xlfn.UNIQUE(_xlfn._xlws.FILTER('Scrum Teams'!$B$2:$B$1006,'Scrum Teams'!$B$2:$B$1006&lt;&gt;"")),'Scrum Teams'!$B:$B,'Scrum Teams'!$A:$A,"")),ROW()-1),"")</f>
        <v>Data Platform</v>
      </c>
      <c r="N58" s="115" t="str">
        <f>IF(L58="", "", _xlfn.XLOOKUP(L58, 'Component Masterlist v2'!A:A, 'Component Masterlist v2'!P:P, "Not found"))</f>
        <v>DPLT</v>
      </c>
      <c r="O58" s="116">
        <f t="shared" si="0"/>
        <v>75</v>
      </c>
      <c r="P58" s="115">
        <f>IF(M58="","",_xlfn.LET(
  _xlpm.pos, MATCH(M58,'Scrum Teams'!$B$2:$B$1006,0),
  _xlpm.val, INDEX('Scrum Teams'!$E$2:$E$1006,_xlpm.pos),
  IF(ISBLANK(INDEX('Scrum Teams'!$E$2:$E$1006,_xlpm.pos)),"",_xlpm.val)
))</f>
        <v>150</v>
      </c>
      <c r="Q58" s="217">
        <f t="shared" si="5"/>
        <v>150</v>
      </c>
      <c r="R58" s="117" t="str">
        <f>IF(M58="","",IF(L58="", "Missing component", _xlfn.XLOOKUP(L58, Lookup!A:A, Lookup!D:D, "NA")))</f>
        <v>Satish Sallakonda</v>
      </c>
    </row>
    <row r="59" spans="7:24">
      <c r="G59"/>
      <c r="H59"/>
      <c r="I59"/>
      <c r="J59"/>
      <c r="K59" s="196" t="str" cm="1">
        <f t="array" ref="K59">IF(G59="","",_xlfn.LET(
  _xlpm.comp, TRIM(CLEAN(G59)),
  _xlpm.expected, J59,
  _xlpm.actual, SUMPRODUCT(--(TRIM(CLEAN($L$2:$L$140))=_xlpm.comp), $Q$2:$Q$140),
  IF(_xlpm.actual=_xlpm.expected, "No", "Mismatch by " &amp; (_xlpm.actual-_xlpm.expected))
))</f>
        <v/>
      </c>
      <c r="L59" s="68" t="str">
        <f>IF(M59="", "", _xlfn.XLOOKUP(M59,'Scrum Teams'!B:B,'Scrum Teams'!A:A,""))</f>
        <v>DigitalRetailing</v>
      </c>
      <c r="M59" s="74" t="str" cm="1">
        <f t="array" ref="M59">IFERROR(INDEX(_xlfn.SORTBY(_xlfn.UNIQUE(_xlfn._xlws.FILTER('Scrum Teams'!$B$2:$B$1006,'Scrum Teams'!$B$2:$B$1006&lt;&gt;"")),_xlfn.XLOOKUP(_xlfn.UNIQUE(_xlfn._xlws.FILTER('Scrum Teams'!$B$2:$B$1006,'Scrum Teams'!$B$2:$B$1006&lt;&gt;"")),'Scrum Teams'!$B:$B,'Scrum Teams'!$A:$A,"")),ROW()-1),"")</f>
        <v>DR_Checkout</v>
      </c>
      <c r="N59" s="115" t="str">
        <f>IF(L59="", "", _xlfn.XLOOKUP(L59, 'Component Masterlist v2'!A:A, 'Component Masterlist v2'!P:P, "Not found"))</f>
        <v>DGRT</v>
      </c>
      <c r="O59" s="116">
        <f t="shared" si="0"/>
        <v>171</v>
      </c>
      <c r="P59" s="115">
        <f>IF(M59="","",_xlfn.LET(
  _xlpm.pos, MATCH(M59,'Scrum Teams'!$B$2:$B$1006,0),
  _xlpm.val, INDEX('Scrum Teams'!$E$2:$E$1006,_xlpm.pos),
  IF(ISBLANK(INDEX('Scrum Teams'!$E$2:$E$1006,_xlpm.pos)),"",_xlpm.val)
))</f>
        <v>342</v>
      </c>
      <c r="Q59" s="217">
        <f t="shared" si="5"/>
        <v>342</v>
      </c>
      <c r="R59" s="117" t="str">
        <f>IF(M59="","",IF(L59="", "Missing component", _xlfn.XLOOKUP(L59, Lookup!A:A, Lookup!D:D, "NA")))</f>
        <v>Ved Singh</v>
      </c>
      <c r="S59" s="140"/>
      <c r="T59" s="25" t="s">
        <v>49</v>
      </c>
      <c r="U59" s="193">
        <v>287</v>
      </c>
      <c r="V59" s="193">
        <v>297</v>
      </c>
      <c r="W59" s="193">
        <v>424.5</v>
      </c>
      <c r="X59" s="193">
        <v>336.16666666666669</v>
      </c>
    </row>
    <row r="60" spans="7:24">
      <c r="G60"/>
      <c r="H60"/>
      <c r="I60"/>
      <c r="J60"/>
      <c r="K60" s="196" t="str" cm="1">
        <f t="array" ref="K60">IF(G60="","",_xlfn.LET(
  _xlpm.comp, TRIM(CLEAN(G60)),
  _xlpm.expected, J60,
  _xlpm.actual, SUMPRODUCT(--(TRIM(CLEAN($L$2:$L$140))=_xlpm.comp), $Q$2:$Q$140),
  IF(_xlpm.actual=_xlpm.expected, "No", "Mismatch by " &amp; (_xlpm.actual-_xlpm.expected))
))</f>
        <v/>
      </c>
      <c r="L60" s="68" t="str">
        <f>IF(M60="", "", _xlfn.XLOOKUP(M60,'Scrum Teams'!B:B,'Scrum Teams'!A:A,""))</f>
        <v>DigitalRetailing</v>
      </c>
      <c r="M60" s="74" t="str" cm="1">
        <f t="array" ref="M60">IFERROR(INDEX(_xlfn.SORTBY(_xlfn.UNIQUE(_xlfn._xlws.FILTER('Scrum Teams'!$B$2:$B$1006,'Scrum Teams'!$B$2:$B$1006&lt;&gt;"")),_xlfn.XLOOKUP(_xlfn.UNIQUE(_xlfn._xlws.FILTER('Scrum Teams'!$B$2:$B$1006,'Scrum Teams'!$B$2:$B$1006&lt;&gt;"")),'Scrum Teams'!$B:$B,'Scrum Teams'!$A:$A,"")),ROW()-1),"")</f>
        <v>DR_SRCHAT</v>
      </c>
      <c r="N60" s="115" t="str">
        <f>IF(L60="", "", _xlfn.XLOOKUP(L60, 'Component Masterlist v2'!A:A, 'Component Masterlist v2'!P:P, "Not found"))</f>
        <v>DGRT</v>
      </c>
      <c r="O60" s="116">
        <f t="shared" si="0"/>
        <v>67.5</v>
      </c>
      <c r="P60" s="115">
        <f>IF(M60="","",_xlfn.LET(
  _xlpm.pos, MATCH(M60,'Scrum Teams'!$B$2:$B$1006,0),
  _xlpm.val, INDEX('Scrum Teams'!$E$2:$E$1006,_xlpm.pos),
  IF(ISBLANK(INDEX('Scrum Teams'!$E$2:$E$1006,_xlpm.pos)),"",_xlpm.val)
))</f>
        <v>135</v>
      </c>
      <c r="Q60" s="217">
        <f t="shared" si="5"/>
        <v>135</v>
      </c>
      <c r="R60" s="117" t="str">
        <f>IF(M60="","",IF(L60="", "Missing component", _xlfn.XLOOKUP(L60, Lookup!A:A, Lookup!D:D, "NA")))</f>
        <v>Ved Singh</v>
      </c>
      <c r="T60" s="25" t="s">
        <v>932</v>
      </c>
      <c r="U60" s="193">
        <v>381</v>
      </c>
      <c r="V60" s="193">
        <v>322</v>
      </c>
      <c r="W60" s="193">
        <v>311</v>
      </c>
      <c r="X60" s="193">
        <v>338</v>
      </c>
    </row>
    <row r="61" spans="7:24">
      <c r="G61"/>
      <c r="H61"/>
      <c r="I61"/>
      <c r="J61"/>
      <c r="K61" s="196" t="str" cm="1">
        <f t="array" ref="K61">IF(G61="","",_xlfn.LET(
  _xlpm.comp, TRIM(CLEAN(G61)),
  _xlpm.expected, J61,
  _xlpm.actual, SUMPRODUCT(--(TRIM(CLEAN($L$2:$L$140))=_xlpm.comp), $Q$2:$Q$140),
  IF(_xlpm.actual=_xlpm.expected, "No", "Mismatch by " &amp; (_xlpm.actual-_xlpm.expected))
))</f>
        <v/>
      </c>
      <c r="L61" s="68" t="str">
        <f>IF(M61="", "", _xlfn.XLOOKUP(M61,'Scrum Teams'!B:B,'Scrum Teams'!A:A,""))</f>
        <v>DigitalRetailing</v>
      </c>
      <c r="M61" s="74" t="str" cm="1">
        <f t="array" ref="M61">IFERROR(INDEX(_xlfn.SORTBY(_xlfn.UNIQUE(_xlfn._xlws.FILTER('Scrum Teams'!$B$2:$B$1006,'Scrum Teams'!$B$2:$B$1006&lt;&gt;"")),_xlfn.XLOOKUP(_xlfn.UNIQUE(_xlfn._xlws.FILTER('Scrum Teams'!$B$2:$B$1006,'Scrum Teams'!$B$2:$B$1006&lt;&gt;"")),'Scrum Teams'!$B:$B,'Scrum Teams'!$A:$A,"")),ROW()-1),"")</f>
        <v>DR_Studio</v>
      </c>
      <c r="N61" s="115" t="str">
        <f>IF(L61="", "", _xlfn.XLOOKUP(L61, 'Component Masterlist v2'!A:A, 'Component Masterlist v2'!P:P, "Not found"))</f>
        <v>DGRT</v>
      </c>
      <c r="O61" s="116">
        <f t="shared" si="0"/>
        <v>0</v>
      </c>
      <c r="P61" s="115">
        <f>IF(M61="","",_xlfn.LET(
  _xlpm.pos, MATCH(M61,'Scrum Teams'!$B$2:$B$1006,0),
  _xlpm.val, INDEX('Scrum Teams'!$E$2:$E$1006,_xlpm.pos),
  IF(ISBLANK(INDEX('Scrum Teams'!$E$2:$E$1006,_xlpm.pos)),"",_xlpm.val)
))</f>
        <v>0</v>
      </c>
      <c r="Q61" s="217">
        <f t="shared" si="5"/>
        <v>0</v>
      </c>
      <c r="R61" s="117" t="str">
        <f>IF(M61="","",IF(L61="", "Missing component", _xlfn.XLOOKUP(L61, Lookup!A:A, Lookup!D:D, "NA")))</f>
        <v>Ved Singh</v>
      </c>
      <c r="T61" s="25" t="s">
        <v>57</v>
      </c>
      <c r="U61" s="193">
        <v>53</v>
      </c>
      <c r="V61" s="193">
        <v>49.5</v>
      </c>
      <c r="W61" s="193">
        <v>60</v>
      </c>
      <c r="X61" s="193">
        <v>54.166666666666664</v>
      </c>
    </row>
    <row r="62" spans="7:24">
      <c r="G62"/>
      <c r="H62"/>
      <c r="I62"/>
      <c r="J62"/>
      <c r="K62" s="196" t="str" cm="1">
        <f t="array" ref="K62">IF(G62="","",_xlfn.LET(
  _xlpm.comp, TRIM(CLEAN(G62)),
  _xlpm.expected, J62,
  _xlpm.actual, SUMPRODUCT(--(TRIM(CLEAN($L$2:$L$140))=_xlpm.comp), $Q$2:$Q$140),
  IF(_xlpm.actual=_xlpm.expected, "No", "Mismatch by " &amp; (_xlpm.actual-_xlpm.expected))
))</f>
        <v/>
      </c>
      <c r="L62" s="68" t="str">
        <f>IF(M62="", "", _xlfn.XLOOKUP(M62,'Scrum Teams'!B:B,'Scrum Teams'!A:A,""))</f>
        <v>DR_GM</v>
      </c>
      <c r="M62" s="74" t="str" cm="1">
        <f t="array" ref="M62">IFERROR(INDEX(_xlfn.SORTBY(_xlfn.UNIQUE(_xlfn._xlws.FILTER('Scrum Teams'!$B$2:$B$1006,'Scrum Teams'!$B$2:$B$1006&lt;&gt;"")),_xlfn.XLOOKUP(_xlfn.UNIQUE(_xlfn._xlws.FILTER('Scrum Teams'!$B$2:$B$1006,'Scrum Teams'!$B$2:$B$1006&lt;&gt;"")),'Scrum Teams'!$B:$B,'Scrum Teams'!$A:$A,"")),ROW()-1),"")</f>
        <v>3rd Party Chat Integrations</v>
      </c>
      <c r="N62" s="115" t="str">
        <f>IF(L62="", "", _xlfn.XLOOKUP(L62, 'Component Masterlist v2'!A:A, 'Component Masterlist v2'!P:P, "Not found"))</f>
        <v>GM</v>
      </c>
      <c r="O62" s="116">
        <f t="shared" si="0"/>
        <v>52.5</v>
      </c>
      <c r="P62" s="115">
        <f>IF(M62="","",_xlfn.LET(
  _xlpm.pos, MATCH(M62,'Scrum Teams'!$B$2:$B$1006,0),
  _xlpm.val, INDEX('Scrum Teams'!$E$2:$E$1006,_xlpm.pos),
  IF(ISBLANK(INDEX('Scrum Teams'!$E$2:$E$1006,_xlpm.pos)),"",_xlpm.val)
))</f>
        <v>105</v>
      </c>
      <c r="Q62" s="217">
        <f t="shared" si="5"/>
        <v>105</v>
      </c>
      <c r="R62" s="117" t="str">
        <f>IF(M62="","",IF(L62="", "Missing component", _xlfn.XLOOKUP(L62, Lookup!A:A, Lookup!D:D, "NA")))</f>
        <v>Santosh Golecha</v>
      </c>
      <c r="T62" s="25" t="s">
        <v>11</v>
      </c>
      <c r="U62" s="193">
        <v>147.5</v>
      </c>
      <c r="V62" s="193">
        <v>146</v>
      </c>
      <c r="W62" s="193">
        <v>279</v>
      </c>
      <c r="X62" s="193">
        <v>190.83333333333334</v>
      </c>
    </row>
    <row r="63" spans="7:24">
      <c r="G63"/>
      <c r="H63"/>
      <c r="I63"/>
      <c r="J63"/>
      <c r="K63" s="196" t="str" cm="1">
        <f t="array" ref="K63">IF(G63="","",_xlfn.LET(
  _xlpm.comp, TRIM(CLEAN(G63)),
  _xlpm.expected, J63,
  _xlpm.actual, SUMPRODUCT(--(TRIM(CLEAN($L$2:$L$140))=_xlpm.comp), $Q$2:$Q$140),
  IF(_xlpm.actual=_xlpm.expected, "No", "Mismatch by " &amp; (_xlpm.actual-_xlpm.expected))
))</f>
        <v/>
      </c>
      <c r="L63" s="68" t="str">
        <f>IF(M63="", "", _xlfn.XLOOKUP(M63,'Scrum Teams'!B:B,'Scrum Teams'!A:A,""))</f>
        <v>DR_GM</v>
      </c>
      <c r="M63" s="74" t="str" cm="1">
        <f t="array" ref="M63">IFERROR(INDEX(_xlfn.SORTBY(_xlfn.UNIQUE(_xlfn._xlws.FILTER('Scrum Teams'!$B$2:$B$1006,'Scrum Teams'!$B$2:$B$1006&lt;&gt;"")),_xlfn.XLOOKUP(_xlfn.UNIQUE(_xlfn._xlws.FILTER('Scrum Teams'!$B$2:$B$1006,'Scrum Teams'!$B$2:$B$1006&lt;&gt;"")),'Scrum Teams'!$B:$B,'Scrum Teams'!$A:$A,"")),ROW()-1),"")</f>
        <v>AEO-GEO</v>
      </c>
      <c r="N63" s="115" t="str">
        <f>IF(L63="", "", _xlfn.XLOOKUP(L63, 'Component Masterlist v2'!A:A, 'Component Masterlist v2'!P:P, "Not found"))</f>
        <v>GM</v>
      </c>
      <c r="O63" s="116">
        <f t="shared" si="0"/>
        <v>52.5</v>
      </c>
      <c r="P63" s="115">
        <f>IF(M63="","",_xlfn.LET(
  _xlpm.pos, MATCH(M63,'Scrum Teams'!$B$2:$B$1006,0),
  _xlpm.val, INDEX('Scrum Teams'!$E$2:$E$1006,_xlpm.pos),
  IF(ISBLANK(INDEX('Scrum Teams'!$E$2:$E$1006,_xlpm.pos)),"",_xlpm.val)
))</f>
        <v>105</v>
      </c>
      <c r="Q63" s="217">
        <f t="shared" si="5"/>
        <v>105</v>
      </c>
      <c r="R63" s="117" t="str">
        <f>IF(M63="","",IF(L63="", "Missing component", _xlfn.XLOOKUP(L63, Lookup!A:A, Lookup!D:D, "NA")))</f>
        <v>Santosh Golecha</v>
      </c>
      <c r="T63" s="25" t="s">
        <v>61</v>
      </c>
      <c r="U63" s="193">
        <v>142</v>
      </c>
      <c r="V63" s="193">
        <v>133</v>
      </c>
      <c r="W63" s="193">
        <v>276</v>
      </c>
      <c r="X63" s="193">
        <v>183.66666666666666</v>
      </c>
    </row>
    <row r="64" spans="7:24">
      <c r="G64"/>
      <c r="H64"/>
      <c r="I64"/>
      <c r="J64"/>
      <c r="K64" s="196" t="str" cm="1">
        <f t="array" ref="K64">IF(G64="","",_xlfn.LET(
  _xlpm.comp, TRIM(CLEAN(G64)),
  _xlpm.expected, J64,
  _xlpm.actual, SUMPRODUCT(--(TRIM(CLEAN($L$2:$L$140))=_xlpm.comp), $Q$2:$Q$140),
  IF(_xlpm.actual=_xlpm.expected, "No", "Mismatch by " &amp; (_xlpm.actual-_xlpm.expected))
))</f>
        <v/>
      </c>
      <c r="L64" s="68" t="str">
        <f>IF(M64="", "", _xlfn.XLOOKUP(M64,'Scrum Teams'!B:B,'Scrum Teams'!A:A,""))</f>
        <v>DR_GM</v>
      </c>
      <c r="M64" s="74" t="str" cm="1">
        <f t="array" ref="M64">IFERROR(INDEX(_xlfn.SORTBY(_xlfn.UNIQUE(_xlfn._xlws.FILTER('Scrum Teams'!$B$2:$B$1006,'Scrum Teams'!$B$2:$B$1006&lt;&gt;"")),_xlfn.XLOOKUP(_xlfn.UNIQUE(_xlfn._xlws.FILTER('Scrum Teams'!$B$2:$B$1006,'Scrum Teams'!$B$2:$B$1006&lt;&gt;"")),'Scrum Teams'!$B:$B,'Scrum Teams'!$A:$A,"")),ROW()-1),"")</f>
        <v>Configurator</v>
      </c>
      <c r="N64" s="115" t="str">
        <f>IF(L64="", "", _xlfn.XLOOKUP(L64, 'Component Masterlist v2'!A:A, 'Component Masterlist v2'!P:P, "Not found"))</f>
        <v>GM</v>
      </c>
      <c r="O64" s="116">
        <f t="shared" si="0"/>
        <v>60</v>
      </c>
      <c r="P64" s="115">
        <f>IF(M64="","",_xlfn.LET(
  _xlpm.pos, MATCH(M64,'Scrum Teams'!$B$2:$B$1006,0),
  _xlpm.val, INDEX('Scrum Teams'!$E$2:$E$1006,_xlpm.pos),
  IF(ISBLANK(INDEX('Scrum Teams'!$E$2:$E$1006,_xlpm.pos)),"",_xlpm.val)
))</f>
        <v>120</v>
      </c>
      <c r="Q64" s="217">
        <f t="shared" si="5"/>
        <v>120</v>
      </c>
      <c r="R64" s="117" t="str">
        <f>IF(M64="","",IF(L64="", "Missing component", _xlfn.XLOOKUP(L64, Lookup!A:A, Lookup!D:D, "NA")))</f>
        <v>Santosh Golecha</v>
      </c>
    </row>
    <row r="65" spans="7:18">
      <c r="G65"/>
      <c r="H65"/>
      <c r="I65"/>
      <c r="J65"/>
      <c r="K65" s="196" t="str" cm="1">
        <f t="array" ref="K65">IF(G65="","",_xlfn.LET(
  _xlpm.comp, TRIM(CLEAN(G65)),
  _xlpm.expected, J65,
  _xlpm.actual, SUMPRODUCT(--(TRIM(CLEAN($L$2:$L$140))=_xlpm.comp), $Q$2:$Q$140),
  IF(_xlpm.actual=_xlpm.expected, "No", "Mismatch by " &amp; (_xlpm.actual-_xlpm.expected))
))</f>
        <v/>
      </c>
      <c r="L65" s="68" t="str">
        <f>IF(M65="", "", _xlfn.XLOOKUP(M65,'Scrum Teams'!B:B,'Scrum Teams'!A:A,""))</f>
        <v>DR_GM</v>
      </c>
      <c r="M65" s="74" t="str" cm="1">
        <f t="array" ref="M65">IFERROR(INDEX(_xlfn.SORTBY(_xlfn.UNIQUE(_xlfn._xlws.FILTER('Scrum Teams'!$B$2:$B$1006,'Scrum Teams'!$B$2:$B$1006&lt;&gt;"")),_xlfn.XLOOKUP(_xlfn.UNIQUE(_xlfn._xlws.FILTER('Scrum Teams'!$B$2:$B$1006,'Scrum Teams'!$B$2:$B$1006&lt;&gt;"")),'Scrum Teams'!$B:$B,'Scrum Teams'!$A:$A,"")),ROW()-1),"")</f>
        <v>Discovery &amp; Ingestion</v>
      </c>
      <c r="N65" s="115" t="str">
        <f>IF(L65="", "", _xlfn.XLOOKUP(L65, 'Component Masterlist v2'!A:A, 'Component Masterlist v2'!P:P, "Not found"))</f>
        <v>GM</v>
      </c>
      <c r="O65" s="116">
        <f t="shared" si="0"/>
        <v>37.5</v>
      </c>
      <c r="P65" s="115">
        <f>IF(M65="","",_xlfn.LET(
  _xlpm.pos, MATCH(M65,'Scrum Teams'!$B$2:$B$1006,0),
  _xlpm.val, INDEX('Scrum Teams'!$E$2:$E$1006,_xlpm.pos),
  IF(ISBLANK(INDEX('Scrum Teams'!$E$2:$E$1006,_xlpm.pos)),"",_xlpm.val)
))</f>
        <v>75</v>
      </c>
      <c r="Q65" s="217">
        <f t="shared" si="5"/>
        <v>75</v>
      </c>
      <c r="R65" s="117" t="str">
        <f>IF(M65="","",IF(L65="", "Missing component", _xlfn.XLOOKUP(L65, Lookup!A:A, Lookup!D:D, "NA")))</f>
        <v>Santosh Golecha</v>
      </c>
    </row>
    <row r="66" spans="7:18" ht="27.75">
      <c r="G66"/>
      <c r="H66"/>
      <c r="I66"/>
      <c r="J66"/>
      <c r="K66" s="196" t="str" cm="1">
        <f t="array" ref="K66">IF(G66="","",_xlfn.LET(
  _xlpm.comp, TRIM(CLEAN(G66)),
  _xlpm.expected, J66,
  _xlpm.actual, SUMPRODUCT(--(TRIM(CLEAN($L$2:$L$140))=_xlpm.comp), $Q$2:$Q$140),
  IF(_xlpm.actual=_xlpm.expected, "No", "Mismatch by " &amp; (_xlpm.actual-_xlpm.expected))
))</f>
        <v/>
      </c>
      <c r="L66" s="68" t="str">
        <f>IF(M66="", "", _xlfn.XLOOKUP(M66,'Scrum Teams'!B:B,'Scrum Teams'!A:A,""))</f>
        <v>DR_GM</v>
      </c>
      <c r="M66" s="74" t="str" cm="1">
        <f t="array" ref="M66">IFERROR(INDEX(_xlfn.SORTBY(_xlfn.UNIQUE(_xlfn._xlws.FILTER('Scrum Teams'!$B$2:$B$1006,'Scrum Teams'!$B$2:$B$1006&lt;&gt;"")),_xlfn.XLOOKUP(_xlfn.UNIQUE(_xlfn._xlws.FILTER('Scrum Teams'!$B$2:$B$1006,'Scrum Teams'!$B$2:$B$1006&lt;&gt;"")),'Scrum Teams'!$B:$B,'Scrum Teams'!$A:$A,"")),ROW()-1),"")</f>
        <v>DX (1.0 Salescloud and 2.0 Custom Apps)</v>
      </c>
      <c r="N66" s="115" t="str">
        <f>IF(L66="", "", _xlfn.XLOOKUP(L66, 'Component Masterlist v2'!A:A, 'Component Masterlist v2'!P:P, "Not found"))</f>
        <v>GM</v>
      </c>
      <c r="O66" s="116">
        <f t="shared" ref="O66:O129" si="14">IF(P66="", "", P66/2)</f>
        <v>52.5</v>
      </c>
      <c r="P66" s="115">
        <f>IF(M66="","",_xlfn.LET(
  _xlpm.pos, MATCH(M66,'Scrum Teams'!$B$2:$B$1006,0),
  _xlpm.val, INDEX('Scrum Teams'!$E$2:$E$1006,_xlpm.pos),
  IF(ISBLANK(INDEX('Scrum Teams'!$E$2:$E$1006,_xlpm.pos)),"",_xlpm.val)
))</f>
        <v>105</v>
      </c>
      <c r="Q66" s="217">
        <f t="shared" si="5"/>
        <v>105</v>
      </c>
      <c r="R66" s="117" t="str">
        <f>IF(M66="","",IF(L66="", "Missing component", _xlfn.XLOOKUP(L66, Lookup!A:A, Lookup!D:D, "NA")))</f>
        <v>Santosh Golecha</v>
      </c>
    </row>
    <row r="67" spans="7:18">
      <c r="G67"/>
      <c r="H67"/>
      <c r="I67"/>
      <c r="J67"/>
      <c r="K67" s="196" t="str" cm="1">
        <f t="array" ref="K67">IF(G67="","",_xlfn.LET(
  _xlpm.comp, TRIM(CLEAN(G67)),
  _xlpm.expected, J67,
  _xlpm.actual, SUMPRODUCT(--(TRIM(CLEAN($L$2:$L$140))=_xlpm.comp), $Q$2:$Q$140),
  IF(_xlpm.actual=_xlpm.expected, "No", "Mismatch by " &amp; (_xlpm.actual-_xlpm.expected))
))</f>
        <v/>
      </c>
      <c r="L67" s="68" t="str">
        <f>IF(M67="", "", _xlfn.XLOOKUP(M67,'Scrum Teams'!B:B,'Scrum Teams'!A:A,""))</f>
        <v>DR_GM</v>
      </c>
      <c r="M67" s="74" t="str" cm="1">
        <f t="array" ref="M67">IFERROR(INDEX(_xlfn.SORTBY(_xlfn.UNIQUE(_xlfn._xlws.FILTER('Scrum Teams'!$B$2:$B$1006,'Scrum Teams'!$B$2:$B$1006&lt;&gt;"")),_xlfn.XLOOKUP(_xlfn.UNIQUE(_xlfn._xlws.FILTER('Scrum Teams'!$B$2:$B$1006,'Scrum Teams'!$B$2:$B$1006&lt;&gt;"")),'Scrum Teams'!$B:$B,'Scrum Teams'!$A:$A,"")),ROW()-1),"")</f>
        <v>GM Integrations (1.0 and 2.0)</v>
      </c>
      <c r="N67" s="115" t="str">
        <f>IF(L67="", "", _xlfn.XLOOKUP(L67, 'Component Masterlist v2'!A:A, 'Component Masterlist v2'!P:P, "Not found"))</f>
        <v>GM</v>
      </c>
      <c r="O67" s="116">
        <f t="shared" si="14"/>
        <v>75</v>
      </c>
      <c r="P67" s="115">
        <f>IF(M67="","",_xlfn.LET(
  _xlpm.pos, MATCH(M67,'Scrum Teams'!$B$2:$B$1006,0),
  _xlpm.val, INDEX('Scrum Teams'!$E$2:$E$1006,_xlpm.pos),
  IF(ISBLANK(INDEX('Scrum Teams'!$E$2:$E$1006,_xlpm.pos)),"",_xlpm.val)
))</f>
        <v>150</v>
      </c>
      <c r="Q67" s="217">
        <f t="shared" ref="Q67:Q130" si="15">IF(L67="","",IF(P67&lt;&gt;"", P67, 90))</f>
        <v>150</v>
      </c>
      <c r="R67" s="117" t="str">
        <f>IF(M67="","",IF(L67="", "Missing component", _xlfn.XLOOKUP(L67, Lookup!A:A, Lookup!D:D, "NA")))</f>
        <v>Santosh Golecha</v>
      </c>
    </row>
    <row r="68" spans="7:18">
      <c r="G68"/>
      <c r="H68"/>
      <c r="I68"/>
      <c r="J68"/>
      <c r="K68" s="196" t="str" cm="1">
        <f t="array" ref="K68">IF(G68="","",_xlfn.LET(
  _xlpm.comp, TRIM(CLEAN(G68)),
  _xlpm.expected, J68,
  _xlpm.actual, SUMPRODUCT(--(TRIM(CLEAN($L$2:$L$140))=_xlpm.comp), $Q$2:$Q$140),
  IF(_xlpm.actual=_xlpm.expected, "No", "Mismatch by " &amp; (_xlpm.actual-_xlpm.expected))
))</f>
        <v/>
      </c>
      <c r="L68" s="68" t="str">
        <f>IF(M68="", "", _xlfn.XLOOKUP(M68,'Scrum Teams'!B:B,'Scrum Teams'!A:A,""))</f>
        <v>DR_GM</v>
      </c>
      <c r="M68" s="74" t="str" cm="1">
        <f t="array" ref="M68">IFERROR(INDEX(_xlfn.SORTBY(_xlfn.UNIQUE(_xlfn._xlws.FILTER('Scrum Teams'!$B$2:$B$1006,'Scrum Teams'!$B$2:$B$1006&lt;&gt;"")),_xlfn.XLOOKUP(_xlfn.UNIQUE(_xlfn._xlws.FILTER('Scrum Teams'!$B$2:$B$1006,'Scrum Teams'!$B$2:$B$1006&lt;&gt;"")),'Scrum Teams'!$B:$B,'Scrum Teams'!$A:$A,"")),ROW()-1),"")</f>
        <v>My Accounts</v>
      </c>
      <c r="N68" s="115" t="str">
        <f>IF(L68="", "", _xlfn.XLOOKUP(L68, 'Component Masterlist v2'!A:A, 'Component Masterlist v2'!P:P, "Not found"))</f>
        <v>GM</v>
      </c>
      <c r="O68" s="116">
        <f t="shared" si="14"/>
        <v>52.5</v>
      </c>
      <c r="P68" s="115">
        <f>IF(M68="","",_xlfn.LET(
  _xlpm.pos, MATCH(M68,'Scrum Teams'!$B$2:$B$1006,0),
  _xlpm.val, INDEX('Scrum Teams'!$E$2:$E$1006,_xlpm.pos),
  IF(ISBLANK(INDEX('Scrum Teams'!$E$2:$E$1006,_xlpm.pos)),"",_xlpm.val)
))</f>
        <v>105</v>
      </c>
      <c r="Q68" s="217">
        <f t="shared" si="15"/>
        <v>105</v>
      </c>
      <c r="R68" s="117" t="str">
        <f>IF(M68="","",IF(L68="", "Missing component", _xlfn.XLOOKUP(L68, Lookup!A:A, Lookup!D:D, "NA")))</f>
        <v>Santosh Golecha</v>
      </c>
    </row>
    <row r="69" spans="7:18">
      <c r="G69"/>
      <c r="H69"/>
      <c r="I69"/>
      <c r="J69"/>
      <c r="K69" s="196" t="str" cm="1">
        <f t="array" ref="K69">IF(G69="","",_xlfn.LET(
  _xlpm.comp, TRIM(CLEAN(G69)),
  _xlpm.expected, J69,
  _xlpm.actual, SUMPRODUCT(--(TRIM(CLEAN($L$2:$L$140))=_xlpm.comp), $Q$2:$Q$140),
  IF(_xlpm.actual=_xlpm.expected, "No", "Mismatch by " &amp; (_xlpm.actual-_xlpm.expected))
))</f>
        <v/>
      </c>
      <c r="L69" s="68" t="str">
        <f>IF(M69="", "", _xlfn.XLOOKUP(M69,'Scrum Teams'!B:B,'Scrum Teams'!A:A,""))</f>
        <v>DR_GM</v>
      </c>
      <c r="M69" s="74" t="str" cm="1">
        <f t="array" ref="M69">IFERROR(INDEX(_xlfn.SORTBY(_xlfn.UNIQUE(_xlfn._xlws.FILTER('Scrum Teams'!$B$2:$B$1006,'Scrum Teams'!$B$2:$B$1006&lt;&gt;"")),_xlfn.XLOOKUP(_xlfn.UNIQUE(_xlfn._xlws.FILTER('Scrum Teams'!$B$2:$B$1006,'Scrum Teams'!$B$2:$B$1006&lt;&gt;"")),'Scrum Teams'!$B:$B,'Scrum Teams'!$A:$A,"")),ROW()-1),"")</f>
        <v>OEM - D360 + Analytics</v>
      </c>
      <c r="N69" s="115" t="str">
        <f>IF(L69="", "", _xlfn.XLOOKUP(L69, 'Component Masterlist v2'!A:A, 'Component Masterlist v2'!P:P, "Not found"))</f>
        <v>GM</v>
      </c>
      <c r="O69" s="116">
        <f t="shared" si="14"/>
        <v>75</v>
      </c>
      <c r="P69" s="115">
        <f>IF(M69="","",_xlfn.LET(
  _xlpm.pos, MATCH(M69,'Scrum Teams'!$B$2:$B$1006,0),
  _xlpm.val, INDEX('Scrum Teams'!$E$2:$E$1006,_xlpm.pos),
  IF(ISBLANK(INDEX('Scrum Teams'!$E$2:$E$1006,_xlpm.pos)),"",_xlpm.val)
))</f>
        <v>150</v>
      </c>
      <c r="Q69" s="217">
        <f t="shared" si="15"/>
        <v>150</v>
      </c>
      <c r="R69" s="117" t="str">
        <f>IF(M69="","",IF(L69="", "Missing component", _xlfn.XLOOKUP(L69, Lookup!A:A, Lookup!D:D, "NA")))</f>
        <v>Santosh Golecha</v>
      </c>
    </row>
    <row r="70" spans="7:18">
      <c r="G70"/>
      <c r="H70"/>
      <c r="I70"/>
      <c r="J70"/>
      <c r="K70" s="196" t="str" cm="1">
        <f t="array" ref="K70">IF(G70="","",_xlfn.LET(
  _xlpm.comp, TRIM(CLEAN(G70)),
  _xlpm.expected, J70,
  _xlpm.actual, SUMPRODUCT(--(TRIM(CLEAN($L$2:$L$140))=_xlpm.comp), $Q$2:$Q$140),
  IF(_xlpm.actual=_xlpm.expected, "No", "Mismatch by " &amp; (_xlpm.actual-_xlpm.expected))
))</f>
        <v/>
      </c>
      <c r="L70" s="68" t="str">
        <f>IF(M70="", "", _xlfn.XLOOKUP(M70,'Scrum Teams'!B:B,'Scrum Teams'!A:A,""))</f>
        <v>DR_GM</v>
      </c>
      <c r="M70" s="74" t="str" cm="1">
        <f t="array" ref="M70">IFERROR(INDEX(_xlfn.SORTBY(_xlfn.UNIQUE(_xlfn._xlws.FILTER('Scrum Teams'!$B$2:$B$1006,'Scrum Teams'!$B$2:$B$1006&lt;&gt;"")),_xlfn.XLOOKUP(_xlfn.UNIQUE(_xlfn._xlws.FILTER('Scrum Teams'!$B$2:$B$1006,'Scrum Teams'!$B$2:$B$1006&lt;&gt;"")),'Scrum Teams'!$B:$B,'Scrum Teams'!$A:$A,"")),ROW()-1),"")</f>
        <v>OEM Agentic AI</v>
      </c>
      <c r="N70" s="115" t="str">
        <f>IF(L70="", "", _xlfn.XLOOKUP(L70, 'Component Masterlist v2'!A:A, 'Component Masterlist v2'!P:P, "Not found"))</f>
        <v>GM</v>
      </c>
      <c r="O70" s="116">
        <f t="shared" si="14"/>
        <v>75</v>
      </c>
      <c r="P70" s="115">
        <f>IF(M70="","",_xlfn.LET(
  _xlpm.pos, MATCH(M70,'Scrum Teams'!$B$2:$B$1006,0),
  _xlpm.val, INDEX('Scrum Teams'!$E$2:$E$1006,_xlpm.pos),
  IF(ISBLANK(INDEX('Scrum Teams'!$E$2:$E$1006,_xlpm.pos)),"",_xlpm.val)
))</f>
        <v>150</v>
      </c>
      <c r="Q70" s="217">
        <f t="shared" si="15"/>
        <v>150</v>
      </c>
      <c r="R70" s="117" t="str">
        <f>IF(M70="","",IF(L70="", "Missing component", _xlfn.XLOOKUP(L70, Lookup!A:A, Lookup!D:D, "NA")))</f>
        <v>Santosh Golecha</v>
      </c>
    </row>
    <row r="71" spans="7:18">
      <c r="G71"/>
      <c r="H71"/>
      <c r="I71"/>
      <c r="J71"/>
      <c r="K71" s="196" t="str" cm="1">
        <f t="array" ref="K71">IF(G71="","",_xlfn.LET(
  _xlpm.comp, TRIM(CLEAN(G71)),
  _xlpm.expected, J71,
  _xlpm.actual, SUMPRODUCT(--(TRIM(CLEAN($L$2:$L$140))=_xlpm.comp), $Q$2:$Q$140),
  IF(_xlpm.actual=_xlpm.expected, "No", "Mismatch by " &amp; (_xlpm.actual-_xlpm.expected))
))</f>
        <v/>
      </c>
      <c r="L71" s="68" t="str">
        <f>IF(M71="", "", _xlfn.XLOOKUP(M71,'Scrum Teams'!B:B,'Scrum Teams'!A:A,""))</f>
        <v>DR_GM</v>
      </c>
      <c r="M71" s="74" t="str" cm="1">
        <f t="array" ref="M71">IFERROR(INDEX(_xlfn.SORTBY(_xlfn.UNIQUE(_xlfn._xlws.FILTER('Scrum Teams'!$B$2:$B$1006,'Scrum Teams'!$B$2:$B$1006&lt;&gt;"")),_xlfn.XLOOKUP(_xlfn.UNIQUE(_xlfn._xlws.FILTER('Scrum Teams'!$B$2:$B$1006,'Scrum Teams'!$B$2:$B$1006&lt;&gt;"")),'Scrum Teams'!$B:$B,'Scrum Teams'!$A:$A,"")),ROW()-1),"")</f>
        <v>OMS &amp; Pricing</v>
      </c>
      <c r="N71" s="115" t="str">
        <f>IF(L71="", "", _xlfn.XLOOKUP(L71, 'Component Masterlist v2'!A:A, 'Component Masterlist v2'!P:P, "Not found"))</f>
        <v>GM</v>
      </c>
      <c r="O71" s="116">
        <f t="shared" si="14"/>
        <v>15</v>
      </c>
      <c r="P71" s="115">
        <f>IF(M71="","",_xlfn.LET(
  _xlpm.pos, MATCH(M71,'Scrum Teams'!$B$2:$B$1006,0),
  _xlpm.val, INDEX('Scrum Teams'!$E$2:$E$1006,_xlpm.pos),
  IF(ISBLANK(INDEX('Scrum Teams'!$E$2:$E$1006,_xlpm.pos)),"",_xlpm.val)
))</f>
        <v>30</v>
      </c>
      <c r="Q71" s="217">
        <f t="shared" si="15"/>
        <v>30</v>
      </c>
      <c r="R71" s="117" t="str">
        <f>IF(M71="","",IF(L71="", "Missing component", _xlfn.XLOOKUP(L71, Lookup!A:A, Lookup!D:D, "NA")))</f>
        <v>Santosh Golecha</v>
      </c>
    </row>
    <row r="72" spans="7:18">
      <c r="G72"/>
      <c r="H72"/>
      <c r="I72"/>
      <c r="J72"/>
      <c r="K72" s="196" t="str" cm="1">
        <f t="array" ref="K72">IF(G72="","",_xlfn.LET(
  _xlpm.comp, TRIM(CLEAN(G72)),
  _xlpm.expected, J72,
  _xlpm.actual, SUMPRODUCT(--(TRIM(CLEAN($L$2:$L$140))=_xlpm.comp), $Q$2:$Q$140),
  IF(_xlpm.actual=_xlpm.expected, "No", "Mismatch by " &amp; (_xlpm.actual-_xlpm.expected))
))</f>
        <v/>
      </c>
      <c r="L72" s="68" t="str">
        <f>IF(M72="", "", _xlfn.XLOOKUP(M72,'Scrum Teams'!B:B,'Scrum Teams'!A:A,""))</f>
        <v>DR_GM</v>
      </c>
      <c r="M72" s="74" t="str" cm="1">
        <f t="array" ref="M72">IFERROR(INDEX(_xlfn.SORTBY(_xlfn.UNIQUE(_xlfn._xlws.FILTER('Scrum Teams'!$B$2:$B$1006,'Scrum Teams'!$B$2:$B$1006&lt;&gt;"")),_xlfn.XLOOKUP(_xlfn.UNIQUE(_xlfn._xlws.FILTER('Scrum Teams'!$B$2:$B$1006,'Scrum Teams'!$B$2:$B$1006&lt;&gt;"")),'Scrum Teams'!$B:$B,'Scrum Teams'!$A:$A,"")),ROW()-1),"")</f>
        <v>SCX (1.0 and 2.0)</v>
      </c>
      <c r="N72" s="115" t="str">
        <f>IF(L72="", "", _xlfn.XLOOKUP(L72, 'Component Masterlist v2'!A:A, 'Component Masterlist v2'!P:P, "Not found"))</f>
        <v>GM</v>
      </c>
      <c r="O72" s="116">
        <f t="shared" si="14"/>
        <v>60</v>
      </c>
      <c r="P72" s="115">
        <f>IF(M72="","",_xlfn.LET(
  _xlpm.pos, MATCH(M72,'Scrum Teams'!$B$2:$B$1006,0),
  _xlpm.val, INDEX('Scrum Teams'!$E$2:$E$1006,_xlpm.pos),
  IF(ISBLANK(INDEX('Scrum Teams'!$E$2:$E$1006,_xlpm.pos)),"",_xlpm.val)
))</f>
        <v>120</v>
      </c>
      <c r="Q72" s="217">
        <f t="shared" si="15"/>
        <v>120</v>
      </c>
      <c r="R72" s="117" t="str">
        <f>IF(M72="","",IF(L72="", "Missing component", _xlfn.XLOOKUP(L72, Lookup!A:A, Lookup!D:D, "NA")))</f>
        <v>Santosh Golecha</v>
      </c>
    </row>
    <row r="73" spans="7:18">
      <c r="G73"/>
      <c r="H73"/>
      <c r="I73"/>
      <c r="J73"/>
      <c r="K73" s="196" t="str" cm="1">
        <f t="array" ref="K73">IF(G73="","",_xlfn.LET(
  _xlpm.comp, TRIM(CLEAN(G73)),
  _xlpm.expected, J73,
  _xlpm.actual, SUMPRODUCT(--(TRIM(CLEAN($L$2:$L$140))=_xlpm.comp), $Q$2:$Q$140),
  IF(_xlpm.actual=_xlpm.expected, "No", "Mismatch by " &amp; (_xlpm.actual-_xlpm.expected))
))</f>
        <v/>
      </c>
      <c r="L73" s="68" t="str">
        <f>IF(M73="", "", _xlfn.XLOOKUP(M73,'Scrum Teams'!B:B,'Scrum Teams'!A:A,""))</f>
        <v>DR_GM</v>
      </c>
      <c r="M73" s="74" t="str" cm="1">
        <f t="array" ref="M73">IFERROR(INDEX(_xlfn.SORTBY(_xlfn.UNIQUE(_xlfn._xlws.FILTER('Scrum Teams'!$B$2:$B$1006,'Scrum Teams'!$B$2:$B$1006&lt;&gt;"")),_xlfn.XLOOKUP(_xlfn.UNIQUE(_xlfn._xlws.FILTER('Scrum Teams'!$B$2:$B$1006,'Scrum Teams'!$B$2:$B$1006&lt;&gt;"")),'Scrum Teams'!$B:$B,'Scrum Teams'!$A:$A,"")),ROW()-1),"")</f>
        <v>VDP</v>
      </c>
      <c r="N73" s="115" t="str">
        <f>IF(L73="", "", _xlfn.XLOOKUP(L73, 'Component Masterlist v2'!A:A, 'Component Masterlist v2'!P:P, "Not found"))</f>
        <v>GM</v>
      </c>
      <c r="O73" s="116">
        <f t="shared" si="14"/>
        <v>30</v>
      </c>
      <c r="P73" s="115">
        <f>IF(M73="","",_xlfn.LET(
  _xlpm.pos, MATCH(M73,'Scrum Teams'!$B$2:$B$1006,0),
  _xlpm.val, INDEX('Scrum Teams'!$E$2:$E$1006,_xlpm.pos),
  IF(ISBLANK(INDEX('Scrum Teams'!$E$2:$E$1006,_xlpm.pos)),"",_xlpm.val)
))</f>
        <v>60</v>
      </c>
      <c r="Q73" s="217">
        <f t="shared" si="15"/>
        <v>60</v>
      </c>
      <c r="R73" s="117" t="str">
        <f>IF(M73="","",IF(L73="", "Missing component", _xlfn.XLOOKUP(L73, Lookup!A:A, Lookup!D:D, "NA")))</f>
        <v>Santosh Golecha</v>
      </c>
    </row>
    <row r="74" spans="7:18">
      <c r="G74"/>
      <c r="H74"/>
      <c r="I74"/>
      <c r="J74"/>
      <c r="K74" s="196" t="str" cm="1">
        <f t="array" ref="K74">IF(G74="","",_xlfn.LET(
  _xlpm.comp, TRIM(CLEAN(G74)),
  _xlpm.expected, J74,
  _xlpm.actual, SUMPRODUCT(--(TRIM(CLEAN($L$2:$L$140))=_xlpm.comp), $Q$2:$Q$140),
  IF(_xlpm.actual=_xlpm.expected, "No", "Mismatch by " &amp; (_xlpm.actual-_xlpm.expected))
))</f>
        <v/>
      </c>
      <c r="L74" s="68" t="str">
        <f>IF(M74="", "", _xlfn.XLOOKUP(M74,'Scrum Teams'!B:B,'Scrum Teams'!A:A,""))</f>
        <v>DR_GM</v>
      </c>
      <c r="M74" s="74" t="str" cm="1">
        <f t="array" ref="M74">IFERROR(INDEX(_xlfn.SORTBY(_xlfn.UNIQUE(_xlfn._xlws.FILTER('Scrum Teams'!$B$2:$B$1006,'Scrum Teams'!$B$2:$B$1006&lt;&gt;"")),_xlfn.XLOOKUP(_xlfn.UNIQUE(_xlfn._xlws.FILTER('Scrum Teams'!$B$2:$B$1006,'Scrum Teams'!$B$2:$B$1006&lt;&gt;"")),'Scrum Teams'!$B:$B,'Scrum Teams'!$A:$A,"")),ROW()-1),"")</f>
        <v>VSR, FE Platform</v>
      </c>
      <c r="N74" s="115" t="str">
        <f>IF(L74="", "", _xlfn.XLOOKUP(L74, 'Component Masterlist v2'!A:A, 'Component Masterlist v2'!P:P, "Not found"))</f>
        <v>GM</v>
      </c>
      <c r="O74" s="116">
        <f t="shared" si="14"/>
        <v>45</v>
      </c>
      <c r="P74" s="115">
        <f>IF(M74="","",_xlfn.LET(
  _xlpm.pos, MATCH(M74,'Scrum Teams'!$B$2:$B$1006,0),
  _xlpm.val, INDEX('Scrum Teams'!$E$2:$E$1006,_xlpm.pos),
  IF(ISBLANK(INDEX('Scrum Teams'!$E$2:$E$1006,_xlpm.pos)),"",_xlpm.val)
))</f>
        <v>90</v>
      </c>
      <c r="Q74" s="217">
        <f t="shared" si="15"/>
        <v>90</v>
      </c>
      <c r="R74" s="117" t="str">
        <f>IF(M74="","",IF(L74="", "Missing component", _xlfn.XLOOKUP(L74, Lookup!A:A, Lookup!D:D, "NA")))</f>
        <v>Santosh Golecha</v>
      </c>
    </row>
    <row r="75" spans="7:18">
      <c r="G75"/>
      <c r="H75"/>
      <c r="I75"/>
      <c r="J75"/>
      <c r="K75" s="196" t="str" cm="1">
        <f t="array" ref="K75">IF(G75="","",_xlfn.LET(
  _xlpm.comp, TRIM(CLEAN(G75)),
  _xlpm.expected, J75,
  _xlpm.actual, SUMPRODUCT(--(TRIM(CLEAN($L$2:$L$140))=_xlpm.comp), $Q$2:$Q$140),
  IF(_xlpm.actual=_xlpm.expected, "No", "Mismatch by " &amp; (_xlpm.actual-_xlpm.expected))
))</f>
        <v/>
      </c>
      <c r="L75" s="68" t="str">
        <f>IF(M75="", "", _xlfn.XLOOKUP(M75,'Scrum Teams'!B:B,'Scrum Teams'!A:A,""))</f>
        <v>DR_Honda</v>
      </c>
      <c r="M75" s="74" t="str" cm="1">
        <f t="array" ref="M75">IFERROR(INDEX(_xlfn.SORTBY(_xlfn.UNIQUE(_xlfn._xlws.FILTER('Scrum Teams'!$B$2:$B$1006,'Scrum Teams'!$B$2:$B$1006&lt;&gt;"")),_xlfn.XLOOKUP(_xlfn.UNIQUE(_xlfn._xlws.FILTER('Scrum Teams'!$B$2:$B$1006,'Scrum Teams'!$B$2:$B$1006&lt;&gt;"")),'Scrum Teams'!$B:$B,'Scrum Teams'!$A:$A,"")),ROW()-1),"")</f>
        <v>Honda DX</v>
      </c>
      <c r="N75" s="115" t="str">
        <f>IF(L75="", "", _xlfn.XLOOKUP(L75, 'Component Masterlist v2'!A:A, 'Component Masterlist v2'!P:P, "Not found"))</f>
        <v>AHM</v>
      </c>
      <c r="O75" s="116">
        <f t="shared" si="14"/>
        <v>34</v>
      </c>
      <c r="P75" s="115">
        <f>IF(M75="","",_xlfn.LET(
  _xlpm.pos, MATCH(M75,'Scrum Teams'!$B$2:$B$1006,0),
  _xlpm.val, INDEX('Scrum Teams'!$E$2:$E$1006,_xlpm.pos),
  IF(ISBLANK(INDEX('Scrum Teams'!$E$2:$E$1006,_xlpm.pos)),"",_xlpm.val)
))</f>
        <v>68</v>
      </c>
      <c r="Q75" s="217">
        <f t="shared" si="15"/>
        <v>68</v>
      </c>
      <c r="R75" s="117" t="str">
        <f>IF(M75="","",IF(L75="", "Missing component", _xlfn.XLOOKUP(L75, Lookup!A:A, Lookup!D:D, "NA")))</f>
        <v>Santosh Golecha</v>
      </c>
    </row>
    <row r="76" spans="7:18">
      <c r="G76"/>
      <c r="H76"/>
      <c r="I76"/>
      <c r="J76"/>
      <c r="K76" s="196" t="str" cm="1">
        <f t="array" ref="K76">IF(G76="","",_xlfn.LET(
  _xlpm.comp, TRIM(CLEAN(G76)),
  _xlpm.expected, J76,
  _xlpm.actual, SUMPRODUCT(--(TRIM(CLEAN($L$2:$L$140))=_xlpm.comp), $Q$2:$Q$140),
  IF(_xlpm.actual=_xlpm.expected, "No", "Mismatch by " &amp; (_xlpm.actual-_xlpm.expected))
))</f>
        <v/>
      </c>
      <c r="L76" s="68" t="str">
        <f>IF(M76="", "", _xlfn.XLOOKUP(M76,'Scrum Teams'!B:B,'Scrum Teams'!A:A,""))</f>
        <v>DR_Honda</v>
      </c>
      <c r="M76" s="74" t="str" cm="1">
        <f t="array" ref="M76">IFERROR(INDEX(_xlfn.SORTBY(_xlfn.UNIQUE(_xlfn._xlws.FILTER('Scrum Teams'!$B$2:$B$1006,'Scrum Teams'!$B$2:$B$1006&lt;&gt;"")),_xlfn.XLOOKUP(_xlfn.UNIQUE(_xlfn._xlws.FILTER('Scrum Teams'!$B$2:$B$1006,'Scrum Teams'!$B$2:$B$1006&lt;&gt;"")),'Scrum Teams'!$B:$B,'Scrum Teams'!$A:$A,"")),ROW()-1),"")</f>
        <v>Honda Integration</v>
      </c>
      <c r="N76" s="115" t="str">
        <f>IF(L76="", "", _xlfn.XLOOKUP(L76, 'Component Masterlist v2'!A:A, 'Component Masterlist v2'!P:P, "Not found"))</f>
        <v>AHM</v>
      </c>
      <c r="O76" s="116">
        <f t="shared" si="14"/>
        <v>8.5</v>
      </c>
      <c r="P76" s="115">
        <f>IF(M76="","",_xlfn.LET(
  _xlpm.pos, MATCH(M76,'Scrum Teams'!$B$2:$B$1006,0),
  _xlpm.val, INDEX('Scrum Teams'!$E$2:$E$1006,_xlpm.pos),
  IF(ISBLANK(INDEX('Scrum Teams'!$E$2:$E$1006,_xlpm.pos)),"",_xlpm.val)
))</f>
        <v>17</v>
      </c>
      <c r="Q76" s="217">
        <f t="shared" si="15"/>
        <v>17</v>
      </c>
      <c r="R76" s="117" t="str">
        <f>IF(M76="","",IF(L76="", "Missing component", _xlfn.XLOOKUP(L76, Lookup!A:A, Lookup!D:D, "NA")))</f>
        <v>Santosh Golecha</v>
      </c>
    </row>
    <row r="77" spans="7:18">
      <c r="G77"/>
      <c r="H77"/>
      <c r="I77"/>
      <c r="J77"/>
      <c r="K77" s="196" t="str" cm="1">
        <f t="array" ref="K77">IF(G77="","",_xlfn.LET(
  _xlpm.comp, TRIM(CLEAN(G77)),
  _xlpm.expected, J77,
  _xlpm.actual, SUMPRODUCT(--(TRIM(CLEAN($L$2:$L$140))=_xlpm.comp), $Q$2:$Q$140),
  IF(_xlpm.actual=_xlpm.expected, "No", "Mismatch by " &amp; (_xlpm.actual-_xlpm.expected))
))</f>
        <v/>
      </c>
      <c r="L77" s="68" t="str">
        <f>IF(M77="", "", _xlfn.XLOOKUP(M77,'Scrum Teams'!B:B,'Scrum Teams'!A:A,""))</f>
        <v>DR_Honda</v>
      </c>
      <c r="M77" s="74" t="str" cm="1">
        <f t="array" ref="M77">IFERROR(INDEX(_xlfn.SORTBY(_xlfn.UNIQUE(_xlfn._xlws.FILTER('Scrum Teams'!$B$2:$B$1006,'Scrum Teams'!$B$2:$B$1006&lt;&gt;"")),_xlfn.XLOOKUP(_xlfn.UNIQUE(_xlfn._xlws.FILTER('Scrum Teams'!$B$2:$B$1006,'Scrum Teams'!$B$2:$B$1006&lt;&gt;"")),'Scrum Teams'!$B:$B,'Scrum Teams'!$A:$A,"")),ROW()-1),"")</f>
        <v>Honda PCX</v>
      </c>
      <c r="N77" s="115" t="str">
        <f>IF(L77="", "", _xlfn.XLOOKUP(L77, 'Component Masterlist v2'!A:A, 'Component Masterlist v2'!P:P, "Not found"))</f>
        <v>AHM</v>
      </c>
      <c r="O77" s="116">
        <f t="shared" si="14"/>
        <v>93.5</v>
      </c>
      <c r="P77" s="115">
        <f>IF(M77="","",_xlfn.LET(
  _xlpm.pos, MATCH(M77,'Scrum Teams'!$B$2:$B$1006,0),
  _xlpm.val, INDEX('Scrum Teams'!$E$2:$E$1006,_xlpm.pos),
  IF(ISBLANK(INDEX('Scrum Teams'!$E$2:$E$1006,_xlpm.pos)),"",_xlpm.val)
))</f>
        <v>187</v>
      </c>
      <c r="Q77" s="217">
        <f t="shared" si="15"/>
        <v>187</v>
      </c>
      <c r="R77" s="117" t="str">
        <f>IF(M77="","",IF(L77="", "Missing component", _xlfn.XLOOKUP(L77, Lookup!A:A, Lookup!D:D, "NA")))</f>
        <v>Santosh Golecha</v>
      </c>
    </row>
    <row r="78" spans="7:18">
      <c r="G78"/>
      <c r="H78"/>
      <c r="I78"/>
      <c r="J78"/>
      <c r="K78" s="196" t="str" cm="1">
        <f t="array" ref="K78">IF(G78="","",_xlfn.LET(
  _xlpm.comp, TRIM(CLEAN(G78)),
  _xlpm.expected, J78,
  _xlpm.actual, SUMPRODUCT(--(TRIM(CLEAN($L$2:$L$140))=_xlpm.comp), $Q$2:$Q$140),
  IF(_xlpm.actual=_xlpm.expected, "No", "Mismatch by " &amp; (_xlpm.actual-_xlpm.expected))
))</f>
        <v/>
      </c>
      <c r="L78" s="68" t="str">
        <f>IF(M78="", "", _xlfn.XLOOKUP(M78,'Scrum Teams'!B:B,'Scrum Teams'!A:A,""))</f>
        <v>DR_Honda</v>
      </c>
      <c r="M78" s="74" t="str" cm="1">
        <f t="array" ref="M78">IFERROR(INDEX(_xlfn.SORTBY(_xlfn.UNIQUE(_xlfn._xlws.FILTER('Scrum Teams'!$B$2:$B$1006,'Scrum Teams'!$B$2:$B$1006&lt;&gt;"")),_xlfn.XLOOKUP(_xlfn.UNIQUE(_xlfn._xlws.FILTER('Scrum Teams'!$B$2:$B$1006,'Scrum Teams'!$B$2:$B$1006&lt;&gt;"")),'Scrum Teams'!$B:$B,'Scrum Teams'!$A:$A,"")),ROW()-1),"")</f>
        <v>Honda SCX</v>
      </c>
      <c r="N78" s="115" t="str">
        <f>IF(L78="", "", _xlfn.XLOOKUP(L78, 'Component Masterlist v2'!A:A, 'Component Masterlist v2'!P:P, "Not found"))</f>
        <v>AHM</v>
      </c>
      <c r="O78" s="116">
        <f t="shared" si="14"/>
        <v>25.5</v>
      </c>
      <c r="P78" s="115">
        <f>IF(M78="","",_xlfn.LET(
  _xlpm.pos, MATCH(M78,'Scrum Teams'!$B$2:$B$1006,0),
  _xlpm.val, INDEX('Scrum Teams'!$E$2:$E$1006,_xlpm.pos),
  IF(ISBLANK(INDEX('Scrum Teams'!$E$2:$E$1006,_xlpm.pos)),"",_xlpm.val)
))</f>
        <v>51</v>
      </c>
      <c r="Q78" s="217">
        <f t="shared" si="15"/>
        <v>51</v>
      </c>
      <c r="R78" s="117" t="str">
        <f>IF(M78="","",IF(L78="", "Missing component", _xlfn.XLOOKUP(L78, Lookup!A:A, Lookup!D:D, "NA")))</f>
        <v>Santosh Golecha</v>
      </c>
    </row>
    <row r="79" spans="7:18">
      <c r="G79"/>
      <c r="H79"/>
      <c r="I79"/>
      <c r="J79"/>
      <c r="K79" s="196" t="str" cm="1">
        <f t="array" ref="K79">IF(G79="","",_xlfn.LET(
  _xlpm.comp, TRIM(CLEAN(G79)),
  _xlpm.expected, J79,
  _xlpm.actual, SUMPRODUCT(--(TRIM(CLEAN($L$2:$L$140))=_xlpm.comp), $Q$2:$Q$140),
  IF(_xlpm.actual=_xlpm.expected, "No", "Mismatch by " &amp; (_xlpm.actual-_xlpm.expected))
))</f>
        <v/>
      </c>
      <c r="L79" s="68" t="str">
        <f>IF(M79="", "", _xlfn.XLOOKUP(M79,'Scrum Teams'!B:B,'Scrum Teams'!A:A,""))</f>
        <v>DR_Hyundai</v>
      </c>
      <c r="M79" s="74" t="str" cm="1">
        <f t="array" ref="M79">IFERROR(INDEX(_xlfn.SORTBY(_xlfn.UNIQUE(_xlfn._xlws.FILTER('Scrum Teams'!$B$2:$B$1006,'Scrum Teams'!$B$2:$B$1006&lt;&gt;"")),_xlfn.XLOOKUP(_xlfn.UNIQUE(_xlfn._xlws.FILTER('Scrum Teams'!$B$2:$B$1006,'Scrum Teams'!$B$2:$B$1006&lt;&gt;"")),'Scrum Teams'!$B:$B,'Scrum Teams'!$A:$A,"")),ROW()-1),"")</f>
        <v>Genesis</v>
      </c>
      <c r="N79" s="115" t="str">
        <f>IF(L79="", "", _xlfn.XLOOKUP(L79, 'Component Masterlist v2'!A:A, 'Component Masterlist v2'!P:P, "Not found"))</f>
        <v>HYUN</v>
      </c>
      <c r="O79" s="116">
        <f t="shared" si="14"/>
        <v>45</v>
      </c>
      <c r="P79" s="115">
        <f>IF(M79="","",_xlfn.LET(
  _xlpm.pos, MATCH(M79,'Scrum Teams'!$B$2:$B$1006,0),
  _xlpm.val, INDEX('Scrum Teams'!$E$2:$E$1006,_xlpm.pos),
  IF(ISBLANK(INDEX('Scrum Teams'!$E$2:$E$1006,_xlpm.pos)),"",_xlpm.val)
))</f>
        <v>90</v>
      </c>
      <c r="Q79" s="217">
        <f t="shared" si="15"/>
        <v>90</v>
      </c>
      <c r="R79" s="117" t="str">
        <f>IF(M79="","",IF(L79="", "Missing component", _xlfn.XLOOKUP(L79, Lookup!A:A, Lookup!D:D, "NA")))</f>
        <v>Santosh Golecha</v>
      </c>
    </row>
    <row r="80" spans="7:18">
      <c r="G80"/>
      <c r="H80"/>
      <c r="I80"/>
      <c r="J80"/>
      <c r="K80" s="196" t="str" cm="1">
        <f t="array" ref="K80">IF(G80="","",_xlfn.LET(
  _xlpm.comp, TRIM(CLEAN(G80)),
  _xlpm.expected, J80,
  _xlpm.actual, SUMPRODUCT(--(TRIM(CLEAN($L$2:$L$140))=_xlpm.comp), $Q$2:$Q$140),
  IF(_xlpm.actual=_xlpm.expected, "No", "Mismatch by " &amp; (_xlpm.actual-_xlpm.expected))
))</f>
        <v/>
      </c>
      <c r="L80" s="68" t="str">
        <f>IF(M80="", "", _xlfn.XLOOKUP(M80,'Scrum Teams'!B:B,'Scrum Teams'!A:A,""))</f>
        <v>eSign_Platform</v>
      </c>
      <c r="M80" s="74" t="str" cm="1">
        <f t="array" ref="M80">IFERROR(INDEX(_xlfn.SORTBY(_xlfn.UNIQUE(_xlfn._xlws.FILTER('Scrum Teams'!$B$2:$B$1006,'Scrum Teams'!$B$2:$B$1006&lt;&gt;"")),_xlfn.XLOOKUP(_xlfn.UNIQUE(_xlfn._xlws.FILTER('Scrum Teams'!$B$2:$B$1006,'Scrum Teams'!$B$2:$B$1006&lt;&gt;"")),'Scrum Teams'!$B:$B,'Scrum Teams'!$A:$A,"")),ROW()-1),"")</f>
        <v>eSign_Platform</v>
      </c>
      <c r="N80" s="115" t="str">
        <f>IF(L80="", "", _xlfn.XLOOKUP(L80, 'Component Masterlist v2'!A:A, 'Component Masterlist v2'!P:P, "Not found"))</f>
        <v>ESGN</v>
      </c>
      <c r="O80" s="116">
        <f t="shared" si="14"/>
        <v>44</v>
      </c>
      <c r="P80" s="115">
        <f>IF(M80="","",_xlfn.LET(
  _xlpm.pos, MATCH(M80,'Scrum Teams'!$B$2:$B$1006,0),
  _xlpm.val, INDEX('Scrum Teams'!$E$2:$E$1006,_xlpm.pos),
  IF(ISBLANK(INDEX('Scrum Teams'!$E$2:$E$1006,_xlpm.pos)),"",_xlpm.val)
))</f>
        <v>88</v>
      </c>
      <c r="Q80" s="217">
        <f t="shared" si="15"/>
        <v>88</v>
      </c>
      <c r="R80" s="117" t="str">
        <f>IF(M80="","",IF(L80="", "Missing component", _xlfn.XLOOKUP(L80, Lookup!A:A, Lookup!D:D, "NA")))</f>
        <v>Sanyam Agrawal</v>
      </c>
    </row>
    <row r="81" spans="7:24">
      <c r="G81"/>
      <c r="H81"/>
      <c r="I81"/>
      <c r="J81"/>
      <c r="K81" s="196" t="str" cm="1">
        <f t="array" ref="K81">IF(G81="","",_xlfn.LET(
  _xlpm.comp, TRIM(CLEAN(G81)),
  _xlpm.expected, J81,
  _xlpm.actual, SUMPRODUCT(--(TRIM(CLEAN($L$2:$L$140))=_xlpm.comp), $Q$2:$Q$140),
  IF(_xlpm.actual=_xlpm.expected, "No", "Mismatch by " &amp; (_xlpm.actual-_xlpm.expected))
))</f>
        <v/>
      </c>
      <c r="L81" s="68" t="str">
        <f>IF(M81="", "", _xlfn.XLOOKUP(M81,'Scrum Teams'!B:B,'Scrum Teams'!A:A,""))</f>
        <v>Fleet_Honda</v>
      </c>
      <c r="M81" s="74" t="str" cm="1">
        <f t="array" ref="M81">IFERROR(INDEX(_xlfn.SORTBY(_xlfn.UNIQUE(_xlfn._xlws.FILTER('Scrum Teams'!$B$2:$B$1006,'Scrum Teams'!$B$2:$B$1006&lt;&gt;"")),_xlfn.XLOOKUP(_xlfn.UNIQUE(_xlfn._xlws.FILTER('Scrum Teams'!$B$2:$B$1006,'Scrum Teams'!$B$2:$B$1006&lt;&gt;"")),'Scrum Teams'!$B:$B,'Scrum Teams'!$A:$A,"")),ROW()-1),"")</f>
        <v>Honda Fleet</v>
      </c>
      <c r="N81" s="115" t="str">
        <f>IF(L81="", "", _xlfn.XLOOKUP(L81, 'Component Masterlist v2'!A:A, 'Component Masterlist v2'!P:P, "Not found"))</f>
        <v>AHM</v>
      </c>
      <c r="O81" s="116">
        <f t="shared" si="14"/>
        <v>121</v>
      </c>
      <c r="P81" s="115">
        <f>IF(M81="","",_xlfn.LET(
  _xlpm.pos, MATCH(M81,'Scrum Teams'!$B$2:$B$1006,0),
  _xlpm.val, INDEX('Scrum Teams'!$E$2:$E$1006,_xlpm.pos),
  IF(ISBLANK(INDEX('Scrum Teams'!$E$2:$E$1006,_xlpm.pos)),"",_xlpm.val)
))</f>
        <v>242</v>
      </c>
      <c r="Q81" s="217">
        <f t="shared" si="15"/>
        <v>242</v>
      </c>
      <c r="R81" s="117" t="str">
        <f>IF(M81="","",IF(L81="", "Missing component", _xlfn.XLOOKUP(L81, Lookup!A:A, Lookup!D:D, "NA")))</f>
        <v>Santosh Golecha</v>
      </c>
    </row>
    <row r="82" spans="7:24">
      <c r="G82"/>
      <c r="H82"/>
      <c r="I82"/>
      <c r="J82"/>
      <c r="K82" s="196" t="str" cm="1">
        <f t="array" ref="K82">IF(G82="","",_xlfn.LET(
  _xlpm.comp, TRIM(CLEAN(G82)),
  _xlpm.expected, J82,
  _xlpm.actual, SUMPRODUCT(--(TRIM(CLEAN($L$2:$L$140))=_xlpm.comp), $Q$2:$Q$140),
  IF(_xlpm.actual=_xlpm.expected, "No", "Mismatch by " &amp; (_xlpm.actual-_xlpm.expected))
))</f>
        <v/>
      </c>
      <c r="L82" s="68" t="str">
        <f>IF(M82="", "", _xlfn.XLOOKUP(M82,'Scrum Teams'!B:B,'Scrum Teams'!A:A,""))</f>
        <v>FnI</v>
      </c>
      <c r="M82" s="74" t="str" cm="1">
        <f t="array" ref="M82">IFERROR(INDEX(_xlfn.SORTBY(_xlfn.UNIQUE(_xlfn._xlws.FILTER('Scrum Teams'!$B$2:$B$1006,'Scrum Teams'!$B$2:$B$1006&lt;&gt;"")),_xlfn.XLOOKUP(_xlfn.UNIQUE(_xlfn._xlws.FILTER('Scrum Teams'!$B$2:$B$1006,'Scrum Teams'!$B$2:$B$1006&lt;&gt;"")),'Scrum Teams'!$B:$B,'Scrum Teams'!$A:$A,"")),ROW()-1),"")</f>
        <v>Ganga</v>
      </c>
      <c r="N82" s="115" t="str">
        <f>IF(L82="", "", _xlfn.XLOOKUP(L82, 'Component Masterlist v2'!A:A, 'Component Masterlist v2'!P:P, "Not found"))</f>
        <v>FNI</v>
      </c>
      <c r="O82" s="116">
        <f t="shared" si="14"/>
        <v>81</v>
      </c>
      <c r="P82" s="115">
        <f>IF(M82="","",_xlfn.LET(
  _xlpm.pos, MATCH(M82,'Scrum Teams'!$B$2:$B$1006,0),
  _xlpm.val, INDEX('Scrum Teams'!$E$2:$E$1006,_xlpm.pos),
  IF(ISBLANK(INDEX('Scrum Teams'!$E$2:$E$1006,_xlpm.pos)),"",_xlpm.val)
))</f>
        <v>162</v>
      </c>
      <c r="Q82" s="217">
        <f t="shared" si="15"/>
        <v>162</v>
      </c>
      <c r="R82" s="117" t="str">
        <f>IF(M82="","",IF(L82="", "Missing component", _xlfn.XLOOKUP(L82, Lookup!A:A, Lookup!D:D, "NA")))</f>
        <v>Ved Singh</v>
      </c>
    </row>
    <row r="83" spans="7:24">
      <c r="G83"/>
      <c r="H83"/>
      <c r="I83"/>
      <c r="J83"/>
      <c r="K83" s="196" t="str" cm="1">
        <f t="array" ref="K83">IF(G83="","",_xlfn.LET(
  _xlpm.comp, TRIM(CLEAN(G83)),
  _xlpm.expected, J83,
  _xlpm.actual, SUMPRODUCT(--(TRIM(CLEAN($L$2:$L$140))=_xlpm.comp), $Q$2:$Q$140),
  IF(_xlpm.actual=_xlpm.expected, "No", "Mismatch by " &amp; (_xlpm.actual-_xlpm.expected))
))</f>
        <v/>
      </c>
      <c r="L83" s="68" t="str">
        <f>IF(M83="", "", _xlfn.XLOOKUP(M83,'Scrum Teams'!B:B,'Scrum Teams'!A:A,""))</f>
        <v>FnI</v>
      </c>
      <c r="M83" s="74" t="str" cm="1">
        <f t="array" ref="M83">IFERROR(INDEX(_xlfn.SORTBY(_xlfn.UNIQUE(_xlfn._xlws.FILTER('Scrum Teams'!$B$2:$B$1006,'Scrum Teams'!$B$2:$B$1006&lt;&gt;"")),_xlfn.XLOOKUP(_xlfn.UNIQUE(_xlfn._xlws.FILTER('Scrum Teams'!$B$2:$B$1006,'Scrum Teams'!$B$2:$B$1006&lt;&gt;"")),'Scrum Teams'!$B:$B,'Scrum Teams'!$A:$A,"")),ROW()-1),"")</f>
        <v>Godavari</v>
      </c>
      <c r="N83" s="115" t="str">
        <f>IF(L83="", "", _xlfn.XLOOKUP(L83, 'Component Masterlist v2'!A:A, 'Component Masterlist v2'!P:P, "Not found"))</f>
        <v>FNI</v>
      </c>
      <c r="O83" s="116">
        <f t="shared" si="14"/>
        <v>61</v>
      </c>
      <c r="P83" s="115">
        <f>IF(M83="","",_xlfn.LET(
  _xlpm.pos, MATCH(M83,'Scrum Teams'!$B$2:$B$1006,0),
  _xlpm.val, INDEX('Scrum Teams'!$E$2:$E$1006,_xlpm.pos),
  IF(ISBLANK(INDEX('Scrum Teams'!$E$2:$E$1006,_xlpm.pos)),"",_xlpm.val)
))</f>
        <v>122</v>
      </c>
      <c r="Q83" s="217">
        <f t="shared" si="15"/>
        <v>122</v>
      </c>
      <c r="R83" s="117" t="str">
        <f>IF(M83="","",IF(L83="", "Missing component", _xlfn.XLOOKUP(L83, Lookup!A:A, Lookup!D:D, "NA")))</f>
        <v>Ved Singh</v>
      </c>
      <c r="T83" s="25" t="s">
        <v>103</v>
      </c>
      <c r="U83" s="193">
        <v>402.5</v>
      </c>
      <c r="V83" s="193">
        <v>358</v>
      </c>
      <c r="W83" s="193">
        <v>656.5</v>
      </c>
      <c r="X83" s="193">
        <v>472.33333333333331</v>
      </c>
    </row>
    <row r="84" spans="7:24">
      <c r="G84"/>
      <c r="H84"/>
      <c r="I84"/>
      <c r="J84"/>
      <c r="K84" s="196" t="str" cm="1">
        <f t="array" ref="K84">IF(G84="","",_xlfn.LET(
  _xlpm.comp, TRIM(CLEAN(G84)),
  _xlpm.expected, J84,
  _xlpm.actual, SUMPRODUCT(--(TRIM(CLEAN($L$2:$L$140))=_xlpm.comp), $Q$2:$Q$140),
  IF(_xlpm.actual=_xlpm.expected, "No", "Mismatch by " &amp; (_xlpm.actual-_xlpm.expected))
))</f>
        <v/>
      </c>
      <c r="L84" s="68" t="str">
        <f>IF(M84="", "", _xlfn.XLOOKUP(M84,'Scrum Teams'!B:B,'Scrum Teams'!A:A,""))</f>
        <v>FnI</v>
      </c>
      <c r="M84" s="74" t="str" cm="1">
        <f t="array" ref="M84">IFERROR(INDEX(_xlfn.SORTBY(_xlfn.UNIQUE(_xlfn._xlws.FILTER('Scrum Teams'!$B$2:$B$1006,'Scrum Teams'!$B$2:$B$1006&lt;&gt;"")),_xlfn.XLOOKUP(_xlfn.UNIQUE(_xlfn._xlws.FILTER('Scrum Teams'!$B$2:$B$1006,'Scrum Teams'!$B$2:$B$1006&lt;&gt;"")),'Scrum Teams'!$B:$B,'Scrum Teams'!$A:$A,"")),ROW()-1),"")</f>
        <v>Krishna</v>
      </c>
      <c r="N84" s="115" t="str">
        <f>IF(L84="", "", _xlfn.XLOOKUP(L84, 'Component Masterlist v2'!A:A, 'Component Masterlist v2'!P:P, "Not found"))</f>
        <v>FNI</v>
      </c>
      <c r="O84" s="116">
        <f t="shared" si="14"/>
        <v>70</v>
      </c>
      <c r="P84" s="115">
        <f>IF(M84="","",_xlfn.LET(
  _xlpm.pos, MATCH(M84,'Scrum Teams'!$B$2:$B$1006,0),
  _xlpm.val, INDEX('Scrum Teams'!$E$2:$E$1006,_xlpm.pos),
  IF(ISBLANK(INDEX('Scrum Teams'!$E$2:$E$1006,_xlpm.pos)),"",_xlpm.val)
))</f>
        <v>140</v>
      </c>
      <c r="Q84" s="217">
        <f t="shared" si="15"/>
        <v>140</v>
      </c>
      <c r="R84" s="117" t="str">
        <f>IF(M84="","",IF(L84="", "Missing component", _xlfn.XLOOKUP(L84, Lookup!A:A, Lookup!D:D, "NA")))</f>
        <v>Ved Singh</v>
      </c>
      <c r="T84" s="25" t="s">
        <v>65</v>
      </c>
      <c r="U84" s="193">
        <v>16</v>
      </c>
      <c r="V84" s="193">
        <v>62</v>
      </c>
      <c r="W84" s="193">
        <v>22</v>
      </c>
      <c r="X84" s="193">
        <v>33.333333333333336</v>
      </c>
    </row>
    <row r="85" spans="7:24">
      <c r="G85"/>
      <c r="H85"/>
      <c r="I85"/>
      <c r="J85"/>
      <c r="K85" s="196" t="str" cm="1">
        <f t="array" ref="K85">IF(G85="","",_xlfn.LET(
  _xlpm.comp, TRIM(CLEAN(G85)),
  _xlpm.expected, J85,
  _xlpm.actual, SUMPRODUCT(--(TRIM(CLEAN($L$2:$L$140))=_xlpm.comp), $Q$2:$Q$140),
  IF(_xlpm.actual=_xlpm.expected, "No", "Mismatch by " &amp; (_xlpm.actual-_xlpm.expected))
))</f>
        <v/>
      </c>
      <c r="L85" s="68" t="str">
        <f>IF(M85="", "", _xlfn.XLOOKUP(M85,'Scrum Teams'!B:B,'Scrum Teams'!A:A,""))</f>
        <v>FnI</v>
      </c>
      <c r="M85" s="74" t="str" cm="1">
        <f t="array" ref="M85">IFERROR(INDEX(_xlfn.SORTBY(_xlfn.UNIQUE(_xlfn._xlws.FILTER('Scrum Teams'!$B$2:$B$1006,'Scrum Teams'!$B$2:$B$1006&lt;&gt;"")),_xlfn.XLOOKUP(_xlfn.UNIQUE(_xlfn._xlws.FILTER('Scrum Teams'!$B$2:$B$1006,'Scrum Teams'!$B$2:$B$1006&lt;&gt;"")),'Scrum Teams'!$B:$B,'Scrum Teams'!$A:$A,"")),ROW()-1),"")</f>
        <v>Saryu</v>
      </c>
      <c r="N85" s="115" t="str">
        <f>IF(L85="", "", _xlfn.XLOOKUP(L85, 'Component Masterlist v2'!A:A, 'Component Masterlist v2'!P:P, "Not found"))</f>
        <v>FNI</v>
      </c>
      <c r="O85" s="116">
        <f t="shared" si="14"/>
        <v>80</v>
      </c>
      <c r="P85" s="115">
        <f>IF(M85="","",_xlfn.LET(
  _xlpm.pos, MATCH(M85,'Scrum Teams'!$B$2:$B$1006,0),
  _xlpm.val, INDEX('Scrum Teams'!$E$2:$E$1006,_xlpm.pos),
  IF(ISBLANK(INDEX('Scrum Teams'!$E$2:$E$1006,_xlpm.pos)),"",_xlpm.val)
))</f>
        <v>160</v>
      </c>
      <c r="Q85" s="217">
        <f t="shared" si="15"/>
        <v>160</v>
      </c>
      <c r="R85" s="117" t="str">
        <f>IF(M85="","",IF(L85="", "Missing component", _xlfn.XLOOKUP(L85, Lookup!A:A, Lookup!D:D, "NA")))</f>
        <v>Ved Singh</v>
      </c>
      <c r="T85" s="25" t="s">
        <v>933</v>
      </c>
      <c r="U85" s="193">
        <v>0</v>
      </c>
      <c r="V85" s="193">
        <v>101</v>
      </c>
      <c r="W85" s="193">
        <v>25</v>
      </c>
      <c r="X85" s="193">
        <v>42</v>
      </c>
    </row>
    <row r="86" spans="7:24">
      <c r="G86"/>
      <c r="H86"/>
      <c r="I86"/>
      <c r="J86"/>
      <c r="K86" s="196" t="str" cm="1">
        <f t="array" ref="K86">IF(G86="","",_xlfn.LET(
  _xlpm.comp, TRIM(CLEAN(G86)),
  _xlpm.expected, J86,
  _xlpm.actual, SUMPRODUCT(--(TRIM(CLEAN($L$2:$L$140))=_xlpm.comp), $Q$2:$Q$140),
  IF(_xlpm.actual=_xlpm.expected, "No", "Mismatch by " &amp; (_xlpm.actual-_xlpm.expected))
))</f>
        <v/>
      </c>
      <c r="L86" s="68" t="str">
        <f>IF(M86="", "", _xlfn.XLOOKUP(M86,'Scrum Teams'!B:B,'Scrum Teams'!A:A,""))</f>
        <v>FnI</v>
      </c>
      <c r="M86" s="74" t="str" cm="1">
        <f t="array" ref="M86">IFERROR(INDEX(_xlfn.SORTBY(_xlfn.UNIQUE(_xlfn._xlws.FILTER('Scrum Teams'!$B$2:$B$1006,'Scrum Teams'!$B$2:$B$1006&lt;&gt;"")),_xlfn.XLOOKUP(_xlfn.UNIQUE(_xlfn._xlws.FILTER('Scrum Teams'!$B$2:$B$1006,'Scrum Teams'!$B$2:$B$1006&lt;&gt;"")),'Scrum Teams'!$B:$B,'Scrum Teams'!$A:$A,"")),ROW()-1),"")</f>
        <v>Yamuna</v>
      </c>
      <c r="N86" s="115" t="str">
        <f>IF(L86="", "", _xlfn.XLOOKUP(L86, 'Component Masterlist v2'!A:A, 'Component Masterlist v2'!P:P, "Not found"))</f>
        <v>FNI</v>
      </c>
      <c r="O86" s="116">
        <f t="shared" si="14"/>
        <v>76</v>
      </c>
      <c r="P86" s="115">
        <f>IF(M86="","",_xlfn.LET(
  _xlpm.pos, MATCH(M86,'Scrum Teams'!$B$2:$B$1006,0),
  _xlpm.val, INDEX('Scrum Teams'!$E$2:$E$1006,_xlpm.pos),
  IF(ISBLANK(INDEX('Scrum Teams'!$E$2:$E$1006,_xlpm.pos)),"",_xlpm.val)
))</f>
        <v>152</v>
      </c>
      <c r="Q86" s="217">
        <f t="shared" si="15"/>
        <v>152</v>
      </c>
      <c r="R86" s="117" t="str">
        <f>IF(M86="","",IF(L86="", "Missing component", _xlfn.XLOOKUP(L86, Lookup!A:A, Lookup!D:D, "NA")))</f>
        <v>Ved Singh</v>
      </c>
      <c r="T86" s="25" t="s">
        <v>84</v>
      </c>
      <c r="U86" s="193">
        <v>0</v>
      </c>
      <c r="V86" s="193">
        <v>0</v>
      </c>
      <c r="W86" s="193">
        <v>70</v>
      </c>
      <c r="X86" s="193">
        <v>23.333333333333332</v>
      </c>
    </row>
    <row r="87" spans="7:24">
      <c r="G87"/>
      <c r="H87"/>
      <c r="I87"/>
      <c r="J87"/>
      <c r="K87" s="196" t="str" cm="1">
        <f t="array" ref="K87">IF(G87="","",_xlfn.LET(
  _xlpm.comp, TRIM(CLEAN(G87)),
  _xlpm.expected, J87,
  _xlpm.actual, SUMPRODUCT(--(TRIM(CLEAN($L$2:$L$140))=_xlpm.comp), $Q$2:$Q$140),
  IF(_xlpm.actual=_xlpm.expected, "No", "Mismatch by " &amp; (_xlpm.actual-_xlpm.expected))
))</f>
        <v/>
      </c>
      <c r="L87" s="68" t="str">
        <f>IF(M87="", "", _xlfn.XLOOKUP(M87,'Scrum Teams'!B:B,'Scrum Teams'!A:A,""))</f>
        <v>Galaxy</v>
      </c>
      <c r="M87" s="74" t="str" cm="1">
        <f t="array" ref="M87">IFERROR(INDEX(_xlfn.SORTBY(_xlfn.UNIQUE(_xlfn._xlws.FILTER('Scrum Teams'!$B$2:$B$1006,'Scrum Teams'!$B$2:$B$1006&lt;&gt;"")),_xlfn.XLOOKUP(_xlfn.UNIQUE(_xlfn._xlws.FILTER('Scrum Teams'!$B$2:$B$1006,'Scrum Teams'!$B$2:$B$1006&lt;&gt;"")),'Scrum Teams'!$B:$B,'Scrum Teams'!$A:$A,"")),ROW()-1),"")</f>
        <v>Kaveri</v>
      </c>
      <c r="N87" s="115" t="str">
        <f>IF(L87="", "", _xlfn.XLOOKUP(L87, 'Component Masterlist v2'!A:A, 'Component Masterlist v2'!P:P, "Not found"))</f>
        <v>GAL</v>
      </c>
      <c r="O87" s="116">
        <f t="shared" si="14"/>
        <v>90</v>
      </c>
      <c r="P87" s="115">
        <f>IF(M87="","",_xlfn.LET(
  _xlpm.pos, MATCH(M87,'Scrum Teams'!$B$2:$B$1006,0),
  _xlpm.val, INDEX('Scrum Teams'!$E$2:$E$1006,_xlpm.pos),
  IF(ISBLANK(INDEX('Scrum Teams'!$E$2:$E$1006,_xlpm.pos)),"",_xlpm.val)
))</f>
        <v>180</v>
      </c>
      <c r="Q87" s="217">
        <f t="shared" si="15"/>
        <v>180</v>
      </c>
      <c r="R87" s="117" t="str">
        <f>IF(M87="","",IF(L87="", "Missing component", _xlfn.XLOOKUP(L87, Lookup!A:A, Lookup!D:D, "NA")))</f>
        <v>Ved Singh</v>
      </c>
      <c r="T87" s="25" t="s">
        <v>85</v>
      </c>
      <c r="U87" s="193">
        <v>135.5</v>
      </c>
      <c r="V87" s="193">
        <v>74</v>
      </c>
      <c r="W87" s="193">
        <v>101</v>
      </c>
      <c r="X87" s="193">
        <v>103.5</v>
      </c>
    </row>
    <row r="88" spans="7:24">
      <c r="G88"/>
      <c r="H88"/>
      <c r="I88"/>
      <c r="J88"/>
      <c r="K88" s="196" t="str" cm="1">
        <f t="array" ref="K88">IF(G88="","",_xlfn.LET(
  _xlpm.comp, TRIM(CLEAN(G88)),
  _xlpm.expected, J88,
  _xlpm.actual, SUMPRODUCT(--(TRIM(CLEAN($L$2:$L$140))=_xlpm.comp), $Q$2:$Q$140),
  IF(_xlpm.actual=_xlpm.expected, "No", "Mismatch by " &amp; (_xlpm.actual-_xlpm.expected))
))</f>
        <v/>
      </c>
      <c r="L88" s="68" t="str">
        <f>IF(M88="", "", _xlfn.XLOOKUP(M88,'Scrum Teams'!B:B,'Scrum Teams'!A:A,""))</f>
        <v>HorizontalPlatforms</v>
      </c>
      <c r="M88" s="74" t="str" cm="1">
        <f t="array" ref="M88">IFERROR(INDEX(_xlfn.SORTBY(_xlfn.UNIQUE(_xlfn._xlws.FILTER('Scrum Teams'!$B$2:$B$1006,'Scrum Teams'!$B$2:$B$1006&lt;&gt;"")),_xlfn.XLOOKUP(_xlfn.UNIQUE(_xlfn._xlws.FILTER('Scrum Teams'!$B$2:$B$1006,'Scrum Teams'!$B$2:$B$1006&lt;&gt;"")),'Scrum Teams'!$B:$B,'Scrum Teams'!$A:$A,"")),ROW()-1),"")</f>
        <v>HP-AI_Native</v>
      </c>
      <c r="N88" s="115" t="str">
        <f>IF(L88="", "", _xlfn.XLOOKUP(L88, 'Component Masterlist v2'!A:A, 'Component Masterlist v2'!P:P, "Not found"))</f>
        <v>HPLT</v>
      </c>
      <c r="O88" s="116">
        <f t="shared" si="14"/>
        <v>15</v>
      </c>
      <c r="P88" s="115">
        <f>IF(M88="","",_xlfn.LET(
  _xlpm.pos, MATCH(M88,'Scrum Teams'!$B$2:$B$1006,0),
  _xlpm.val, INDEX('Scrum Teams'!$E$2:$E$1006,_xlpm.pos),
  IF(ISBLANK(INDEX('Scrum Teams'!$E$2:$E$1006,_xlpm.pos)),"",_xlpm.val)
))</f>
        <v>30</v>
      </c>
      <c r="Q88" s="217">
        <f t="shared" si="15"/>
        <v>30</v>
      </c>
      <c r="R88" s="117" t="str">
        <f>IF(M88="","",IF(L88="", "Missing component", _xlfn.XLOOKUP(L88, Lookup!A:A, Lookup!D:D, "NA")))</f>
        <v>Raghu Edalur</v>
      </c>
      <c r="T88" s="25" t="s">
        <v>111</v>
      </c>
      <c r="U88" s="193">
        <v>0</v>
      </c>
      <c r="V88" s="193">
        <v>0</v>
      </c>
      <c r="W88" s="193">
        <v>27</v>
      </c>
      <c r="X88" s="193">
        <v>9</v>
      </c>
    </row>
    <row r="89" spans="7:24">
      <c r="G89"/>
      <c r="H89"/>
      <c r="I89"/>
      <c r="J89"/>
      <c r="K89" s="196" t="str" cm="1">
        <f t="array" ref="K89">IF(G89="","",_xlfn.LET(
  _xlpm.comp, TRIM(CLEAN(G89)),
  _xlpm.expected, J89,
  _xlpm.actual, SUMPRODUCT(--(TRIM(CLEAN($L$2:$L$140))=_xlpm.comp), $Q$2:$Q$140),
  IF(_xlpm.actual=_xlpm.expected, "No", "Mismatch by " &amp; (_xlpm.actual-_xlpm.expected))
))</f>
        <v/>
      </c>
      <c r="L89" s="68" t="str">
        <f>IF(M89="", "", _xlfn.XLOOKUP(M89,'Scrum Teams'!B:B,'Scrum Teams'!A:A,""))</f>
        <v>HorizontalPlatforms</v>
      </c>
      <c r="M89" s="74" t="str" cm="1">
        <f t="array" ref="M89">IFERROR(INDEX(_xlfn.SORTBY(_xlfn.UNIQUE(_xlfn._xlws.FILTER('Scrum Teams'!$B$2:$B$1006,'Scrum Teams'!$B$2:$B$1006&lt;&gt;"")),_xlfn.XLOOKUP(_xlfn.UNIQUE(_xlfn._xlws.FILTER('Scrum Teams'!$B$2:$B$1006,'Scrum Teams'!$B$2:$B$1006&lt;&gt;"")),'Scrum Teams'!$B:$B,'Scrum Teams'!$A:$A,"")),ROW()-1),"")</f>
        <v>HP-Caching_and_Messaging</v>
      </c>
      <c r="N89" s="115" t="str">
        <f>IF(L89="", "", _xlfn.XLOOKUP(L89, 'Component Masterlist v2'!A:A, 'Component Masterlist v2'!P:P, "Not found"))</f>
        <v>HPLT</v>
      </c>
      <c r="O89" s="116">
        <f t="shared" si="14"/>
        <v>15</v>
      </c>
      <c r="P89" s="115">
        <f>IF(M89="","",_xlfn.LET(
  _xlpm.pos, MATCH(M89,'Scrum Teams'!$B$2:$B$1006,0),
  _xlpm.val, INDEX('Scrum Teams'!$E$2:$E$1006,_xlpm.pos),
  IF(ISBLANK(INDEX('Scrum Teams'!$E$2:$E$1006,_xlpm.pos)),"",_xlpm.val)
))</f>
        <v>30</v>
      </c>
      <c r="Q89" s="217">
        <f t="shared" si="15"/>
        <v>30</v>
      </c>
      <c r="R89" s="117" t="str">
        <f>IF(M89="","",IF(L89="", "Missing component", _xlfn.XLOOKUP(L89, Lookup!A:A, Lookup!D:D, "NA")))</f>
        <v>Raghu Edalur</v>
      </c>
      <c r="T89" s="25" t="s">
        <v>47</v>
      </c>
      <c r="U89" s="193">
        <v>492.5</v>
      </c>
      <c r="V89" s="193">
        <v>175.2</v>
      </c>
      <c r="W89" s="193">
        <v>284</v>
      </c>
      <c r="X89" s="193">
        <v>317.23333333333335</v>
      </c>
    </row>
    <row r="90" spans="7:24">
      <c r="G90"/>
      <c r="H90"/>
      <c r="I90"/>
      <c r="J90"/>
      <c r="K90" s="196" t="str" cm="1">
        <f t="array" ref="K90">IF(G90="","",_xlfn.LET(
  _xlpm.comp, TRIM(CLEAN(G90)),
  _xlpm.expected, J90,
  _xlpm.actual, SUMPRODUCT(--(TRIM(CLEAN($L$2:$L$140))=_xlpm.comp), $Q$2:$Q$140),
  IF(_xlpm.actual=_xlpm.expected, "No", "Mismatch by " &amp; (_xlpm.actual-_xlpm.expected))
))</f>
        <v/>
      </c>
      <c r="L90" s="68" t="str">
        <f>IF(M90="", "", _xlfn.XLOOKUP(M90,'Scrum Teams'!B:B,'Scrum Teams'!A:A,""))</f>
        <v>HorizontalPlatforms</v>
      </c>
      <c r="M90" s="74" t="str" cm="1">
        <f t="array" ref="M90">IFERROR(INDEX(_xlfn.SORTBY(_xlfn.UNIQUE(_xlfn._xlws.FILTER('Scrum Teams'!$B$2:$B$1006,'Scrum Teams'!$B$2:$B$1006&lt;&gt;"")),_xlfn.XLOOKUP(_xlfn.UNIQUE(_xlfn._xlws.FILTER('Scrum Teams'!$B$2:$B$1006,'Scrum Teams'!$B$2:$B$1006&lt;&gt;"")),'Scrum Teams'!$B:$B,'Scrum Teams'!$A:$A,"")),ROW()-1),"")</f>
        <v>HP-Central_Setups</v>
      </c>
      <c r="N90" s="115" t="str">
        <f>IF(L90="", "", _xlfn.XLOOKUP(L90, 'Component Masterlist v2'!A:A, 'Component Masterlist v2'!P:P, "Not found"))</f>
        <v>HPLT</v>
      </c>
      <c r="O90" s="116">
        <f t="shared" si="14"/>
        <v>0</v>
      </c>
      <c r="P90" s="115">
        <f>IF(M90="","",_xlfn.LET(
  _xlpm.pos, MATCH(M90,'Scrum Teams'!$B$2:$B$1006,0),
  _xlpm.val, INDEX('Scrum Teams'!$E$2:$E$1006,_xlpm.pos),
  IF(ISBLANK(INDEX('Scrum Teams'!$E$2:$E$1006,_xlpm.pos)),"",_xlpm.val)
))</f>
        <v>0</v>
      </c>
      <c r="Q90" s="217">
        <f t="shared" si="15"/>
        <v>0</v>
      </c>
      <c r="R90" s="117" t="str">
        <f>IF(M90="","",IF(L90="", "Missing component", _xlfn.XLOOKUP(L90, Lookup!A:A, Lookup!D:D, "NA")))</f>
        <v>Raghu Edalur</v>
      </c>
      <c r="T90" s="25" t="s">
        <v>52</v>
      </c>
      <c r="U90" s="193">
        <v>205</v>
      </c>
      <c r="V90" s="193">
        <v>140</v>
      </c>
      <c r="W90" s="193">
        <v>106</v>
      </c>
      <c r="X90" s="193">
        <v>150.33333333333334</v>
      </c>
    </row>
    <row r="91" spans="7:24">
      <c r="G91"/>
      <c r="H91"/>
      <c r="I91"/>
      <c r="J91"/>
      <c r="K91" s="196" t="str" cm="1">
        <f t="array" ref="K91">IF(G91="","",_xlfn.LET(
  _xlpm.comp, TRIM(CLEAN(G91)),
  _xlpm.expected, J91,
  _xlpm.actual, SUMPRODUCT(--(TRIM(CLEAN($L$2:$L$140))=_xlpm.comp), $Q$2:$Q$140),
  IF(_xlpm.actual=_xlpm.expected, "No", "Mismatch by " &amp; (_xlpm.actual-_xlpm.expected))
))</f>
        <v/>
      </c>
      <c r="L91" s="68" t="str">
        <f>IF(M91="", "", _xlfn.XLOOKUP(M91,'Scrum Teams'!B:B,'Scrum Teams'!A:A,""))</f>
        <v>HorizontalPlatforms</v>
      </c>
      <c r="M91" s="74" t="str" cm="1">
        <f t="array" ref="M91">IFERROR(INDEX(_xlfn.SORTBY(_xlfn.UNIQUE(_xlfn._xlws.FILTER('Scrum Teams'!$B$2:$B$1006,'Scrum Teams'!$B$2:$B$1006&lt;&gt;"")),_xlfn.XLOOKUP(_xlfn.UNIQUE(_xlfn._xlws.FILTER('Scrum Teams'!$B$2:$B$1006,'Scrum Teams'!$B$2:$B$1006&lt;&gt;"")),'Scrum Teams'!$B:$B,'Scrum Teams'!$A:$A,"")),ROW()-1),"")</f>
        <v>HP-Data_and_Content_Mgmt</v>
      </c>
      <c r="N91" s="115" t="str">
        <f>IF(L91="", "", _xlfn.XLOOKUP(L91, 'Component Masterlist v2'!A:A, 'Component Masterlist v2'!P:P, "Not found"))</f>
        <v>HPLT</v>
      </c>
      <c r="O91" s="116">
        <f t="shared" si="14"/>
        <v>26.25</v>
      </c>
      <c r="P91" s="115">
        <f>IF(M91="","",_xlfn.LET(
  _xlpm.pos, MATCH(M91,'Scrum Teams'!$B$2:$B$1006,0),
  _xlpm.val, INDEX('Scrum Teams'!$E$2:$E$1006,_xlpm.pos),
  IF(ISBLANK(INDEX('Scrum Teams'!$E$2:$E$1006,_xlpm.pos)),"",_xlpm.val)
))</f>
        <v>52.5</v>
      </c>
      <c r="Q91" s="217">
        <f t="shared" si="15"/>
        <v>52.5</v>
      </c>
      <c r="R91" s="117" t="str">
        <f>IF(M91="","",IF(L91="", "Missing component", _xlfn.XLOOKUP(L91, Lookup!A:A, Lookup!D:D, "NA")))</f>
        <v>Raghu Edalur</v>
      </c>
      <c r="T91" s="25" t="s">
        <v>45</v>
      </c>
      <c r="U91" s="193">
        <v>149</v>
      </c>
      <c r="V91" s="193">
        <v>129</v>
      </c>
      <c r="W91" s="193">
        <v>115</v>
      </c>
      <c r="X91" s="193">
        <v>131</v>
      </c>
    </row>
    <row r="92" spans="7:24">
      <c r="G92"/>
      <c r="H92"/>
      <c r="I92"/>
      <c r="J92"/>
      <c r="K92" s="196" t="str" cm="1">
        <f t="array" ref="K92">IF(G92="","",_xlfn.LET(
  _xlpm.comp, TRIM(CLEAN(G92)),
  _xlpm.expected, J92,
  _xlpm.actual, SUMPRODUCT(--(TRIM(CLEAN($L$2:$L$140))=_xlpm.comp), $Q$2:$Q$140),
  IF(_xlpm.actual=_xlpm.expected, "No", "Mismatch by " &amp; (_xlpm.actual-_xlpm.expected))
))</f>
        <v/>
      </c>
      <c r="L92" s="68" t="str">
        <f>IF(M92="", "", _xlfn.XLOOKUP(M92,'Scrum Teams'!B:B,'Scrum Teams'!A:A,""))</f>
        <v>HorizontalPlatforms</v>
      </c>
      <c r="M92" s="74" t="str" cm="1">
        <f t="array" ref="M92">IFERROR(INDEX(_xlfn.SORTBY(_xlfn.UNIQUE(_xlfn._xlws.FILTER('Scrum Teams'!$B$2:$B$1006,'Scrum Teams'!$B$2:$B$1006&lt;&gt;"")),_xlfn.XLOOKUP(_xlfn.UNIQUE(_xlfn._xlws.FILTER('Scrum Teams'!$B$2:$B$1006,'Scrum Teams'!$B$2:$B$1006&lt;&gt;"")),'Scrum Teams'!$B:$B,'Scrum Teams'!$A:$A,"")),ROW()-1),"")</f>
        <v>HP-Interaction_Platforms</v>
      </c>
      <c r="N92" s="115" t="str">
        <f>IF(L92="", "", _xlfn.XLOOKUP(L92, 'Component Masterlist v2'!A:A, 'Component Masterlist v2'!P:P, "Not found"))</f>
        <v>HPLT</v>
      </c>
      <c r="O92" s="116">
        <f t="shared" si="14"/>
        <v>22.5</v>
      </c>
      <c r="P92" s="115">
        <f>IF(M92="","",_xlfn.LET(
  _xlpm.pos, MATCH(M92,'Scrum Teams'!$B$2:$B$1006,0),
  _xlpm.val, INDEX('Scrum Teams'!$E$2:$E$1006,_xlpm.pos),
  IF(ISBLANK(INDEX('Scrum Teams'!$E$2:$E$1006,_xlpm.pos)),"",_xlpm.val)
))</f>
        <v>45</v>
      </c>
      <c r="Q92" s="217">
        <f t="shared" si="15"/>
        <v>45</v>
      </c>
      <c r="R92" s="117" t="str">
        <f>IF(M92="","",IF(L92="", "Missing component", _xlfn.XLOOKUP(L92, Lookup!A:A, Lookup!D:D, "NA")))</f>
        <v>Raghu Edalur</v>
      </c>
      <c r="T92" s="25" t="s">
        <v>105</v>
      </c>
      <c r="U92" s="193">
        <v>38</v>
      </c>
      <c r="V92" s="193">
        <v>11</v>
      </c>
      <c r="W92" s="193">
        <v>96</v>
      </c>
      <c r="X92" s="193">
        <v>48.333333333333336</v>
      </c>
    </row>
    <row r="93" spans="7:24">
      <c r="G93"/>
      <c r="H93"/>
      <c r="I93"/>
      <c r="J93"/>
      <c r="K93" s="196" t="str" cm="1">
        <f t="array" ref="K93">IF(G93="","",_xlfn.LET(
  _xlpm.comp, TRIM(CLEAN(G93)),
  _xlpm.expected, J93,
  _xlpm.actual, SUMPRODUCT(--(TRIM(CLEAN($L$2:$L$140))=_xlpm.comp), $Q$2:$Q$140),
  IF(_xlpm.actual=_xlpm.expected, "No", "Mismatch by " &amp; (_xlpm.actual-_xlpm.expected))
))</f>
        <v/>
      </c>
      <c r="L93" s="68" t="str">
        <f>IF(M93="", "", _xlfn.XLOOKUP(M93,'Scrum Teams'!B:B,'Scrum Teams'!A:A,""))</f>
        <v>HorizontalPlatforms</v>
      </c>
      <c r="M93" s="74" t="str" cm="1">
        <f t="array" ref="M93">IFERROR(INDEX(_xlfn.SORTBY(_xlfn.UNIQUE(_xlfn._xlws.FILTER('Scrum Teams'!$B$2:$B$1006,'Scrum Teams'!$B$2:$B$1006&lt;&gt;"")),_xlfn.XLOOKUP(_xlfn.UNIQUE(_xlfn._xlws.FILTER('Scrum Teams'!$B$2:$B$1006,'Scrum Teams'!$B$2:$B$1006&lt;&gt;"")),'Scrum Teams'!$B:$B,'Scrum Teams'!$A:$A,"")),ROW()-1),"")</f>
        <v>HP-Persistence</v>
      </c>
      <c r="N93" s="115" t="str">
        <f>IF(L93="", "", _xlfn.XLOOKUP(L93, 'Component Masterlist v2'!A:A, 'Component Masterlist v2'!P:P, "Not found"))</f>
        <v>HPLT</v>
      </c>
      <c r="O93" s="116">
        <f t="shared" si="14"/>
        <v>37.5</v>
      </c>
      <c r="P93" s="115">
        <f>IF(M93="","",_xlfn.LET(
  _xlpm.pos, MATCH(M93,'Scrum Teams'!$B$2:$B$1006,0),
  _xlpm.val, INDEX('Scrum Teams'!$E$2:$E$1006,_xlpm.pos),
  IF(ISBLANK(INDEX('Scrum Teams'!$E$2:$E$1006,_xlpm.pos)),"",_xlpm.val)
))</f>
        <v>75</v>
      </c>
      <c r="Q93" s="217">
        <f t="shared" si="15"/>
        <v>75</v>
      </c>
      <c r="R93" s="117" t="str">
        <f>IF(M93="","",IF(L93="", "Missing component", _xlfn.XLOOKUP(L93, Lookup!A:A, Lookup!D:D, "NA")))</f>
        <v>Raghu Edalur</v>
      </c>
      <c r="T93" s="25" t="s">
        <v>54</v>
      </c>
      <c r="U93" s="193">
        <v>205</v>
      </c>
      <c r="V93" s="193">
        <v>364</v>
      </c>
      <c r="W93" s="193">
        <v>416</v>
      </c>
      <c r="X93" s="193">
        <v>328.33333333333331</v>
      </c>
    </row>
    <row r="94" spans="7:24" ht="41.25">
      <c r="G94"/>
      <c r="H94"/>
      <c r="I94"/>
      <c r="J94"/>
      <c r="K94" s="196" t="str" cm="1">
        <f t="array" ref="K94">IF(G94="","",_xlfn.LET(
  _xlpm.comp, TRIM(CLEAN(G94)),
  _xlpm.expected, J94,
  _xlpm.actual, SUMPRODUCT(--(TRIM(CLEAN($L$2:$L$140))=_xlpm.comp), $Q$2:$Q$140),
  IF(_xlpm.actual=_xlpm.expected, "No", "Mismatch by " &amp; (_xlpm.actual-_xlpm.expected))
))</f>
        <v/>
      </c>
      <c r="L94" s="68" t="str">
        <f>IF(M94="", "", _xlfn.XLOOKUP(M94,'Scrum Teams'!B:B,'Scrum Teams'!A:A,""))</f>
        <v>HorizontalPlatforms</v>
      </c>
      <c r="M94" s="74" t="str" cm="1">
        <f t="array" ref="M94">IFERROR(INDEX(_xlfn.SORTBY(_xlfn.UNIQUE(_xlfn._xlws.FILTER('Scrum Teams'!$B$2:$B$1006,'Scrum Teams'!$B$2:$B$1006&lt;&gt;"")),_xlfn.XLOOKUP(_xlfn.UNIQUE(_xlfn._xlws.FILTER('Scrum Teams'!$B$2:$B$1006,'Scrum Teams'!$B$2:$B$1006&lt;&gt;"")),'Scrum Teams'!$B:$B,'Scrum Teams'!$A:$A,"")),ROW()-1),"")</f>
        <v>HP-Presentation_Centric_Platforms</v>
      </c>
      <c r="N94" s="115" t="str">
        <f>IF(L94="", "", _xlfn.XLOOKUP(L94, 'Component Masterlist v2'!A:A, 'Component Masterlist v2'!P:P, "Not found"))</f>
        <v>HPLT</v>
      </c>
      <c r="O94" s="116">
        <f t="shared" si="14"/>
        <v>0</v>
      </c>
      <c r="P94" s="115">
        <f>IF(M94="","",_xlfn.LET(
  _xlpm.pos, MATCH(M94,'Scrum Teams'!$B$2:$B$1006,0),
  _xlpm.val, INDEX('Scrum Teams'!$E$2:$E$1006,_xlpm.pos),
  IF(ISBLANK(INDEX('Scrum Teams'!$E$2:$E$1006,_xlpm.pos)),"",_xlpm.val)
))</f>
        <v>0</v>
      </c>
      <c r="Q94" s="217">
        <f t="shared" si="15"/>
        <v>0</v>
      </c>
      <c r="R94" s="117" t="str">
        <f>IF(M94="","",IF(L94="", "Missing component", _xlfn.XLOOKUP(L94, Lookup!A:A, Lookup!D:D, "NA")))</f>
        <v>Raghu Edalur</v>
      </c>
      <c r="T94" s="110" t="s">
        <v>934</v>
      </c>
      <c r="U94" s="111">
        <v>3890.5</v>
      </c>
      <c r="V94" s="111">
        <v>3294.7</v>
      </c>
      <c r="W94" s="111">
        <v>4128</v>
      </c>
      <c r="X94" s="111">
        <v>3771.0666666666671</v>
      </c>
    </row>
    <row r="95" spans="7:24" ht="27.75">
      <c r="G95"/>
      <c r="H95"/>
      <c r="I95"/>
      <c r="J95"/>
      <c r="K95" s="196" t="str" cm="1">
        <f t="array" ref="K95">IF(G95="","",_xlfn.LET(
  _xlpm.comp, TRIM(CLEAN(G95)),
  _xlpm.expected, J95,
  _xlpm.actual, SUMPRODUCT(--(TRIM(CLEAN($L$2:$L$140))=_xlpm.comp), $Q$2:$Q$140),
  IF(_xlpm.actual=_xlpm.expected, "No", "Mismatch by " &amp; (_xlpm.actual-_xlpm.expected))
))</f>
        <v/>
      </c>
      <c r="L95" s="68" t="str">
        <f>IF(M95="", "", _xlfn.XLOOKUP(M95,'Scrum Teams'!B:B,'Scrum Teams'!A:A,""))</f>
        <v>HorizontalPlatforms</v>
      </c>
      <c r="M95" s="74" t="str" cm="1">
        <f t="array" ref="M95">IFERROR(INDEX(_xlfn.SORTBY(_xlfn.UNIQUE(_xlfn._xlws.FILTER('Scrum Teams'!$B$2:$B$1006,'Scrum Teams'!$B$2:$B$1006&lt;&gt;"")),_xlfn.XLOOKUP(_xlfn.UNIQUE(_xlfn._xlws.FILTER('Scrum Teams'!$B$2:$B$1006,'Scrum Teams'!$B$2:$B$1006&lt;&gt;"")),'Scrum Teams'!$B:$B,'Scrum Teams'!$A:$A,"")),ROW()-1),"")</f>
        <v>HP-Registries_and_Config_Stores</v>
      </c>
      <c r="N95" s="115" t="str">
        <f>IF(L95="", "", _xlfn.XLOOKUP(L95, 'Component Masterlist v2'!A:A, 'Component Masterlist v2'!P:P, "Not found"))</f>
        <v>HPLT</v>
      </c>
      <c r="O95" s="116">
        <f t="shared" si="14"/>
        <v>26.25</v>
      </c>
      <c r="P95" s="115">
        <f>IF(M95="","",_xlfn.LET(
  _xlpm.pos, MATCH(M95,'Scrum Teams'!$B$2:$B$1006,0),
  _xlpm.val, INDEX('Scrum Teams'!$E$2:$E$1006,_xlpm.pos),
  IF(ISBLANK(INDEX('Scrum Teams'!$E$2:$E$1006,_xlpm.pos)),"",_xlpm.val)
))</f>
        <v>52.5</v>
      </c>
      <c r="Q95" s="217">
        <f t="shared" si="15"/>
        <v>52.5</v>
      </c>
      <c r="R95" s="117" t="str">
        <f>IF(M95="","",IF(L95="", "Missing component", _xlfn.XLOOKUP(L95, Lookup!A:A, Lookup!D:D, "NA")))</f>
        <v>Raghu Edalur</v>
      </c>
    </row>
    <row r="96" spans="7:24">
      <c r="G96"/>
      <c r="H96"/>
      <c r="I96"/>
      <c r="J96"/>
      <c r="K96" s="196" t="str" cm="1">
        <f t="array" ref="K96">IF(G96="","",_xlfn.LET(
  _xlpm.comp, TRIM(CLEAN(G96)),
  _xlpm.expected, J96,
  _xlpm.actual, SUMPRODUCT(--(TRIM(CLEAN($L$2:$L$140))=_xlpm.comp), $Q$2:$Q$140),
  IF(_xlpm.actual=_xlpm.expected, "No", "Mismatch by " &amp; (_xlpm.actual-_xlpm.expected))
))</f>
        <v/>
      </c>
      <c r="L96" s="68" t="str">
        <f>IF(M96="", "", _xlfn.XLOOKUP(M96,'Scrum Teams'!B:B,'Scrum Teams'!A:A,""))</f>
        <v>HorizontalPlatforms</v>
      </c>
      <c r="M96" s="74" t="str" cm="1">
        <f t="array" ref="M96">IFERROR(INDEX(_xlfn.SORTBY(_xlfn.UNIQUE(_xlfn._xlws.FILTER('Scrum Teams'!$B$2:$B$1006,'Scrum Teams'!$B$2:$B$1006&lt;&gt;"")),_xlfn.XLOOKUP(_xlfn.UNIQUE(_xlfn._xlws.FILTER('Scrum Teams'!$B$2:$B$1006,'Scrum Teams'!$B$2:$B$1006&lt;&gt;"")),'Scrum Teams'!$B:$B,'Scrum Teams'!$A:$A,"")),ROW()-1),"")</f>
        <v>HP-Routing_and_Reliability</v>
      </c>
      <c r="N96" s="115" t="str">
        <f>IF(L96="", "", _xlfn.XLOOKUP(L96, 'Component Masterlist v2'!A:A, 'Component Masterlist v2'!P:P, "Not found"))</f>
        <v>HPLT</v>
      </c>
      <c r="O96" s="116">
        <f t="shared" si="14"/>
        <v>22.5</v>
      </c>
      <c r="P96" s="115">
        <f>IF(M96="","",_xlfn.LET(
  _xlpm.pos, MATCH(M96,'Scrum Teams'!$B$2:$B$1006,0),
  _xlpm.val, INDEX('Scrum Teams'!$E$2:$E$1006,_xlpm.pos),
  IF(ISBLANK(INDEX('Scrum Teams'!$E$2:$E$1006,_xlpm.pos)),"",_xlpm.val)
))</f>
        <v>45</v>
      </c>
      <c r="Q96" s="217">
        <f t="shared" si="15"/>
        <v>45</v>
      </c>
      <c r="R96" s="117" t="str">
        <f>IF(M96="","",IF(L96="", "Missing component", _xlfn.XLOOKUP(L96, Lookup!A:A, Lookup!D:D, "NA")))</f>
        <v>Raghu Edalur</v>
      </c>
    </row>
    <row r="97" spans="7:24">
      <c r="G97"/>
      <c r="H97"/>
      <c r="I97"/>
      <c r="J97"/>
      <c r="K97" s="196" t="str" cm="1">
        <f t="array" ref="K97">IF(G97="","",_xlfn.LET(
  _xlpm.comp, TRIM(CLEAN(G97)),
  _xlpm.expected, J97,
  _xlpm.actual, SUMPRODUCT(--(TRIM(CLEAN($L$2:$L$140))=_xlpm.comp), $Q$2:$Q$140),
  IF(_xlpm.actual=_xlpm.expected, "No", "Mismatch by " &amp; (_xlpm.actual-_xlpm.expected))
))</f>
        <v/>
      </c>
      <c r="L97" s="68" t="str">
        <f>IF(M97="", "", _xlfn.XLOOKUP(M97,'Scrum Teams'!B:B,'Scrum Teams'!A:A,""))</f>
        <v>HorizontalPlatforms</v>
      </c>
      <c r="M97" s="74" t="str" cm="1">
        <f t="array" ref="M97">IFERROR(INDEX(_xlfn.SORTBY(_xlfn.UNIQUE(_xlfn._xlws.FILTER('Scrum Teams'!$B$2:$B$1006,'Scrum Teams'!$B$2:$B$1006&lt;&gt;"")),_xlfn.XLOOKUP(_xlfn.UNIQUE(_xlfn._xlws.FILTER('Scrum Teams'!$B$2:$B$1006,'Scrum Teams'!$B$2:$B$1006&lt;&gt;"")),'Scrum Teams'!$B:$B,'Scrum Teams'!$A:$A,"")),ROW()-1),"")</f>
        <v>HP-Technologies_and_RnD</v>
      </c>
      <c r="N97" s="115" t="str">
        <f>IF(L97="", "", _xlfn.XLOOKUP(L97, 'Component Masterlist v2'!A:A, 'Component Masterlist v2'!P:P, "Not found"))</f>
        <v>HPLT</v>
      </c>
      <c r="O97" s="116">
        <f t="shared" si="14"/>
        <v>7.5</v>
      </c>
      <c r="P97" s="115">
        <f>IF(M97="","",_xlfn.LET(
  _xlpm.pos, MATCH(M97,'Scrum Teams'!$B$2:$B$1006,0),
  _xlpm.val, INDEX('Scrum Teams'!$E$2:$E$1006,_xlpm.pos),
  IF(ISBLANK(INDEX('Scrum Teams'!$E$2:$E$1006,_xlpm.pos)),"",_xlpm.val)
))</f>
        <v>15</v>
      </c>
      <c r="Q97" s="217">
        <f t="shared" si="15"/>
        <v>15</v>
      </c>
      <c r="R97" s="117" t="str">
        <f>IF(M97="","",IF(L97="", "Missing component", _xlfn.XLOOKUP(L97, Lookup!A:A, Lookup!D:D, "NA")))</f>
        <v>Raghu Edalur</v>
      </c>
    </row>
    <row r="98" spans="7:24">
      <c r="G98"/>
      <c r="H98"/>
      <c r="I98"/>
      <c r="J98"/>
      <c r="K98" s="196" t="str" cm="1">
        <f t="array" ref="K98">IF(G98="","",_xlfn.LET(
  _xlpm.comp, TRIM(CLEAN(G98)),
  _xlpm.expected, J98,
  _xlpm.actual, SUMPRODUCT(--(TRIM(CLEAN($L$2:$L$140))=_xlpm.comp), $Q$2:$Q$140),
  IF(_xlpm.actual=_xlpm.expected, "No", "Mismatch by " &amp; (_xlpm.actual-_xlpm.expected))
))</f>
        <v/>
      </c>
      <c r="L98" s="68" t="str">
        <f>IF(M98="", "", _xlfn.XLOOKUP(M98,'Scrum Teams'!B:B,'Scrum Teams'!A:A,""))</f>
        <v>HorizontalPlatforms</v>
      </c>
      <c r="M98" s="74" t="str" cm="1">
        <f t="array" ref="M98">IFERROR(INDEX(_xlfn.SORTBY(_xlfn.UNIQUE(_xlfn._xlws.FILTER('Scrum Teams'!$B$2:$B$1006,'Scrum Teams'!$B$2:$B$1006&lt;&gt;"")),_xlfn.XLOOKUP(_xlfn.UNIQUE(_xlfn._xlws.FILTER('Scrum Teams'!$B$2:$B$1006,'Scrum Teams'!$B$2:$B$1006&lt;&gt;"")),'Scrum Teams'!$B:$B,'Scrum Teams'!$A:$A,"")),ROW()-1),"")</f>
        <v>HP-UI_Platforms</v>
      </c>
      <c r="N98" s="115" t="str">
        <f>IF(L98="", "", _xlfn.XLOOKUP(L98, 'Component Masterlist v2'!A:A, 'Component Masterlist v2'!P:P, "Not found"))</f>
        <v>HPLT</v>
      </c>
      <c r="O98" s="116">
        <f t="shared" si="14"/>
        <v>0</v>
      </c>
      <c r="P98" s="115">
        <f>IF(M98="","",_xlfn.LET(
  _xlpm.pos, MATCH(M98,'Scrum Teams'!$B$2:$B$1006,0),
  _xlpm.val, INDEX('Scrum Teams'!$E$2:$E$1006,_xlpm.pos),
  IF(ISBLANK(INDEX('Scrum Teams'!$E$2:$E$1006,_xlpm.pos)),"",_xlpm.val)
))</f>
        <v>0</v>
      </c>
      <c r="Q98" s="217">
        <f t="shared" si="15"/>
        <v>0</v>
      </c>
      <c r="R98" s="117" t="str">
        <f>IF(M98="","",IF(L98="", "Missing component", _xlfn.XLOOKUP(L98, Lookup!A:A, Lookup!D:D, "NA")))</f>
        <v>Raghu Edalur</v>
      </c>
      <c r="T98" s="120">
        <f>SUM(Q98:Q104)</f>
        <v>135</v>
      </c>
    </row>
    <row r="99" spans="7:24">
      <c r="G99"/>
      <c r="H99"/>
      <c r="I99"/>
      <c r="J99"/>
      <c r="K99" s="196" t="str" cm="1">
        <f t="array" ref="K99">IF(G99="","",_xlfn.LET(
  _xlpm.comp, TRIM(CLEAN(G99)),
  _xlpm.expected, J99,
  _xlpm.actual, SUMPRODUCT(--(TRIM(CLEAN($L$2:$L$140))=_xlpm.comp), $Q$2:$Q$140),
  IF(_xlpm.actual=_xlpm.expected, "No", "Mismatch by " &amp; (_xlpm.actual-_xlpm.expected))
))</f>
        <v/>
      </c>
      <c r="L99" s="68" t="str">
        <f>IF(M99="", "", _xlfn.XLOOKUP(M99,'Scrum Teams'!B:B,'Scrum Teams'!A:A,""))</f>
        <v>HorizontalPlatforms</v>
      </c>
      <c r="M99" s="74" t="str" cm="1">
        <f t="array" ref="M99">IFERROR(INDEX(_xlfn.SORTBY(_xlfn.UNIQUE(_xlfn._xlws.FILTER('Scrum Teams'!$B$2:$B$1006,'Scrum Teams'!$B$2:$B$1006&lt;&gt;"")),_xlfn.XLOOKUP(_xlfn.UNIQUE(_xlfn._xlws.FILTER('Scrum Teams'!$B$2:$B$1006,'Scrum Teams'!$B$2:$B$1006&lt;&gt;"")),'Scrum Teams'!$B:$B,'Scrum Teams'!$A:$A,"")),ROW()-1),"")</f>
        <v>HP-Utilities</v>
      </c>
      <c r="N99" s="115" t="str">
        <f>IF(L99="", "", _xlfn.XLOOKUP(L99, 'Component Masterlist v2'!A:A, 'Component Masterlist v2'!P:P, "Not found"))</f>
        <v>HPLT</v>
      </c>
      <c r="O99" s="116">
        <f t="shared" si="14"/>
        <v>22.5</v>
      </c>
      <c r="P99" s="115">
        <f>IF(M99="","",_xlfn.LET(
  _xlpm.pos, MATCH(M99,'Scrum Teams'!$B$2:$B$1006,0),
  _xlpm.val, INDEX('Scrum Teams'!$E$2:$E$1006,_xlpm.pos),
  IF(ISBLANK(INDEX('Scrum Teams'!$E$2:$E$1006,_xlpm.pos)),"",_xlpm.val)
))</f>
        <v>45</v>
      </c>
      <c r="Q99" s="217">
        <f t="shared" si="15"/>
        <v>45</v>
      </c>
      <c r="R99" s="117" t="str">
        <f>IF(M99="","",IF(L99="", "Missing component", _xlfn.XLOOKUP(L99, Lookup!A:A, Lookup!D:D, "NA")))</f>
        <v>Raghu Edalur</v>
      </c>
    </row>
    <row r="100" spans="7:24">
      <c r="G100"/>
      <c r="H100"/>
      <c r="I100"/>
      <c r="J100"/>
      <c r="K100" s="196" t="str" cm="1">
        <f t="array" ref="K100">IF(G100="","",_xlfn.LET(
  _xlpm.comp, TRIM(CLEAN(G100)),
  _xlpm.expected, J100,
  _xlpm.actual, SUMPRODUCT(--(TRIM(CLEAN($L$2:$L$140))=_xlpm.comp), $Q$2:$Q$140),
  IF(_xlpm.actual=_xlpm.expected, "No", "Mismatch by " &amp; (_xlpm.actual-_xlpm.expected))
))</f>
        <v/>
      </c>
      <c r="L100" s="68" t="str">
        <f>IF(M100="", "", _xlfn.XLOOKUP(M100,'Scrum Teams'!B:B,'Scrum Teams'!A:A,""))</f>
        <v>IOT</v>
      </c>
      <c r="M100" s="74" t="str" cm="1">
        <f t="array" ref="M100">IFERROR(INDEX(_xlfn.SORTBY(_xlfn.UNIQUE(_xlfn._xlws.FILTER('Scrum Teams'!$B$2:$B$1006,'Scrum Teams'!$B$2:$B$1006&lt;&gt;"")),_xlfn.XLOOKUP(_xlfn.UNIQUE(_xlfn._xlws.FILTER('Scrum Teams'!$B$2:$B$1006,'Scrum Teams'!$B$2:$B$1006&lt;&gt;"")),'Scrum Teams'!$B:$B,'Scrum Teams'!$A:$A,"")),ROW()-1),"")</f>
        <v>IOT</v>
      </c>
      <c r="N100" s="115" t="str">
        <f>IF(L100="", "", _xlfn.XLOOKUP(L100, 'Component Masterlist v2'!A:A, 'Component Masterlist v2'!P:P, "Not found"))</f>
        <v>IOT</v>
      </c>
      <c r="O100" s="116" t="str">
        <f t="shared" si="14"/>
        <v/>
      </c>
      <c r="P100" s="115" t="str">
        <f>IF(M100="","",_xlfn.LET(
  _xlpm.pos, MATCH(M100,'Scrum Teams'!$B$2:$B$1006,0),
  _xlpm.val, INDEX('Scrum Teams'!$E$2:$E$1006,_xlpm.pos),
  IF(ISBLANK(INDEX('Scrum Teams'!$E$2:$E$1006,_xlpm.pos)),"",_xlpm.val)
))</f>
        <v/>
      </c>
      <c r="Q100" s="217">
        <f t="shared" si="15"/>
        <v>90</v>
      </c>
      <c r="R100" s="117" t="str">
        <f>IF(M100="","",IF(L100="", "Missing component", _xlfn.XLOOKUP(L100, Lookup!A:A, Lookup!D:D, "NA")))</f>
        <v>Santosh Golecha</v>
      </c>
    </row>
    <row r="101" spans="7:24">
      <c r="G101"/>
      <c r="H101"/>
      <c r="I101"/>
      <c r="J101"/>
      <c r="K101" s="196" t="str" cm="1">
        <f t="array" ref="K101">IF(G101="","",_xlfn.LET(
  _xlpm.comp, TRIM(CLEAN(G101)),
  _xlpm.expected, J101,
  _xlpm.actual, SUMPRODUCT(--(TRIM(CLEAN($L$2:$L$140))=_xlpm.comp), $Q$2:$Q$140),
  IF(_xlpm.actual=_xlpm.expected, "No", "Mismatch by " &amp; (_xlpm.actual-_xlpm.expected))
))</f>
        <v/>
      </c>
      <c r="L101" s="68" t="str">
        <f>IF(M101="", "", _xlfn.XLOOKUP(M101,'Scrum Teams'!B:B,'Scrum Teams'!A:A,""))</f>
        <v>OnboardingPlatforms</v>
      </c>
      <c r="M101" s="74" t="str" cm="1">
        <f t="array" ref="M101">IFERROR(INDEX(_xlfn.SORTBY(_xlfn.UNIQUE(_xlfn._xlws.FILTER('Scrum Teams'!$B$2:$B$1006,'Scrum Teams'!$B$2:$B$1006&lt;&gt;"")),_xlfn.XLOOKUP(_xlfn.UNIQUE(_xlfn._xlws.FILTER('Scrum Teams'!$B$2:$B$1006,'Scrum Teams'!$B$2:$B$1006&lt;&gt;"")),'Scrum Teams'!$B:$B,'Scrum Teams'!$A:$A,"")),ROW()-1),"")</f>
        <v>CAutomation</v>
      </c>
      <c r="N101" s="115" t="str">
        <f>IF(L101="", "", _xlfn.XLOOKUP(L101, 'Component Masterlist v2'!A:A, 'Component Masterlist v2'!P:P, "Not found"))</f>
        <v>OPLT</v>
      </c>
      <c r="O101" s="116">
        <f t="shared" si="14"/>
        <v>0</v>
      </c>
      <c r="P101" s="115">
        <f>IF(M101="","",_xlfn.LET(
  _xlpm.pos, MATCH(M101,'Scrum Teams'!$B$2:$B$1006,0),
  _xlpm.val, INDEX('Scrum Teams'!$E$2:$E$1006,_xlpm.pos),
  IF(ISBLANK(INDEX('Scrum Teams'!$E$2:$E$1006,_xlpm.pos)),"",_xlpm.val)
))</f>
        <v>0</v>
      </c>
      <c r="Q101" s="217">
        <f t="shared" si="15"/>
        <v>0</v>
      </c>
      <c r="R101" s="117" t="str">
        <f>IF(M101="","",IF(L101="", "Missing component", _xlfn.XLOOKUP(L101, Lookup!A:A, Lookup!D:D, "NA")))</f>
        <v>Keith Wiseman</v>
      </c>
    </row>
    <row r="102" spans="7:24">
      <c r="G102"/>
      <c r="H102"/>
      <c r="I102"/>
      <c r="J102"/>
      <c r="K102" s="196" t="str" cm="1">
        <f t="array" ref="K102">IF(G102="","",_xlfn.LET(
  _xlpm.comp, TRIM(CLEAN(G102)),
  _xlpm.expected, J102,
  _xlpm.actual, SUMPRODUCT(--(TRIM(CLEAN($L$2:$L$140))=_xlpm.comp), $Q$2:$Q$140),
  IF(_xlpm.actual=_xlpm.expected, "No", "Mismatch by " &amp; (_xlpm.actual-_xlpm.expected))
))</f>
        <v/>
      </c>
      <c r="L102" s="68" t="str">
        <f>IF(M102="", "", _xlfn.XLOOKUP(M102,'Scrum Teams'!B:B,'Scrum Teams'!A:A,""))</f>
        <v>OnboardingPlatforms</v>
      </c>
      <c r="M102" s="74" t="str" cm="1">
        <f t="array" ref="M102">IFERROR(INDEX(_xlfn.SORTBY(_xlfn.UNIQUE(_xlfn._xlws.FILTER('Scrum Teams'!$B$2:$B$1006,'Scrum Teams'!$B$2:$B$1006&lt;&gt;"")),_xlfn.XLOOKUP(_xlfn.UNIQUE(_xlfn._xlws.FILTER('Scrum Teams'!$B$2:$B$1006,'Scrum Teams'!$B$2:$B$1006&lt;&gt;"")),'Scrum Teams'!$B:$B,'Scrum Teams'!$A:$A,"")),ROW()-1),"")</f>
        <v>GAutomation</v>
      </c>
      <c r="N102" s="115" t="str">
        <f>IF(L102="", "", _xlfn.XLOOKUP(L102, 'Component Masterlist v2'!A:A, 'Component Masterlist v2'!P:P, "Not found"))</f>
        <v>OPLT</v>
      </c>
      <c r="O102" s="116">
        <f t="shared" si="14"/>
        <v>0</v>
      </c>
      <c r="P102" s="115">
        <f>IF(M102="","",_xlfn.LET(
  _xlpm.pos, MATCH(M102,'Scrum Teams'!$B$2:$B$1006,0),
  _xlpm.val, INDEX('Scrum Teams'!$E$2:$E$1006,_xlpm.pos),
  IF(ISBLANK(INDEX('Scrum Teams'!$E$2:$E$1006,_xlpm.pos)),"",_xlpm.val)
))</f>
        <v>0</v>
      </c>
      <c r="Q102" s="217">
        <f t="shared" si="15"/>
        <v>0</v>
      </c>
      <c r="R102" s="117" t="str">
        <f>IF(M102="","",IF(L102="", "Missing component", _xlfn.XLOOKUP(L102, Lookup!A:A, Lookup!D:D, "NA")))</f>
        <v>Keith Wiseman</v>
      </c>
    </row>
    <row r="103" spans="7:24">
      <c r="G103"/>
      <c r="H103"/>
      <c r="I103"/>
      <c r="J103"/>
      <c r="K103" s="196" t="str" cm="1">
        <f t="array" ref="K103">IF(G103="","",_xlfn.LET(
  _xlpm.comp, TRIM(CLEAN(G103)),
  _xlpm.expected, J103,
  _xlpm.actual, SUMPRODUCT(--(TRIM(CLEAN($L$2:$L$140))=_xlpm.comp), $Q$2:$Q$140),
  IF(_xlpm.actual=_xlpm.expected, "No", "Mismatch by " &amp; (_xlpm.actual-_xlpm.expected))
))</f>
        <v/>
      </c>
      <c r="L103" s="68" t="str">
        <f>IF(M103="", "", _xlfn.XLOOKUP(M103,'Scrum Teams'!B:B,'Scrum Teams'!A:A,""))</f>
        <v>OnboardingPlatforms</v>
      </c>
      <c r="M103" s="74" t="str" cm="1">
        <f t="array" ref="M103">IFERROR(INDEX(_xlfn.SORTBY(_xlfn.UNIQUE(_xlfn._xlws.FILTER('Scrum Teams'!$B$2:$B$1006,'Scrum Teams'!$B$2:$B$1006&lt;&gt;"")),_xlfn.XLOOKUP(_xlfn.UNIQUE(_xlfn._xlws.FILTER('Scrum Teams'!$B$2:$B$1006,'Scrum Teams'!$B$2:$B$1006&lt;&gt;"")),'Scrum Teams'!$B:$B,'Scrum Teams'!$A:$A,"")),ROW()-1),"")</f>
        <v>Launch_Center</v>
      </c>
      <c r="N103" s="115" t="str">
        <f>IF(L103="", "", _xlfn.XLOOKUP(L103, 'Component Masterlist v2'!A:A, 'Component Masterlist v2'!P:P, "Not found"))</f>
        <v>OPLT</v>
      </c>
      <c r="O103" s="116">
        <f t="shared" si="14"/>
        <v>0</v>
      </c>
      <c r="P103" s="115">
        <f>IF(M103="","",_xlfn.LET(
  _xlpm.pos, MATCH(M103,'Scrum Teams'!$B$2:$B$1006,0),
  _xlpm.val, INDEX('Scrum Teams'!$E$2:$E$1006,_xlpm.pos),
  IF(ISBLANK(INDEX('Scrum Teams'!$E$2:$E$1006,_xlpm.pos)),"",_xlpm.val)
))</f>
        <v>0</v>
      </c>
      <c r="Q103" s="217">
        <f t="shared" si="15"/>
        <v>0</v>
      </c>
      <c r="R103" s="117" t="str">
        <f>IF(M103="","",IF(L103="", "Missing component", _xlfn.XLOOKUP(L103, Lookup!A:A, Lookup!D:D, "NA")))</f>
        <v>Keith Wiseman</v>
      </c>
    </row>
    <row r="104" spans="7:24">
      <c r="G104"/>
      <c r="H104"/>
      <c r="I104"/>
      <c r="J104"/>
      <c r="K104" s="196" t="str" cm="1">
        <f t="array" ref="K104">IF(G104="","",_xlfn.LET(
  _xlpm.comp, TRIM(CLEAN(G104)),
  _xlpm.expected, J104,
  _xlpm.actual, SUMPRODUCT(--(TRIM(CLEAN($L$2:$L$140))=_xlpm.comp), $Q$2:$Q$140),
  IF(_xlpm.actual=_xlpm.expected, "No", "Mismatch by " &amp; (_xlpm.actual-_xlpm.expected))
))</f>
        <v/>
      </c>
      <c r="L104" s="68" t="str">
        <f>IF(M104="", "", _xlfn.XLOOKUP(M104,'Scrum Teams'!B:B,'Scrum Teams'!A:A,""))</f>
        <v>OnboardingPlatforms</v>
      </c>
      <c r="M104" s="74" t="str" cm="1">
        <f t="array" ref="M104">IFERROR(INDEX(_xlfn.SORTBY(_xlfn.UNIQUE(_xlfn._xlws.FILTER('Scrum Teams'!$B$2:$B$1006,'Scrum Teams'!$B$2:$B$1006&lt;&gt;"")),_xlfn.XLOOKUP(_xlfn.UNIQUE(_xlfn._xlws.FILTER('Scrum Teams'!$B$2:$B$1006,'Scrum Teams'!$B$2:$B$1006&lt;&gt;"")),'Scrum Teams'!$B:$B,'Scrum Teams'!$A:$A,"")),ROW()-1),"")</f>
        <v>MAutomation</v>
      </c>
      <c r="N104" s="115" t="str">
        <f>IF(L104="", "", _xlfn.XLOOKUP(L104, 'Component Masterlist v2'!A:A, 'Component Masterlist v2'!P:P, "Not found"))</f>
        <v>OPLT</v>
      </c>
      <c r="O104" s="116">
        <f t="shared" si="14"/>
        <v>0</v>
      </c>
      <c r="P104" s="115">
        <f>IF(M104="","",_xlfn.LET(
  _xlpm.pos, MATCH(M104,'Scrum Teams'!$B$2:$B$1006,0),
  _xlpm.val, INDEX('Scrum Teams'!$E$2:$E$1006,_xlpm.pos),
  IF(ISBLANK(INDEX('Scrum Teams'!$E$2:$E$1006,_xlpm.pos)),"",_xlpm.val)
))</f>
        <v>0</v>
      </c>
      <c r="Q104" s="217">
        <f t="shared" si="15"/>
        <v>0</v>
      </c>
      <c r="R104" s="117" t="str">
        <f>IF(M104="","",IF(L104="", "Missing component", _xlfn.XLOOKUP(L104, Lookup!A:A, Lookup!D:D, "NA")))</f>
        <v>Keith Wiseman</v>
      </c>
    </row>
    <row r="105" spans="7:24">
      <c r="G105"/>
      <c r="H105"/>
      <c r="I105"/>
      <c r="J105"/>
      <c r="K105" s="196" t="str" cm="1">
        <f t="array" ref="K105">IF(G105="","",_xlfn.LET(
  _xlpm.comp, TRIM(CLEAN(G105)),
  _xlpm.expected, J105,
  _xlpm.actual, SUMPRODUCT(--(TRIM(CLEAN($L$2:$L$140))=_xlpm.comp), $Q$2:$Q$140),
  IF(_xlpm.actual=_xlpm.expected, "No", "Mismatch by " &amp; (_xlpm.actual-_xlpm.expected))
))</f>
        <v/>
      </c>
      <c r="L105" s="68" t="str">
        <f>IF(M105="", "", _xlfn.XLOOKUP(M105,'Scrum Teams'!B:B,'Scrum Teams'!A:A,""))</f>
        <v>OnboardingPlatforms</v>
      </c>
      <c r="M105" s="74" t="str" cm="1">
        <f t="array" ref="M105">IFERROR(INDEX(_xlfn.SORTBY(_xlfn.UNIQUE(_xlfn._xlws.FILTER('Scrum Teams'!$B$2:$B$1006,'Scrum Teams'!$B$2:$B$1006&lt;&gt;"")),_xlfn.XLOOKUP(_xlfn.UNIQUE(_xlfn._xlws.FILTER('Scrum Teams'!$B$2:$B$1006,'Scrum Teams'!$B$2:$B$1006&lt;&gt;"")),'Scrum Teams'!$B:$B,'Scrum Teams'!$A:$A,"")),ROW()-1),"")</f>
        <v>PLG</v>
      </c>
      <c r="N105" s="115" t="str">
        <f>IF(L105="", "", _xlfn.XLOOKUP(L105, 'Component Masterlist v2'!A:A, 'Component Masterlist v2'!P:P, "Not found"))</f>
        <v>OPLT</v>
      </c>
      <c r="O105" s="116">
        <f t="shared" si="14"/>
        <v>88</v>
      </c>
      <c r="P105" s="115">
        <f>IF(M105="","",_xlfn.LET(
  _xlpm.pos, MATCH(M105,'Scrum Teams'!$B$2:$B$1006,0),
  _xlpm.val, INDEX('Scrum Teams'!$E$2:$E$1006,_xlpm.pos),
  IF(ISBLANK(INDEX('Scrum Teams'!$E$2:$E$1006,_xlpm.pos)),"",_xlpm.val)
))</f>
        <v>176</v>
      </c>
      <c r="Q105" s="217">
        <f t="shared" si="15"/>
        <v>176</v>
      </c>
      <c r="R105" s="117" t="str">
        <f>IF(M105="","",IF(L105="", "Missing component", _xlfn.XLOOKUP(L105, Lookup!A:A, Lookup!D:D, "NA")))</f>
        <v>Keith Wiseman</v>
      </c>
    </row>
    <row r="106" spans="7:24">
      <c r="G106"/>
      <c r="H106"/>
      <c r="I106"/>
      <c r="J106"/>
      <c r="K106" s="196" t="str" cm="1">
        <f t="array" ref="K106">IF(G106="","",_xlfn.LET(
  _xlpm.comp, TRIM(CLEAN(G106)),
  _xlpm.expected, J106,
  _xlpm.actual, SUMPRODUCT(--(TRIM(CLEAN($L$2:$L$140))=_xlpm.comp), $Q$2:$Q$140),
  IF(_xlpm.actual=_xlpm.expected, "No", "Mismatch by " &amp; (_xlpm.actual-_xlpm.expected))
))</f>
        <v/>
      </c>
      <c r="L106" s="68" t="str">
        <f>IF(M106="", "", _xlfn.XLOOKUP(M106,'Scrum Teams'!B:B,'Scrum Teams'!A:A,""))</f>
        <v>OnboardingPlatforms</v>
      </c>
      <c r="M106" s="74" t="str" cm="1">
        <f t="array" ref="M106">IFERROR(INDEX(_xlfn.SORTBY(_xlfn.UNIQUE(_xlfn._xlws.FILTER('Scrum Teams'!$B$2:$B$1006,'Scrum Teams'!$B$2:$B$1006&lt;&gt;"")),_xlfn.XLOOKUP(_xlfn.UNIQUE(_xlfn._xlws.FILTER('Scrum Teams'!$B$2:$B$1006,'Scrum Teams'!$B$2:$B$1006&lt;&gt;"")),'Scrum Teams'!$B:$B,'Scrum Teams'!$A:$A,"")),ROW()-1),"")</f>
        <v>Schema_Curator</v>
      </c>
      <c r="N106" s="115" t="str">
        <f>IF(L106="", "", _xlfn.XLOOKUP(L106, 'Component Masterlist v2'!A:A, 'Component Masterlist v2'!P:P, "Not found"))</f>
        <v>OPLT</v>
      </c>
      <c r="O106" s="116">
        <f t="shared" si="14"/>
        <v>0</v>
      </c>
      <c r="P106" s="115">
        <f>IF(M106="","",_xlfn.LET(
  _xlpm.pos, MATCH(M106,'Scrum Teams'!$B$2:$B$1006,0),
  _xlpm.val, INDEX('Scrum Teams'!$E$2:$E$1006,_xlpm.pos),
  IF(ISBLANK(INDEX('Scrum Teams'!$E$2:$E$1006,_xlpm.pos)),"",_xlpm.val)
))</f>
        <v>0</v>
      </c>
      <c r="Q106" s="217">
        <f t="shared" si="15"/>
        <v>0</v>
      </c>
      <c r="R106" s="117" t="str">
        <f>IF(M106="","",IF(L106="", "Missing component", _xlfn.XLOOKUP(L106, Lookup!A:A, Lookup!D:D, "NA")))</f>
        <v>Keith Wiseman</v>
      </c>
    </row>
    <row r="107" spans="7:24">
      <c r="G107"/>
      <c r="H107"/>
      <c r="I107"/>
      <c r="J107"/>
      <c r="K107" s="196" t="str" cm="1">
        <f t="array" ref="K107">IF(G107="","",_xlfn.LET(
  _xlpm.comp, TRIM(CLEAN(G107)),
  _xlpm.expected, J107,
  _xlpm.actual, SUMPRODUCT(--(TRIM(CLEAN($L$2:$L$140))=_xlpm.comp), $Q$2:$Q$140),
  IF(_xlpm.actual=_xlpm.expected, "No", "Mismatch by " &amp; (_xlpm.actual-_xlpm.expected))
))</f>
        <v/>
      </c>
      <c r="L107" s="68" t="str">
        <f>IF(M107="", "", _xlfn.XLOOKUP(M107,'Scrum Teams'!B:B,'Scrum Teams'!A:A,""))</f>
        <v>OnboardingPlatforms</v>
      </c>
      <c r="M107" s="74" t="str" cm="1">
        <f t="array" ref="M107">IFERROR(INDEX(_xlfn.SORTBY(_xlfn.UNIQUE(_xlfn._xlws.FILTER('Scrum Teams'!$B$2:$B$1006,'Scrum Teams'!$B$2:$B$1006&lt;&gt;"")),_xlfn.XLOOKUP(_xlfn.UNIQUE(_xlfn._xlws.FILTER('Scrum Teams'!$B$2:$B$1006,'Scrum Teams'!$B$2:$B$1006&lt;&gt;"")),'Scrum Teams'!$B:$B,'Scrum Teams'!$A:$A,"")),ROW()-1),"")</f>
        <v>Setup_Adoption</v>
      </c>
      <c r="N107" s="115" t="str">
        <f>IF(L107="", "", _xlfn.XLOOKUP(L107, 'Component Masterlist v2'!A:A, 'Component Masterlist v2'!P:P, "Not found"))</f>
        <v>OPLT</v>
      </c>
      <c r="O107" s="116">
        <f t="shared" si="14"/>
        <v>0</v>
      </c>
      <c r="P107" s="115">
        <f>IF(M107="","",_xlfn.LET(
  _xlpm.pos, MATCH(M107,'Scrum Teams'!$B$2:$B$1006,0),
  _xlpm.val, INDEX('Scrum Teams'!$E$2:$E$1006,_xlpm.pos),
  IF(ISBLANK(INDEX('Scrum Teams'!$E$2:$E$1006,_xlpm.pos)),"",_xlpm.val)
))</f>
        <v>0</v>
      </c>
      <c r="Q107" s="217">
        <f t="shared" si="15"/>
        <v>0</v>
      </c>
      <c r="R107" s="117" t="str">
        <f>IF(M107="","",IF(L107="", "Missing component", _xlfn.XLOOKUP(L107, Lookup!A:A, Lookup!D:D, "NA")))</f>
        <v>Keith Wiseman</v>
      </c>
    </row>
    <row r="108" spans="7:24">
      <c r="G108"/>
      <c r="H108"/>
      <c r="I108"/>
      <c r="J108"/>
      <c r="K108" s="196" t="str" cm="1">
        <f t="array" ref="K108">IF(G108="","",_xlfn.LET(
  _xlpm.comp, TRIM(CLEAN(G108)),
  _xlpm.expected, J108,
  _xlpm.actual, SUMPRODUCT(--(TRIM(CLEAN($L$2:$L$140))=_xlpm.comp), $Q$2:$Q$140),
  IF(_xlpm.actual=_xlpm.expected, "No", "Mismatch by " &amp; (_xlpm.actual-_xlpm.expected))
))</f>
        <v/>
      </c>
      <c r="L108" s="68" t="str">
        <f>IF(M108="", "", _xlfn.XLOOKUP(M108,'Scrum Teams'!B:B,'Scrum Teams'!A:A,""))</f>
        <v>OnboardingPlatforms</v>
      </c>
      <c r="M108" s="74" t="str" cm="1">
        <f t="array" ref="M108">IFERROR(INDEX(_xlfn.SORTBY(_xlfn.UNIQUE(_xlfn._xlws.FILTER('Scrum Teams'!$B$2:$B$1006,'Scrum Teams'!$B$2:$B$1006&lt;&gt;"")),_xlfn.XLOOKUP(_xlfn.UNIQUE(_xlfn._xlws.FILTER('Scrum Teams'!$B$2:$B$1006,'Scrum Teams'!$B$2:$B$1006&lt;&gt;"")),'Scrum Teams'!$B:$B,'Scrum Teams'!$A:$A,"")),ROW()-1),"")</f>
        <v>Setup_Mgt</v>
      </c>
      <c r="N108" s="115" t="str">
        <f>IF(L108="", "", _xlfn.XLOOKUP(L108, 'Component Masterlist v2'!A:A, 'Component Masterlist v2'!P:P, "Not found"))</f>
        <v>OPLT</v>
      </c>
      <c r="O108" s="116">
        <f t="shared" si="14"/>
        <v>137.5</v>
      </c>
      <c r="P108" s="115">
        <f>IF(M108="","",_xlfn.LET(
  _xlpm.pos, MATCH(M108,'Scrum Teams'!$B$2:$B$1006,0),
  _xlpm.val, INDEX('Scrum Teams'!$E$2:$E$1006,_xlpm.pos),
  IF(ISBLANK(INDEX('Scrum Teams'!$E$2:$E$1006,_xlpm.pos)),"",_xlpm.val)
))</f>
        <v>275</v>
      </c>
      <c r="Q108" s="217">
        <f t="shared" si="15"/>
        <v>275</v>
      </c>
      <c r="R108" s="117" t="str">
        <f>IF(M108="","",IF(L108="", "Missing component", _xlfn.XLOOKUP(L108, Lookup!A:A, Lookup!D:D, "NA")))</f>
        <v>Keith Wiseman</v>
      </c>
      <c r="T108" s="25" t="s">
        <v>82</v>
      </c>
      <c r="U108" s="193">
        <v>241</v>
      </c>
      <c r="V108" s="193">
        <v>280</v>
      </c>
      <c r="W108" s="193">
        <v>267.5</v>
      </c>
      <c r="X108" s="193">
        <v>262.83333333333331</v>
      </c>
    </row>
    <row r="109" spans="7:24">
      <c r="G109"/>
      <c r="H109"/>
      <c r="I109"/>
      <c r="J109"/>
      <c r="K109" s="196" t="str" cm="1">
        <f t="array" ref="K109">IF(G109="","",_xlfn.LET(
  _xlpm.comp, TRIM(CLEAN(G109)),
  _xlpm.expected, J109,
  _xlpm.actual, SUMPRODUCT(--(TRIM(CLEAN($L$2:$L$140))=_xlpm.comp), $Q$2:$Q$140),
  IF(_xlpm.actual=_xlpm.expected, "No", "Mismatch by " &amp; (_xlpm.actual-_xlpm.expected))
))</f>
        <v/>
      </c>
      <c r="L109" s="68" t="str">
        <f>IF(M109="", "", _xlfn.XLOOKUP(M109,'Scrum Teams'!B:B,'Scrum Teams'!A:A,""))</f>
        <v>OnboardingPlatforms</v>
      </c>
      <c r="M109" s="74" t="str" cm="1">
        <f t="array" ref="M109">IFERROR(INDEX(_xlfn.SORTBY(_xlfn.UNIQUE(_xlfn._xlws.FILTER('Scrum Teams'!$B$2:$B$1006,'Scrum Teams'!$B$2:$B$1006&lt;&gt;"")),_xlfn.XLOOKUP(_xlfn.UNIQUE(_xlfn._xlws.FILTER('Scrum Teams'!$B$2:$B$1006,'Scrum Teams'!$B$2:$B$1006&lt;&gt;"")),'Scrum Teams'!$B:$B,'Scrum Teams'!$A:$A,"")),ROW()-1),"")</f>
        <v>TAO</v>
      </c>
      <c r="N109" s="115" t="str">
        <f>IF(L109="", "", _xlfn.XLOOKUP(L109, 'Component Masterlist v2'!A:A, 'Component Masterlist v2'!P:P, "Not found"))</f>
        <v>OPLT</v>
      </c>
      <c r="O109" s="116">
        <f t="shared" si="14"/>
        <v>11</v>
      </c>
      <c r="P109" s="115">
        <f>IF(M109="","",_xlfn.LET(
  _xlpm.pos, MATCH(M109,'Scrum Teams'!$B$2:$B$1006,0),
  _xlpm.val, INDEX('Scrum Teams'!$E$2:$E$1006,_xlpm.pos),
  IF(ISBLANK(INDEX('Scrum Teams'!$E$2:$E$1006,_xlpm.pos)),"",_xlpm.val)
))</f>
        <v>22</v>
      </c>
      <c r="Q109" s="217">
        <f t="shared" si="15"/>
        <v>22</v>
      </c>
      <c r="R109" s="117" t="str">
        <f>IF(M109="","",IF(L109="", "Missing component", _xlfn.XLOOKUP(L109, Lookup!A:A, Lookup!D:D, "NA")))</f>
        <v>Keith Wiseman</v>
      </c>
    </row>
    <row r="110" spans="7:24">
      <c r="G110"/>
      <c r="H110"/>
      <c r="I110"/>
      <c r="J110"/>
      <c r="K110" s="196" t="str" cm="1">
        <f t="array" ref="K110">IF(G110="","",_xlfn.LET(
  _xlpm.comp, TRIM(CLEAN(G110)),
  _xlpm.expected, J110,
  _xlpm.actual, SUMPRODUCT(--(TRIM(CLEAN($L$2:$L$140))=_xlpm.comp), $Q$2:$Q$140),
  IF(_xlpm.actual=_xlpm.expected, "No", "Mismatch by " &amp; (_xlpm.actual-_xlpm.expected))
))</f>
        <v/>
      </c>
      <c r="L110" s="68" t="str">
        <f>IF(M110="", "", _xlfn.XLOOKUP(M110,'Scrum Teams'!B:B,'Scrum Teams'!A:A,""))</f>
        <v>OnboardingPlatforms</v>
      </c>
      <c r="M110" s="74" t="str" cm="1">
        <f t="array" ref="M110">IFERROR(INDEX(_xlfn.SORTBY(_xlfn.UNIQUE(_xlfn._xlws.FILTER('Scrum Teams'!$B$2:$B$1006,'Scrum Teams'!$B$2:$B$1006&lt;&gt;"")),_xlfn.XLOOKUP(_xlfn.UNIQUE(_xlfn._xlws.FILTER('Scrum Teams'!$B$2:$B$1006,'Scrum Teams'!$B$2:$B$1006&lt;&gt;"")),'Scrum Teams'!$B:$B,'Scrum Teams'!$A:$A,"")),ROW()-1),"")</f>
        <v>AEC_Onboarding</v>
      </c>
      <c r="N110" s="115" t="str">
        <f>IF(L110="", "", _xlfn.XLOOKUP(L110, 'Component Masterlist v2'!A:A, 'Component Masterlist v2'!P:P, "Not found"))</f>
        <v>OPLT</v>
      </c>
      <c r="O110" s="116">
        <f t="shared" si="14"/>
        <v>44</v>
      </c>
      <c r="P110" s="115">
        <f>IF(M110="","",_xlfn.LET(
  _xlpm.pos, MATCH(M110,'Scrum Teams'!$B$2:$B$1006,0),
  _xlpm.val, INDEX('Scrum Teams'!$E$2:$E$1006,_xlpm.pos),
  IF(ISBLANK(INDEX('Scrum Teams'!$E$2:$E$1006,_xlpm.pos)),"",_xlpm.val)
))</f>
        <v>88</v>
      </c>
      <c r="Q110" s="217">
        <f t="shared" si="15"/>
        <v>88</v>
      </c>
      <c r="R110" s="117" t="str">
        <f>IF(M110="","",IF(L110="", "Missing component", _xlfn.XLOOKUP(L110, Lookup!A:A, Lookup!D:D, "NA")))</f>
        <v>Keith Wiseman</v>
      </c>
    </row>
    <row r="111" spans="7:24">
      <c r="G111"/>
      <c r="H111"/>
      <c r="I111"/>
      <c r="J111"/>
      <c r="K111" s="196" t="str" cm="1">
        <f t="array" ref="K111">IF(G111="","",_xlfn.LET(
  _xlpm.comp, TRIM(CLEAN(G111)),
  _xlpm.expected, J111,
  _xlpm.actual, SUMPRODUCT(--(TRIM(CLEAN($L$2:$L$140))=_xlpm.comp), $Q$2:$Q$140),
  IF(_xlpm.actual=_xlpm.expected, "No", "Mismatch by " &amp; (_xlpm.actual-_xlpm.expected))
))</f>
        <v/>
      </c>
      <c r="L111" s="68" t="str">
        <f>IF(M111="", "", _xlfn.XLOOKUP(M111,'Scrum Teams'!B:B,'Scrum Teams'!A:A,""))</f>
        <v>OnboardingPlatforms</v>
      </c>
      <c r="M111" s="74" t="str" cm="1">
        <f t="array" ref="M111">IFERROR(INDEX(_xlfn.SORTBY(_xlfn.UNIQUE(_xlfn._xlws.FILTER('Scrum Teams'!$B$2:$B$1006,'Scrum Teams'!$B$2:$B$1006&lt;&gt;"")),_xlfn.XLOOKUP(_xlfn.UNIQUE(_xlfn._xlws.FILTER('Scrum Teams'!$B$2:$B$1006,'Scrum Teams'!$B$2:$B$1006&lt;&gt;"")),'Scrum Teams'!$B:$B,'Scrum Teams'!$A:$A,"")),ROW()-1),"")</f>
        <v>Dataprocessing</v>
      </c>
      <c r="N111" s="115" t="str">
        <f>IF(L111="", "", _xlfn.XLOOKUP(L111, 'Component Masterlist v2'!A:A, 'Component Masterlist v2'!P:P, "Not found"))</f>
        <v>OPLT</v>
      </c>
      <c r="O111" s="116">
        <f t="shared" si="14"/>
        <v>33</v>
      </c>
      <c r="P111" s="115">
        <f>IF(M111="","",_xlfn.LET(
  _xlpm.pos, MATCH(M111,'Scrum Teams'!$B$2:$B$1006,0),
  _xlpm.val, INDEX('Scrum Teams'!$E$2:$E$1006,_xlpm.pos),
  IF(ISBLANK(INDEX('Scrum Teams'!$E$2:$E$1006,_xlpm.pos)),"",_xlpm.val)
))</f>
        <v>66</v>
      </c>
      <c r="Q111" s="217">
        <f t="shared" si="15"/>
        <v>66</v>
      </c>
      <c r="R111" s="117" t="str">
        <f>IF(M111="","",IF(L111="", "Missing component", _xlfn.XLOOKUP(L111, Lookup!A:A, Lookup!D:D, "NA")))</f>
        <v>Keith Wiseman</v>
      </c>
    </row>
    <row r="112" spans="7:24">
      <c r="G112"/>
      <c r="H112"/>
      <c r="I112"/>
      <c r="J112"/>
      <c r="K112" s="196" t="str" cm="1">
        <f t="array" ref="K112">IF(G112="","",_xlfn.LET(
  _xlpm.comp, TRIM(CLEAN(G112)),
  _xlpm.expected, J112,
  _xlpm.actual, SUMPRODUCT(--(TRIM(CLEAN($L$2:$L$140))=_xlpm.comp), $Q$2:$Q$140),
  IF(_xlpm.actual=_xlpm.expected, "No", "Mismatch by " &amp; (_xlpm.actual-_xlpm.expected))
))</f>
        <v/>
      </c>
      <c r="L112" s="68" t="str">
        <f>IF(M112="", "", _xlfn.XLOOKUP(M112,'Scrum Teams'!B:B,'Scrum Teams'!A:A,""))</f>
        <v>ORBIT</v>
      </c>
      <c r="M112" s="74" t="str" cm="1">
        <f t="array" ref="M112">IFERROR(INDEX(_xlfn.SORTBY(_xlfn.UNIQUE(_xlfn._xlws.FILTER('Scrum Teams'!$B$2:$B$1006,'Scrum Teams'!$B$2:$B$1006&lt;&gt;"")),_xlfn.XLOOKUP(_xlfn.UNIQUE(_xlfn._xlws.FILTER('Scrum Teams'!$B$2:$B$1006,'Scrum Teams'!$B$2:$B$1006&lt;&gt;"")),'Scrum Teams'!$B:$B,'Scrum Teams'!$A:$A,"")),ROW()-1),"")</f>
        <v>Orbit Platform</v>
      </c>
      <c r="N112" s="115" t="str">
        <f>IF(L112="", "", _xlfn.XLOOKUP(L112, 'Component Masterlist v2'!A:A, 'Component Masterlist v2'!P:P, "Not found"))</f>
        <v>ORBT</v>
      </c>
      <c r="O112" s="116">
        <f t="shared" si="14"/>
        <v>70</v>
      </c>
      <c r="P112" s="115">
        <f>IF(M112="","",_xlfn.LET(
  _xlpm.pos, MATCH(M112,'Scrum Teams'!$B$2:$B$1006,0),
  _xlpm.val, INDEX('Scrum Teams'!$E$2:$E$1006,_xlpm.pos),
  IF(ISBLANK(INDEX('Scrum Teams'!$E$2:$E$1006,_xlpm.pos)),"",_xlpm.val)
))</f>
        <v>140</v>
      </c>
      <c r="Q112" s="217">
        <f t="shared" si="15"/>
        <v>140</v>
      </c>
      <c r="R112" s="117" t="str">
        <f>IF(M112="","",IF(L112="", "Missing component", _xlfn.XLOOKUP(L112, Lookup!A:A, Lookup!D:D, "NA")))</f>
        <v>Raghu Edalur</v>
      </c>
    </row>
    <row r="113" spans="7:18">
      <c r="G113"/>
      <c r="H113"/>
      <c r="I113"/>
      <c r="J113"/>
      <c r="K113" s="196" t="str" cm="1">
        <f t="array" ref="K113">IF(G113="","",_xlfn.LET(
  _xlpm.comp, TRIM(CLEAN(G113)),
  _xlpm.expected, J113,
  _xlpm.actual, SUMPRODUCT(--(TRIM(CLEAN($L$2:$L$140))=_xlpm.comp), $Q$2:$Q$140),
  IF(_xlpm.actual=_xlpm.expected, "No", "Mismatch by " &amp; (_xlpm.actual-_xlpm.expected))
))</f>
        <v/>
      </c>
      <c r="L113" s="68" t="str">
        <f>IF(M113="", "", _xlfn.XLOOKUP(M113,'Scrum Teams'!B:B,'Scrum Teams'!A:A,""))</f>
        <v>ORBIT</v>
      </c>
      <c r="M113" s="74" t="str" cm="1">
        <f t="array" ref="M113">IFERROR(INDEX(_xlfn.SORTBY(_xlfn.UNIQUE(_xlfn._xlws.FILTER('Scrum Teams'!$B$2:$B$1006,'Scrum Teams'!$B$2:$B$1006&lt;&gt;"")),_xlfn.XLOOKUP(_xlfn.UNIQUE(_xlfn._xlws.FILTER('Scrum Teams'!$B$2:$B$1006,'Scrum Teams'!$B$2:$B$1006&lt;&gt;"")),'Scrum Teams'!$B:$B,'Scrum Teams'!$A:$A,"")),ROW()-1),"")</f>
        <v>Orbit Agents</v>
      </c>
      <c r="N113" s="115" t="str">
        <f>IF(L113="", "", _xlfn.XLOOKUP(L113, 'Component Masterlist v2'!A:A, 'Component Masterlist v2'!P:P, "Not found"))</f>
        <v>ORBT</v>
      </c>
      <c r="O113" s="116">
        <f t="shared" si="14"/>
        <v>15</v>
      </c>
      <c r="P113" s="115">
        <f>IF(M113="","",_xlfn.LET(
  _xlpm.pos, MATCH(M113,'Scrum Teams'!$B$2:$B$1006,0),
  _xlpm.val, INDEX('Scrum Teams'!$E$2:$E$1006,_xlpm.pos),
  IF(ISBLANK(INDEX('Scrum Teams'!$E$2:$E$1006,_xlpm.pos)),"",_xlpm.val)
))</f>
        <v>30</v>
      </c>
      <c r="Q113" s="217">
        <f t="shared" si="15"/>
        <v>30</v>
      </c>
      <c r="R113" s="117" t="str">
        <f>IF(M113="","",IF(L113="", "Missing component", _xlfn.XLOOKUP(L113, Lookup!A:A, Lookup!D:D, "NA")))</f>
        <v>Raghu Edalur</v>
      </c>
    </row>
    <row r="114" spans="7:18">
      <c r="G114"/>
      <c r="H114"/>
      <c r="I114"/>
      <c r="J114"/>
      <c r="K114" s="196" t="str" cm="1">
        <f t="array" ref="K114">IF(G114="","",_xlfn.LET(
  _xlpm.comp, TRIM(CLEAN(G114)),
  _xlpm.expected, J114,
  _xlpm.actual, SUMPRODUCT(--(TRIM(CLEAN($L$2:$L$140))=_xlpm.comp), $Q$2:$Q$140),
  IF(_xlpm.actual=_xlpm.expected, "No", "Mismatch by " &amp; (_xlpm.actual-_xlpm.expected))
))</f>
        <v/>
      </c>
      <c r="L114" s="68" t="str">
        <f>IF(M114="", "", _xlfn.XLOOKUP(M114,'Scrum Teams'!B:B,'Scrum Teams'!A:A,""))</f>
        <v>Parts</v>
      </c>
      <c r="M114" s="74" t="str" cm="1">
        <f t="array" ref="M114">IFERROR(INDEX(_xlfn.SORTBY(_xlfn.UNIQUE(_xlfn._xlws.FILTER('Scrum Teams'!$B$2:$B$1006,'Scrum Teams'!$B$2:$B$1006&lt;&gt;"")),_xlfn.XLOOKUP(_xlfn.UNIQUE(_xlfn._xlws.FILTER('Scrum Teams'!$B$2:$B$1006,'Scrum Teams'!$B$2:$B$1006&lt;&gt;"")),'Scrum Teams'!$B:$B,'Scrum Teams'!$A:$A,"")),ROW()-1),"")</f>
        <v>Data Dynamos</v>
      </c>
      <c r="N114" s="115" t="str">
        <f>IF(L114="", "", _xlfn.XLOOKUP(L114, 'Component Masterlist v2'!A:A, 'Component Masterlist v2'!P:P, "Not found"))</f>
        <v>PART</v>
      </c>
      <c r="O114" s="116">
        <f t="shared" si="14"/>
        <v>48</v>
      </c>
      <c r="P114" s="115">
        <f>IF(M114="","",_xlfn.LET(
  _xlpm.pos, MATCH(M114,'Scrum Teams'!$B$2:$B$1006,0),
  _xlpm.val, INDEX('Scrum Teams'!$E$2:$E$1006,_xlpm.pos),
  IF(ISBLANK(INDEX('Scrum Teams'!$E$2:$E$1006,_xlpm.pos)),"",_xlpm.val)
))</f>
        <v>96</v>
      </c>
      <c r="Q114" s="217">
        <f t="shared" si="15"/>
        <v>96</v>
      </c>
      <c r="R114" s="117" t="str">
        <f>IF(M114="","",IF(L114="", "Missing component", _xlfn.XLOOKUP(L114, Lookup!A:A, Lookup!D:D, "NA")))</f>
        <v>Sanyam Agrawal</v>
      </c>
    </row>
    <row r="115" spans="7:18">
      <c r="G115"/>
      <c r="H115"/>
      <c r="I115"/>
      <c r="J115"/>
      <c r="K115" s="196" t="str" cm="1">
        <f t="array" ref="K115">IF(G115="","",_xlfn.LET(
  _xlpm.comp, TRIM(CLEAN(G115)),
  _xlpm.expected, J115,
  _xlpm.actual, SUMPRODUCT(--(TRIM(CLEAN($L$2:$L$140))=_xlpm.comp), $Q$2:$Q$140),
  IF(_xlpm.actual=_xlpm.expected, "No", "Mismatch by " &amp; (_xlpm.actual-_xlpm.expected))
))</f>
        <v/>
      </c>
      <c r="L115" s="68" t="str">
        <f>IF(M115="", "", _xlfn.XLOOKUP(M115,'Scrum Teams'!B:B,'Scrum Teams'!A:A,""))</f>
        <v>Parts</v>
      </c>
      <c r="M115" s="74" t="str" cm="1">
        <f t="array" ref="M115">IFERROR(INDEX(_xlfn.SORTBY(_xlfn.UNIQUE(_xlfn._xlws.FILTER('Scrum Teams'!$B$2:$B$1006,'Scrum Teams'!$B$2:$B$1006&lt;&gt;"")),_xlfn.XLOOKUP(_xlfn.UNIQUE(_xlfn._xlws.FILTER('Scrum Teams'!$B$2:$B$1006,'Scrum Teams'!$B$2:$B$1006&lt;&gt;"")),'Scrum Teams'!$B:$B,'Scrum Teams'!$A:$A,"")),ROW()-1),"")</f>
        <v>Integrations Connectors</v>
      </c>
      <c r="N115" s="115" t="str">
        <f>IF(L115="", "", _xlfn.XLOOKUP(L115, 'Component Masterlist v2'!A:A, 'Component Masterlist v2'!P:P, "Not found"))</f>
        <v>PART</v>
      </c>
      <c r="O115" s="116">
        <f t="shared" si="14"/>
        <v>48</v>
      </c>
      <c r="P115" s="115">
        <f>IF(M115="","",_xlfn.LET(
  _xlpm.pos, MATCH(M115,'Scrum Teams'!$B$2:$B$1006,0),
  _xlpm.val, INDEX('Scrum Teams'!$E$2:$E$1006,_xlpm.pos),
  IF(ISBLANK(INDEX('Scrum Teams'!$E$2:$E$1006,_xlpm.pos)),"",_xlpm.val)
))</f>
        <v>96</v>
      </c>
      <c r="Q115" s="217">
        <f t="shared" si="15"/>
        <v>96</v>
      </c>
      <c r="R115" s="117" t="str">
        <f>IF(M115="","",IF(L115="", "Missing component", _xlfn.XLOOKUP(L115, Lookup!A:A, Lookup!D:D, "NA")))</f>
        <v>Sanyam Agrawal</v>
      </c>
    </row>
    <row r="116" spans="7:18">
      <c r="G116"/>
      <c r="H116"/>
      <c r="I116"/>
      <c r="J116"/>
      <c r="K116" s="196" t="str" cm="1">
        <f t="array" ref="K116">IF(G116="","",_xlfn.LET(
  _xlpm.comp, TRIM(CLEAN(G116)),
  _xlpm.expected, J116,
  _xlpm.actual, SUMPRODUCT(--(TRIM(CLEAN($L$2:$L$140))=_xlpm.comp), $Q$2:$Q$140),
  IF(_xlpm.actual=_xlpm.expected, "No", "Mismatch by " &amp; (_xlpm.actual-_xlpm.expected))
))</f>
        <v/>
      </c>
      <c r="L116" s="68" t="str">
        <f>IF(M116="", "", _xlfn.XLOOKUP(M116,'Scrum Teams'!B:B,'Scrum Teams'!A:A,""))</f>
        <v>Parts</v>
      </c>
      <c r="M116" s="74" t="str" cm="1">
        <f t="array" ref="M116">IFERROR(INDEX(_xlfn.SORTBY(_xlfn.UNIQUE(_xlfn._xlws.FILTER('Scrum Teams'!$B$2:$B$1006,'Scrum Teams'!$B$2:$B$1006&lt;&gt;"")),_xlfn.XLOOKUP(_xlfn.UNIQUE(_xlfn._xlws.FILTER('Scrum Teams'!$B$2:$B$1006,'Scrum Teams'!$B$2:$B$1006&lt;&gt;"")),'Scrum Teams'!$B:$B,'Scrum Teams'!$A:$A,"")),ROW()-1),"")</f>
        <v>Inventory Guardians</v>
      </c>
      <c r="N116" s="115" t="str">
        <f>IF(L116="", "", _xlfn.XLOOKUP(L116, 'Component Masterlist v2'!A:A, 'Component Masterlist v2'!P:P, "Not found"))</f>
        <v>PART</v>
      </c>
      <c r="O116" s="116">
        <f t="shared" si="14"/>
        <v>48</v>
      </c>
      <c r="P116" s="115">
        <f>IF(M116="","",_xlfn.LET(
  _xlpm.pos, MATCH(M116,'Scrum Teams'!$B$2:$B$1006,0),
  _xlpm.val, INDEX('Scrum Teams'!$E$2:$E$1006,_xlpm.pos),
  IF(ISBLANK(INDEX('Scrum Teams'!$E$2:$E$1006,_xlpm.pos)),"",_xlpm.val)
))</f>
        <v>96</v>
      </c>
      <c r="Q116" s="217">
        <f t="shared" si="15"/>
        <v>96</v>
      </c>
      <c r="R116" s="117" t="str">
        <f>IF(M116="","",IF(L116="", "Missing component", _xlfn.XLOOKUP(L116, Lookup!A:A, Lookup!D:D, "NA")))</f>
        <v>Sanyam Agrawal</v>
      </c>
    </row>
    <row r="117" spans="7:18">
      <c r="G117"/>
      <c r="H117"/>
      <c r="I117"/>
      <c r="J117"/>
      <c r="K117" s="196" t="str" cm="1">
        <f t="array" ref="K117">IF(G117="","",_xlfn.LET(
  _xlpm.comp, TRIM(CLEAN(G117)),
  _xlpm.expected, J117,
  _xlpm.actual, SUMPRODUCT(--(TRIM(CLEAN($L$2:$L$140))=_xlpm.comp), $Q$2:$Q$140),
  IF(_xlpm.actual=_xlpm.expected, "No", "Mismatch by " &amp; (_xlpm.actual-_xlpm.expected))
))</f>
        <v/>
      </c>
      <c r="L117" s="68" t="str">
        <f>IF(M117="", "", _xlfn.XLOOKUP(M117,'Scrum Teams'!B:B,'Scrum Teams'!A:A,""))</f>
        <v>Parts</v>
      </c>
      <c r="M117" s="74" t="str" cm="1">
        <f t="array" ref="M117">IFERROR(INDEX(_xlfn.SORTBY(_xlfn.UNIQUE(_xlfn._xlws.FILTER('Scrum Teams'!$B$2:$B$1006,'Scrum Teams'!$B$2:$B$1006&lt;&gt;"")),_xlfn.XLOOKUP(_xlfn.UNIQUE(_xlfn._xlws.FILTER('Scrum Teams'!$B$2:$B$1006,'Scrum Teams'!$B$2:$B$1006&lt;&gt;"")),'Scrum Teams'!$B:$B,'Scrum Teams'!$A:$A,"")),ROW()-1),"")</f>
        <v>Ordering Operators</v>
      </c>
      <c r="N117" s="115" t="str">
        <f>IF(L117="", "", _xlfn.XLOOKUP(L117, 'Component Masterlist v2'!A:A, 'Component Masterlist v2'!P:P, "Not found"))</f>
        <v>PART</v>
      </c>
      <c r="O117" s="116">
        <f t="shared" si="14"/>
        <v>48</v>
      </c>
      <c r="P117" s="115">
        <f>IF(M117="","",_xlfn.LET(
  _xlpm.pos, MATCH(M117,'Scrum Teams'!$B$2:$B$1006,0),
  _xlpm.val, INDEX('Scrum Teams'!$E$2:$E$1006,_xlpm.pos),
  IF(ISBLANK(INDEX('Scrum Teams'!$E$2:$E$1006,_xlpm.pos)),"",_xlpm.val)
))</f>
        <v>96</v>
      </c>
      <c r="Q117" s="217">
        <f t="shared" si="15"/>
        <v>96</v>
      </c>
      <c r="R117" s="117" t="str">
        <f>IF(M117="","",IF(L117="", "Missing component", _xlfn.XLOOKUP(L117, Lookup!A:A, Lookup!D:D, "NA")))</f>
        <v>Sanyam Agrawal</v>
      </c>
    </row>
    <row r="118" spans="7:18">
      <c r="G118"/>
      <c r="H118"/>
      <c r="I118"/>
      <c r="J118"/>
      <c r="K118" s="196" t="str" cm="1">
        <f t="array" ref="K118">IF(G118="","",_xlfn.LET(
  _xlpm.comp, TRIM(CLEAN(G118)),
  _xlpm.expected, J118,
  _xlpm.actual, SUMPRODUCT(--(TRIM(CLEAN($L$2:$L$140))=_xlpm.comp), $Q$2:$Q$140),
  IF(_xlpm.actual=_xlpm.expected, "No", "Mismatch by " &amp; (_xlpm.actual-_xlpm.expected))
))</f>
        <v/>
      </c>
      <c r="L118" s="68" t="str">
        <f>IF(M118="", "", _xlfn.XLOOKUP(M118,'Scrum Teams'!B:B,'Scrum Teams'!A:A,""))</f>
        <v>Parts</v>
      </c>
      <c r="M118" s="74" t="str" cm="1">
        <f t="array" ref="M118">IFERROR(INDEX(_xlfn.SORTBY(_xlfn.UNIQUE(_xlfn._xlws.FILTER('Scrum Teams'!$B$2:$B$1006,'Scrum Teams'!$B$2:$B$1006&lt;&gt;"")),_xlfn.XLOOKUP(_xlfn.UNIQUE(_xlfn._xlws.FILTER('Scrum Teams'!$B$2:$B$1006,'Scrum Teams'!$B$2:$B$1006&lt;&gt;"")),'Scrum Teams'!$B:$B,'Scrum Teams'!$A:$A,"")),ROW()-1),"")</f>
        <v>Platform Optimizers</v>
      </c>
      <c r="N118" s="115" t="str">
        <f>IF(L118="", "", _xlfn.XLOOKUP(L118, 'Component Masterlist v2'!A:A, 'Component Masterlist v2'!P:P, "Not found"))</f>
        <v>PART</v>
      </c>
      <c r="O118" s="116">
        <f t="shared" si="14"/>
        <v>48</v>
      </c>
      <c r="P118" s="115">
        <f>IF(M118="","",_xlfn.LET(
  _xlpm.pos, MATCH(M118,'Scrum Teams'!$B$2:$B$1006,0),
  _xlpm.val, INDEX('Scrum Teams'!$E$2:$E$1006,_xlpm.pos),
  IF(ISBLANK(INDEX('Scrum Teams'!$E$2:$E$1006,_xlpm.pos)),"",_xlpm.val)
))</f>
        <v>96</v>
      </c>
      <c r="Q118" s="217">
        <f t="shared" si="15"/>
        <v>96</v>
      </c>
      <c r="R118" s="117" t="str">
        <f>IF(M118="","",IF(L118="", "Missing component", _xlfn.XLOOKUP(L118, Lookup!A:A, Lookup!D:D, "NA")))</f>
        <v>Sanyam Agrawal</v>
      </c>
    </row>
    <row r="119" spans="7:18">
      <c r="G119"/>
      <c r="H119"/>
      <c r="I119"/>
      <c r="J119"/>
      <c r="K119" s="196" t="str" cm="1">
        <f t="array" ref="K119">IF(G119="","",_xlfn.LET(
  _xlpm.comp, TRIM(CLEAN(G119)),
  _xlpm.expected, J119,
  _xlpm.actual, SUMPRODUCT(--(TRIM(CLEAN($L$2:$L$140))=_xlpm.comp), $Q$2:$Q$140),
  IF(_xlpm.actual=_xlpm.expected, "No", "Mismatch by " &amp; (_xlpm.actual-_xlpm.expected))
))</f>
        <v/>
      </c>
      <c r="L119" s="68" t="str">
        <f>IF(M119="", "", _xlfn.XLOOKUP(M119,'Scrum Teams'!B:B,'Scrum Teams'!A:A,""))</f>
        <v>Parts</v>
      </c>
      <c r="M119" s="74" t="str" cm="1">
        <f t="array" ref="M119">IFERROR(INDEX(_xlfn.SORTBY(_xlfn.UNIQUE(_xlfn._xlws.FILTER('Scrum Teams'!$B$2:$B$1006,'Scrum Teams'!$B$2:$B$1006&lt;&gt;"")),_xlfn.XLOOKUP(_xlfn.UNIQUE(_xlfn._xlws.FILTER('Scrum Teams'!$B$2:$B$1006,'Scrum Teams'!$B$2:$B$1006&lt;&gt;"")),'Scrum Teams'!$B:$B,'Scrum Teams'!$A:$A,"")),ROW()-1),"")</f>
        <v>Repair Order Fulfillers</v>
      </c>
      <c r="N119" s="115" t="str">
        <f>IF(L119="", "", _xlfn.XLOOKUP(L119, 'Component Masterlist v2'!A:A, 'Component Masterlist v2'!P:P, "Not found"))</f>
        <v>PART</v>
      </c>
      <c r="O119" s="116">
        <f t="shared" si="14"/>
        <v>48</v>
      </c>
      <c r="P119" s="115">
        <f>IF(M119="","",_xlfn.LET(
  _xlpm.pos, MATCH(M119,'Scrum Teams'!$B$2:$B$1006,0),
  _xlpm.val, INDEX('Scrum Teams'!$E$2:$E$1006,_xlpm.pos),
  IF(ISBLANK(INDEX('Scrum Teams'!$E$2:$E$1006,_xlpm.pos)),"",_xlpm.val)
))</f>
        <v>96</v>
      </c>
      <c r="Q119" s="217">
        <f t="shared" si="15"/>
        <v>96</v>
      </c>
      <c r="R119" s="117" t="str">
        <f>IF(M119="","",IF(L119="", "Missing component", _xlfn.XLOOKUP(L119, Lookup!A:A, Lookup!D:D, "NA")))</f>
        <v>Sanyam Agrawal</v>
      </c>
    </row>
    <row r="120" spans="7:18">
      <c r="G120"/>
      <c r="H120"/>
      <c r="I120"/>
      <c r="J120"/>
      <c r="K120" s="196" t="str" cm="1">
        <f t="array" ref="K120">IF(G120="","",_xlfn.LET(
  _xlpm.comp, TRIM(CLEAN(G120)),
  _xlpm.expected, J120,
  _xlpm.actual, SUMPRODUCT(--(TRIM(CLEAN($L$2:$L$140))=_xlpm.comp), $Q$2:$Q$140),
  IF(_xlpm.actual=_xlpm.expected, "No", "Mismatch by " &amp; (_xlpm.actual-_xlpm.expected))
))</f>
        <v/>
      </c>
      <c r="L120" s="68" t="str">
        <f>IF(M120="", "", _xlfn.XLOOKUP(M120,'Scrum Teams'!B:B,'Scrum Teams'!A:A,""))</f>
        <v>Parts</v>
      </c>
      <c r="M120" s="74" t="str" cm="1">
        <f t="array" ref="M120">IFERROR(INDEX(_xlfn.SORTBY(_xlfn.UNIQUE(_xlfn._xlws.FILTER('Scrum Teams'!$B$2:$B$1006,'Scrum Teams'!$B$2:$B$1006&lt;&gt;"")),_xlfn.XLOOKUP(_xlfn.UNIQUE(_xlfn._xlws.FILTER('Scrum Teams'!$B$2:$B$1006,'Scrum Teams'!$B$2:$B$1006&lt;&gt;"")),'Scrum Teams'!$B:$B,'Scrum Teams'!$A:$A,"")),ROW()-1),"")</f>
        <v>Sales Order Frontiers</v>
      </c>
      <c r="N120" s="115" t="str">
        <f>IF(L120="", "", _xlfn.XLOOKUP(L120, 'Component Masterlist v2'!A:A, 'Component Masterlist v2'!P:P, "Not found"))</f>
        <v>PART</v>
      </c>
      <c r="O120" s="116">
        <f t="shared" si="14"/>
        <v>48</v>
      </c>
      <c r="P120" s="115">
        <f>IF(M120="","",_xlfn.LET(
  _xlpm.pos, MATCH(M120,'Scrum Teams'!$B$2:$B$1006,0),
  _xlpm.val, INDEX('Scrum Teams'!$E$2:$E$1006,_xlpm.pos),
  IF(ISBLANK(INDEX('Scrum Teams'!$E$2:$E$1006,_xlpm.pos)),"",_xlpm.val)
))</f>
        <v>96</v>
      </c>
      <c r="Q120" s="217">
        <f t="shared" si="15"/>
        <v>96</v>
      </c>
      <c r="R120" s="117" t="str">
        <f>IF(M120="","",IF(L120="", "Missing component", _xlfn.XLOOKUP(L120, Lookup!A:A, Lookup!D:D, "NA")))</f>
        <v>Sanyam Agrawal</v>
      </c>
    </row>
    <row r="121" spans="7:18">
      <c r="G121"/>
      <c r="H121"/>
      <c r="I121"/>
      <c r="J121"/>
      <c r="K121" s="196" t="str" cm="1">
        <f t="array" ref="K121">IF(G121="","",_xlfn.LET(
  _xlpm.comp, TRIM(CLEAN(G121)),
  _xlpm.expected, J121,
  _xlpm.actual, SUMPRODUCT(--(TRIM(CLEAN($L$2:$L$140))=_xlpm.comp), $Q$2:$Q$140),
  IF(_xlpm.actual=_xlpm.expected, "No", "Mismatch by " &amp; (_xlpm.actual-_xlpm.expected))
))</f>
        <v/>
      </c>
      <c r="L121" s="68" t="str">
        <f>IF(M121="", "", _xlfn.XLOOKUP(M121,'Scrum Teams'!B:B,'Scrum Teams'!A:A,""))</f>
        <v>Payroll</v>
      </c>
      <c r="M121" s="74" t="str" cm="1">
        <f t="array" ref="M121">IFERROR(INDEX(_xlfn.SORTBY(_xlfn.UNIQUE(_xlfn._xlws.FILTER('Scrum Teams'!$B$2:$B$1006,'Scrum Teams'!$B$2:$B$1006&lt;&gt;"")),_xlfn.XLOOKUP(_xlfn.UNIQUE(_xlfn._xlws.FILTER('Scrum Teams'!$B$2:$B$1006,'Scrum Teams'!$B$2:$B$1006&lt;&gt;"")),'Scrum Teams'!$B:$B,'Scrum Teams'!$A:$A,"")),ROW()-1),"")</f>
        <v>Earth</v>
      </c>
      <c r="N121" s="115" t="str">
        <f>IF(L121="", "", _xlfn.XLOOKUP(L121, 'Component Masterlist v2'!A:A, 'Component Masterlist v2'!P:P, "Not found"))</f>
        <v>PYRL</v>
      </c>
      <c r="O121" s="116">
        <f t="shared" si="14"/>
        <v>51</v>
      </c>
      <c r="P121" s="115">
        <f>IF(M121="","",_xlfn.LET(
  _xlpm.pos, MATCH(M121,'Scrum Teams'!$B$2:$B$1006,0),
  _xlpm.val, INDEX('Scrum Teams'!$E$2:$E$1006,_xlpm.pos),
  IF(ISBLANK(INDEX('Scrum Teams'!$E$2:$E$1006,_xlpm.pos)),"",_xlpm.val)
))</f>
        <v>102</v>
      </c>
      <c r="Q121" s="217">
        <f t="shared" si="15"/>
        <v>102</v>
      </c>
      <c r="R121" s="117" t="str">
        <f>IF(M121="","",IF(L121="", "Missing component", _xlfn.XLOOKUP(L121, Lookup!A:A, Lookup!D:D, "NA")))</f>
        <v>Sanyam Agrawal</v>
      </c>
    </row>
    <row r="122" spans="7:18">
      <c r="G122"/>
      <c r="H122"/>
      <c r="I122"/>
      <c r="J122"/>
      <c r="K122" s="196" t="str" cm="1">
        <f t="array" ref="K122">IF(G122="","",_xlfn.LET(
  _xlpm.comp, TRIM(CLEAN(G122)),
  _xlpm.expected, J122,
  _xlpm.actual, SUMPRODUCT(--(TRIM(CLEAN($L$2:$L$140))=_xlpm.comp), $Q$2:$Q$140),
  IF(_xlpm.actual=_xlpm.expected, "No", "Mismatch by " &amp; (_xlpm.actual-_xlpm.expected))
))</f>
        <v/>
      </c>
      <c r="L122" s="68" t="str">
        <f>IF(M122="", "", _xlfn.XLOOKUP(M122,'Scrum Teams'!B:B,'Scrum Teams'!A:A,""))</f>
        <v>Payroll</v>
      </c>
      <c r="M122" s="74" t="str" cm="1">
        <f t="array" ref="M122">IFERROR(INDEX(_xlfn.SORTBY(_xlfn.UNIQUE(_xlfn._xlws.FILTER('Scrum Teams'!$B$2:$B$1006,'Scrum Teams'!$B$2:$B$1006&lt;&gt;"")),_xlfn.XLOOKUP(_xlfn.UNIQUE(_xlfn._xlws.FILTER('Scrum Teams'!$B$2:$B$1006,'Scrum Teams'!$B$2:$B$1006&lt;&gt;"")),'Scrum Teams'!$B:$B,'Scrum Teams'!$A:$A,"")),ROW()-1),"")</f>
        <v>Mars</v>
      </c>
      <c r="N122" s="115" t="str">
        <f>IF(L122="", "", _xlfn.XLOOKUP(L122, 'Component Masterlist v2'!A:A, 'Component Masterlist v2'!P:P, "Not found"))</f>
        <v>PYRL</v>
      </c>
      <c r="O122" s="116">
        <f t="shared" si="14"/>
        <v>19</v>
      </c>
      <c r="P122" s="115">
        <f>IF(M122="","",_xlfn.LET(
  _xlpm.pos, MATCH(M122,'Scrum Teams'!$B$2:$B$1006,0),
  _xlpm.val, INDEX('Scrum Teams'!$E$2:$E$1006,_xlpm.pos),
  IF(ISBLANK(INDEX('Scrum Teams'!$E$2:$E$1006,_xlpm.pos)),"",_xlpm.val)
))</f>
        <v>38</v>
      </c>
      <c r="Q122" s="217">
        <f t="shared" si="15"/>
        <v>38</v>
      </c>
      <c r="R122" s="117" t="str">
        <f>IF(M122="","",IF(L122="", "Missing component", _xlfn.XLOOKUP(L122, Lookup!A:A, Lookup!D:D, "NA")))</f>
        <v>Sanyam Agrawal</v>
      </c>
    </row>
    <row r="123" spans="7:18">
      <c r="G123"/>
      <c r="H123"/>
      <c r="I123"/>
      <c r="J123"/>
      <c r="K123" s="196" t="str" cm="1">
        <f t="array" ref="K123">IF(G123="","",_xlfn.LET(
  _xlpm.comp, TRIM(CLEAN(G123)),
  _xlpm.expected, J123,
  _xlpm.actual, SUMPRODUCT(--(TRIM(CLEAN($L$2:$L$140))=_xlpm.comp), $Q$2:$Q$140),
  IF(_xlpm.actual=_xlpm.expected, "No", "Mismatch by " &amp; (_xlpm.actual-_xlpm.expected))
))</f>
        <v/>
      </c>
      <c r="L123" s="68" t="str">
        <f>IF(M123="", "", _xlfn.XLOOKUP(M123,'Scrum Teams'!B:B,'Scrum Teams'!A:A,""))</f>
        <v>PayTek</v>
      </c>
      <c r="M123" s="74" t="str" cm="1">
        <f t="array" ref="M123">IFERROR(INDEX(_xlfn.SORTBY(_xlfn.UNIQUE(_xlfn._xlws.FILTER('Scrum Teams'!$B$2:$B$1006,'Scrum Teams'!$B$2:$B$1006&lt;&gt;"")),_xlfn.XLOOKUP(_xlfn.UNIQUE(_xlfn._xlws.FILTER('Scrum Teams'!$B$2:$B$1006,'Scrum Teams'!$B$2:$B$1006&lt;&gt;"")),'Scrum Teams'!$B:$B,'Scrum Teams'!$A:$A,"")),ROW()-1),"")</f>
        <v>Gryffindor</v>
      </c>
      <c r="N123" s="115" t="str">
        <f>IF(L123="", "", _xlfn.XLOOKUP(L123, 'Component Masterlist v2'!A:A, 'Component Masterlist v2'!P:P, "Not found"))</f>
        <v>PYTK</v>
      </c>
      <c r="O123" s="116">
        <f t="shared" si="14"/>
        <v>85</v>
      </c>
      <c r="P123" s="115">
        <f>IF(M123="","",_xlfn.LET(
  _xlpm.pos, MATCH(M123,'Scrum Teams'!$B$2:$B$1006,0),
  _xlpm.val, INDEX('Scrum Teams'!$E$2:$E$1006,_xlpm.pos),
  IF(ISBLANK(INDEX('Scrum Teams'!$E$2:$E$1006,_xlpm.pos)),"",_xlpm.val)
))</f>
        <v>170</v>
      </c>
      <c r="Q123" s="217">
        <f t="shared" si="15"/>
        <v>170</v>
      </c>
      <c r="R123" s="117" t="str">
        <f>IF(M123="","",IF(L123="", "Missing component", _xlfn.XLOOKUP(L123, Lookup!A:A, Lookup!D:D, "NA")))</f>
        <v>Sanyam Agrawal</v>
      </c>
    </row>
    <row r="124" spans="7:18">
      <c r="G124"/>
      <c r="H124"/>
      <c r="I124"/>
      <c r="J124"/>
      <c r="K124" s="196" t="str" cm="1">
        <f t="array" ref="K124">IF(G124="","",_xlfn.LET(
  _xlpm.comp, TRIM(CLEAN(G124)),
  _xlpm.expected, J124,
  _xlpm.actual, SUMPRODUCT(--(TRIM(CLEAN($L$2:$L$140))=_xlpm.comp), $Q$2:$Q$140),
  IF(_xlpm.actual=_xlpm.expected, "No", "Mismatch by " &amp; (_xlpm.actual-_xlpm.expected))
))</f>
        <v/>
      </c>
      <c r="L124" s="68" t="str">
        <f>IF(M124="", "", _xlfn.XLOOKUP(M124,'Scrum Teams'!B:B,'Scrum Teams'!A:A,""))</f>
        <v>PayTek</v>
      </c>
      <c r="M124" s="74" t="str" cm="1">
        <f t="array" ref="M124">IFERROR(INDEX(_xlfn.SORTBY(_xlfn.UNIQUE(_xlfn._xlws.FILTER('Scrum Teams'!$B$2:$B$1006,'Scrum Teams'!$B$2:$B$1006&lt;&gt;"")),_xlfn.XLOOKUP(_xlfn.UNIQUE(_xlfn._xlws.FILTER('Scrum Teams'!$B$2:$B$1006,'Scrum Teams'!$B$2:$B$1006&lt;&gt;"")),'Scrum Teams'!$B:$B,'Scrum Teams'!$A:$A,"")),ROW()-1),"")</f>
        <v>Ravenclaw</v>
      </c>
      <c r="N124" s="115" t="str">
        <f>IF(L124="", "", _xlfn.XLOOKUP(L124, 'Component Masterlist v2'!A:A, 'Component Masterlist v2'!P:P, "Not found"))</f>
        <v>PYTK</v>
      </c>
      <c r="O124" s="116">
        <f t="shared" si="14"/>
        <v>85</v>
      </c>
      <c r="P124" s="115">
        <f>IF(M124="","",_xlfn.LET(
  _xlpm.pos, MATCH(M124,'Scrum Teams'!$B$2:$B$1006,0),
  _xlpm.val, INDEX('Scrum Teams'!$E$2:$E$1006,_xlpm.pos),
  IF(ISBLANK(INDEX('Scrum Teams'!$E$2:$E$1006,_xlpm.pos)),"",_xlpm.val)
))</f>
        <v>170</v>
      </c>
      <c r="Q124" s="217">
        <f t="shared" si="15"/>
        <v>170</v>
      </c>
      <c r="R124" s="117" t="str">
        <f>IF(M124="","",IF(L124="", "Missing component", _xlfn.XLOOKUP(L124, Lookup!A:A, Lookup!D:D, "NA")))</f>
        <v>Sanyam Agrawal</v>
      </c>
    </row>
    <row r="125" spans="7:18">
      <c r="G125"/>
      <c r="H125"/>
      <c r="I125"/>
      <c r="J125"/>
      <c r="K125" s="196" t="str" cm="1">
        <f t="array" ref="K125">IF(G125="","",_xlfn.LET(
  _xlpm.comp, TRIM(CLEAN(G125)),
  _xlpm.expected, J125,
  _xlpm.actual, SUMPRODUCT(--(TRIM(CLEAN($L$2:$L$140))=_xlpm.comp), $Q$2:$Q$140),
  IF(_xlpm.actual=_xlpm.expected, "No", "Mismatch by " &amp; (_xlpm.actual-_xlpm.expected))
))</f>
        <v/>
      </c>
      <c r="L125" s="68" t="str">
        <f>IF(M125="", "", _xlfn.XLOOKUP(M125,'Scrum Teams'!B:B,'Scrum Teams'!A:A,""))</f>
        <v>Retail</v>
      </c>
      <c r="M125" s="74" t="str" cm="1">
        <f t="array" ref="M125">IFERROR(INDEX(_xlfn.SORTBY(_xlfn.UNIQUE(_xlfn._xlws.FILTER('Scrum Teams'!$B$2:$B$1006,'Scrum Teams'!$B$2:$B$1006&lt;&gt;"")),_xlfn.XLOOKUP(_xlfn.UNIQUE(_xlfn._xlws.FILTER('Scrum Teams'!$B$2:$B$1006,'Scrum Teams'!$B$2:$B$1006&lt;&gt;"")),'Scrum Teams'!$B:$B,'Scrum Teams'!$A:$A,"")),ROW()-1),"")</f>
        <v>CAVIAR</v>
      </c>
      <c r="N125" s="115" t="str">
        <f>IF(L125="", "", _xlfn.XLOOKUP(L125, 'Component Masterlist v2'!A:A, 'Component Masterlist v2'!P:P, "Not found"))</f>
        <v>RETL</v>
      </c>
      <c r="O125" s="116">
        <f t="shared" si="14"/>
        <v>67.5</v>
      </c>
      <c r="P125" s="115">
        <f>IF(M125="","",_xlfn.LET(
  _xlpm.pos, MATCH(M125,'Scrum Teams'!$B$2:$B$1006,0),
  _xlpm.val, INDEX('Scrum Teams'!$E$2:$E$1006,_xlpm.pos),
  IF(ISBLANK(INDEX('Scrum Teams'!$E$2:$E$1006,_xlpm.pos)),"",_xlpm.val)
))</f>
        <v>135</v>
      </c>
      <c r="Q125" s="217">
        <f t="shared" si="15"/>
        <v>135</v>
      </c>
      <c r="R125" s="117" t="str">
        <f>IF(M125="","",IF(L125="", "Missing component", _xlfn.XLOOKUP(L125, Lookup!A:A, Lookup!D:D, "NA")))</f>
        <v>Ved Singh</v>
      </c>
    </row>
    <row r="126" spans="7:18">
      <c r="G126"/>
      <c r="H126"/>
      <c r="I126"/>
      <c r="J126"/>
      <c r="K126" s="196" t="str" cm="1">
        <f t="array" ref="K126">IF(G126="","",_xlfn.LET(
  _xlpm.comp, TRIM(CLEAN(G126)),
  _xlpm.expected, J126,
  _xlpm.actual, SUMPRODUCT(--(TRIM(CLEAN($L$2:$L$140))=_xlpm.comp), $Q$2:$Q$140),
  IF(_xlpm.actual=_xlpm.expected, "No", "Mismatch by " &amp; (_xlpm.actual-_xlpm.expected))
))</f>
        <v/>
      </c>
      <c r="L126" s="68" t="str">
        <f>IF(M126="", "", _xlfn.XLOOKUP(M126,'Scrum Teams'!B:B,'Scrum Teams'!A:A,""))</f>
        <v>Retail</v>
      </c>
      <c r="M126" s="74" t="str" cm="1">
        <f t="array" ref="M126">IFERROR(INDEX(_xlfn.SORTBY(_xlfn.UNIQUE(_xlfn._xlws.FILTER('Scrum Teams'!$B$2:$B$1006,'Scrum Teams'!$B$2:$B$1006&lt;&gt;"")),_xlfn.XLOOKUP(_xlfn.UNIQUE(_xlfn._xlws.FILTER('Scrum Teams'!$B$2:$B$1006,'Scrum Teams'!$B$2:$B$1006&lt;&gt;"")),'Scrum Teams'!$B:$B,'Scrum Teams'!$A:$A,"")),ROW()-1),"")</f>
        <v>Deals</v>
      </c>
      <c r="N126" s="115" t="str">
        <f>IF(L126="", "", _xlfn.XLOOKUP(L126, 'Component Masterlist v2'!A:A, 'Component Masterlist v2'!P:P, "Not found"))</f>
        <v>RETL</v>
      </c>
      <c r="O126" s="116">
        <f t="shared" si="14"/>
        <v>77.5</v>
      </c>
      <c r="P126" s="115">
        <f>IF(M126="","",_xlfn.LET(
  _xlpm.pos, MATCH(M126,'Scrum Teams'!$B$2:$B$1006,0),
  _xlpm.val, INDEX('Scrum Teams'!$E$2:$E$1006,_xlpm.pos),
  IF(ISBLANK(INDEX('Scrum Teams'!$E$2:$E$1006,_xlpm.pos)),"",_xlpm.val)
))</f>
        <v>155</v>
      </c>
      <c r="Q126" s="217">
        <f t="shared" si="15"/>
        <v>155</v>
      </c>
      <c r="R126" s="117" t="str">
        <f>IF(M126="","",IF(L126="", "Missing component", _xlfn.XLOOKUP(L126, Lookup!A:A, Lookup!D:D, "NA")))</f>
        <v>Ved Singh</v>
      </c>
    </row>
    <row r="127" spans="7:18">
      <c r="G127"/>
      <c r="H127"/>
      <c r="I127"/>
      <c r="J127"/>
      <c r="K127" s="196" t="str" cm="1">
        <f t="array" ref="K127">IF(G127="","",_xlfn.LET(
  _xlpm.comp, TRIM(CLEAN(G127)),
  _xlpm.expected, J127,
  _xlpm.actual, SUMPRODUCT(--(TRIM(CLEAN($L$2:$L$140))=_xlpm.comp), $Q$2:$Q$140),
  IF(_xlpm.actual=_xlpm.expected, "No", "Mismatch by " &amp; (_xlpm.actual-_xlpm.expected))
))</f>
        <v/>
      </c>
      <c r="L127" s="68" t="str">
        <f>IF(M127="", "", _xlfn.XLOOKUP(M127,'Scrum Teams'!B:B,'Scrum Teams'!A:A,""))</f>
        <v>Retail</v>
      </c>
      <c r="M127" s="74" t="str" cm="1">
        <f t="array" ref="M127">IFERROR(INDEX(_xlfn.SORTBY(_xlfn.UNIQUE(_xlfn._xlws.FILTER('Scrum Teams'!$B$2:$B$1006,'Scrum Teams'!$B$2:$B$1006&lt;&gt;"")),_xlfn.XLOOKUP(_xlfn.UNIQUE(_xlfn._xlws.FILTER('Scrum Teams'!$B$2:$B$1006,'Scrum Teams'!$B$2:$B$1006&lt;&gt;"")),'Scrum Teams'!$B:$B,'Scrum Teams'!$A:$A,"")),ROW()-1),"")</f>
        <v>Desking</v>
      </c>
      <c r="N127" s="115" t="str">
        <f>IF(L127="", "", _xlfn.XLOOKUP(L127, 'Component Masterlist v2'!A:A, 'Component Masterlist v2'!P:P, "Not found"))</f>
        <v>RETL</v>
      </c>
      <c r="O127" s="116">
        <f t="shared" si="14"/>
        <v>87.5</v>
      </c>
      <c r="P127" s="115">
        <f>IF(M127="","",_xlfn.LET(
  _xlpm.pos, MATCH(M127,'Scrum Teams'!$B$2:$B$1006,0),
  _xlpm.val, INDEX('Scrum Teams'!$E$2:$E$1006,_xlpm.pos),
  IF(ISBLANK(INDEX('Scrum Teams'!$E$2:$E$1006,_xlpm.pos)),"",_xlpm.val)
))</f>
        <v>175</v>
      </c>
      <c r="Q127" s="217">
        <f t="shared" si="15"/>
        <v>175</v>
      </c>
      <c r="R127" s="117" t="str">
        <f>IF(M127="","",IF(L127="", "Missing component", _xlfn.XLOOKUP(L127, Lookup!A:A, Lookup!D:D, "NA")))</f>
        <v>Ved Singh</v>
      </c>
    </row>
    <row r="128" spans="7:18">
      <c r="G128"/>
      <c r="H128"/>
      <c r="I128"/>
      <c r="J128"/>
      <c r="K128" s="196" t="str" cm="1">
        <f t="array" ref="K128">IF(G128="","",_xlfn.LET(
  _xlpm.comp, TRIM(CLEAN(G128)),
  _xlpm.expected, J128,
  _xlpm.actual, SUMPRODUCT(--(TRIM(CLEAN($L$2:$L$140))=_xlpm.comp), $Q$2:$Q$140),
  IF(_xlpm.actual=_xlpm.expected, "No", "Mismatch by " &amp; (_xlpm.actual-_xlpm.expected))
))</f>
        <v/>
      </c>
      <c r="L128" s="68" t="str">
        <f>IF(M128="", "", _xlfn.XLOOKUP(M128,'Scrum Teams'!B:B,'Scrum Teams'!A:A,""))</f>
        <v>Retail</v>
      </c>
      <c r="M128" s="74" t="str" cm="1">
        <f t="array" ref="M128">IFERROR(INDEX(_xlfn.SORTBY(_xlfn.UNIQUE(_xlfn._xlws.FILTER('Scrum Teams'!$B$2:$B$1006,'Scrum Teams'!$B$2:$B$1006&lt;&gt;"")),_xlfn.XLOOKUP(_xlfn.UNIQUE(_xlfn._xlws.FILTER('Scrum Teams'!$B$2:$B$1006,'Scrum Teams'!$B$2:$B$1006&lt;&gt;"")),'Scrum Teams'!$B:$B,'Scrum Teams'!$A:$A,"")),ROW()-1),"")</f>
        <v>IMS</v>
      </c>
      <c r="N128" s="115" t="str">
        <f>IF(L128="", "", _xlfn.XLOOKUP(L128, 'Component Masterlist v2'!A:A, 'Component Masterlist v2'!P:P, "Not found"))</f>
        <v>RETL</v>
      </c>
      <c r="O128" s="116">
        <f t="shared" si="14"/>
        <v>60</v>
      </c>
      <c r="P128" s="115">
        <f>IF(M128="","",_xlfn.LET(
  _xlpm.pos, MATCH(M128,'Scrum Teams'!$B$2:$B$1006,0),
  _xlpm.val, INDEX('Scrum Teams'!$E$2:$E$1006,_xlpm.pos),
  IF(ISBLANK(INDEX('Scrum Teams'!$E$2:$E$1006,_xlpm.pos)),"",_xlpm.val)
))</f>
        <v>120</v>
      </c>
      <c r="Q128" s="217">
        <f t="shared" si="15"/>
        <v>120</v>
      </c>
      <c r="R128" s="117" t="str">
        <f>IF(M128="","",IF(L128="", "Missing component", _xlfn.XLOOKUP(L128, Lookup!A:A, Lookup!D:D, "NA")))</f>
        <v>Ved Singh</v>
      </c>
    </row>
    <row r="129" spans="1:19">
      <c r="G129"/>
      <c r="H129"/>
      <c r="I129"/>
      <c r="J129"/>
      <c r="K129" s="196" t="str" cm="1">
        <f t="array" ref="K129">IF(G129="","",_xlfn.LET(
  _xlpm.comp, TRIM(CLEAN(G129)),
  _xlpm.expected, J129,
  _xlpm.actual, SUMPRODUCT(--(TRIM(CLEAN($L$2:$L$140))=_xlpm.comp), $Q$2:$Q$140),
  IF(_xlpm.actual=_xlpm.expected, "No", "Mismatch by " &amp; (_xlpm.actual-_xlpm.expected))
))</f>
        <v/>
      </c>
      <c r="L129" s="68" t="str">
        <f>IF(M129="", "", _xlfn.XLOOKUP(M129,'Scrum Teams'!B:B,'Scrum Teams'!A:A,""))</f>
        <v>Retail</v>
      </c>
      <c r="M129" s="74" t="str" cm="1">
        <f t="array" ref="M129">IFERROR(INDEX(_xlfn.SORTBY(_xlfn.UNIQUE(_xlfn._xlws.FILTER('Scrum Teams'!$B$2:$B$1006,'Scrum Teams'!$B$2:$B$1006&lt;&gt;"")),_xlfn.XLOOKUP(_xlfn.UNIQUE(_xlfn._xlws.FILTER('Scrum Teams'!$B$2:$B$1006,'Scrum Teams'!$B$2:$B$1006&lt;&gt;"")),'Scrum Teams'!$B:$B,'Scrum Teams'!$A:$A,"")),ROW()-1),"")</f>
        <v xml:space="preserve">Pricing </v>
      </c>
      <c r="N129" s="115" t="str">
        <f>IF(L129="", "", _xlfn.XLOOKUP(L129, 'Component Masterlist v2'!A:A, 'Component Masterlist v2'!P:P, "Not found"))</f>
        <v>RETL</v>
      </c>
      <c r="O129" s="116">
        <f t="shared" si="14"/>
        <v>115</v>
      </c>
      <c r="P129" s="115">
        <f>IF(M129="","",_xlfn.LET(
  _xlpm.pos, MATCH(M129,'Scrum Teams'!$B$2:$B$1006,0),
  _xlpm.val, INDEX('Scrum Teams'!$E$2:$E$1006,_xlpm.pos),
  IF(ISBLANK(INDEX('Scrum Teams'!$E$2:$E$1006,_xlpm.pos)),"",_xlpm.val)
))</f>
        <v>230</v>
      </c>
      <c r="Q129" s="217">
        <f t="shared" si="15"/>
        <v>230</v>
      </c>
      <c r="R129" s="117" t="str">
        <f>IF(M129="","",IF(L129="", "Missing component", _xlfn.XLOOKUP(L129, Lookup!A:A, Lookup!D:D, "NA")))</f>
        <v>Ved Singh</v>
      </c>
    </row>
    <row r="130" spans="1:19">
      <c r="G130"/>
      <c r="H130"/>
      <c r="I130"/>
      <c r="J130"/>
      <c r="K130" s="196" t="str" cm="1">
        <f t="array" ref="K130">IF(G130="","",_xlfn.LET(
  _xlpm.comp, TRIM(CLEAN(G130)),
  _xlpm.expected, J130,
  _xlpm.actual, SUMPRODUCT(--(TRIM(CLEAN($L$2:$L$140))=_xlpm.comp), $Q$2:$Q$140),
  IF(_xlpm.actual=_xlpm.expected, "No", "Mismatch by " &amp; (_xlpm.actual-_xlpm.expected))
))</f>
        <v/>
      </c>
      <c r="L130" s="68" t="str">
        <f>IF(M130="", "", _xlfn.XLOOKUP(M130,'Scrum Teams'!B:B,'Scrum Teams'!A:A,""))</f>
        <v>Retail</v>
      </c>
      <c r="M130" s="74" t="str" cm="1">
        <f t="array" ref="M130">IFERROR(INDEX(_xlfn.SORTBY(_xlfn.UNIQUE(_xlfn._xlws.FILTER('Scrum Teams'!$B$2:$B$1006,'Scrum Teams'!$B$2:$B$1006&lt;&gt;"")),_xlfn.XLOOKUP(_xlfn.UNIQUE(_xlfn._xlws.FILTER('Scrum Teams'!$B$2:$B$1006,'Scrum Teams'!$B$2:$B$1006&lt;&gt;"")),'Scrum Teams'!$B:$B,'Scrum Teams'!$A:$A,"")),ROW()-1),"")</f>
        <v>VI</v>
      </c>
      <c r="N130" s="115" t="str">
        <f>IF(L130="", "", _xlfn.XLOOKUP(L130, 'Component Masterlist v2'!A:A, 'Component Masterlist v2'!P:P, "Not found"))</f>
        <v>RETL</v>
      </c>
      <c r="O130" s="116">
        <f t="shared" ref="O130:O138" si="16">IF(P130="", "", P130/2)</f>
        <v>97.5</v>
      </c>
      <c r="P130" s="115">
        <f>IF(M130="","",_xlfn.LET(
  _xlpm.pos, MATCH(M130,'Scrum Teams'!$B$2:$B$1006,0),
  _xlpm.val, INDEX('Scrum Teams'!$E$2:$E$1006,_xlpm.pos),
  IF(ISBLANK(INDEX('Scrum Teams'!$E$2:$E$1006,_xlpm.pos)),"",_xlpm.val)
))</f>
        <v>195</v>
      </c>
      <c r="Q130" s="217">
        <f t="shared" si="15"/>
        <v>195</v>
      </c>
      <c r="R130" s="117" t="str">
        <f>IF(M130="","",IF(L130="", "Missing component", _xlfn.XLOOKUP(L130, Lookup!A:A, Lookup!D:D, "NA")))</f>
        <v>Ved Singh</v>
      </c>
    </row>
    <row r="131" spans="1:19">
      <c r="G131"/>
      <c r="H131"/>
      <c r="I131"/>
      <c r="J131"/>
      <c r="K131" s="196" t="str" cm="1">
        <f t="array" ref="K131">IF(G131="","",_xlfn.LET(
  _xlpm.comp, TRIM(CLEAN(G131)),
  _xlpm.expected, J131,
  _xlpm.actual, SUMPRODUCT(--(TRIM(CLEAN($L$2:$L$140))=_xlpm.comp), $Q$2:$Q$140),
  IF(_xlpm.actual=_xlpm.expected, "No", "Mismatch by " &amp; (_xlpm.actual-_xlpm.expected))
))</f>
        <v/>
      </c>
      <c r="L131" s="68" t="str">
        <f>IF(M131="", "", _xlfn.XLOOKUP(M131,'Scrum Teams'!B:B,'Scrum Teams'!A:A,""))</f>
        <v>Service</v>
      </c>
      <c r="M131" s="74" t="str" cm="1">
        <f t="array" ref="M131">IFERROR(INDEX(_xlfn.SORTBY(_xlfn.UNIQUE(_xlfn._xlws.FILTER('Scrum Teams'!$B$2:$B$1006,'Scrum Teams'!$B$2:$B$1006&lt;&gt;"")),_xlfn.XLOOKUP(_xlfn.UNIQUE(_xlfn._xlws.FILTER('Scrum Teams'!$B$2:$B$1006,'Scrum Teams'!$B$2:$B$1006&lt;&gt;"")),'Scrum Teams'!$B:$B,'Scrum Teams'!$A:$A,"")),ROW()-1),"")</f>
        <v>Consumer</v>
      </c>
      <c r="N131" s="115" t="str">
        <f>IF(L131="", "", _xlfn.XLOOKUP(L131, 'Component Masterlist v2'!A:A, 'Component Masterlist v2'!P:P, "Not found"))</f>
        <v>SERV</v>
      </c>
      <c r="O131" s="116">
        <f t="shared" si="16"/>
        <v>45</v>
      </c>
      <c r="P131" s="115">
        <f>IF(M131="","",_xlfn.LET(
  _xlpm.pos, MATCH(M131,'Scrum Teams'!$B$2:$B$1006,0),
  _xlpm.val, INDEX('Scrum Teams'!$E$2:$E$1006,_xlpm.pos),
  IF(ISBLANK(INDEX('Scrum Teams'!$E$2:$E$1006,_xlpm.pos)),"",_xlpm.val)
))</f>
        <v>90</v>
      </c>
      <c r="Q131" s="217">
        <f t="shared" ref="Q131:Q138" si="17">IF(L131="","",IF(P131&lt;&gt;"", P131, 90))</f>
        <v>90</v>
      </c>
      <c r="R131" s="117" t="str">
        <f>IF(M131="","",IF(L131="", "Missing component", _xlfn.XLOOKUP(L131, Lookup!A:A, Lookup!D:D, "NA")))</f>
        <v>Sanyam Agrawal</v>
      </c>
    </row>
    <row r="132" spans="1:19">
      <c r="G132"/>
      <c r="H132"/>
      <c r="I132"/>
      <c r="J132"/>
      <c r="K132" s="196" t="str" cm="1">
        <f t="array" ref="K132">IF(G132="","",_xlfn.LET(
  _xlpm.comp, TRIM(CLEAN(G132)),
  _xlpm.expected, J132,
  _xlpm.actual, SUMPRODUCT(--(TRIM(CLEAN($L$2:$L$140))=_xlpm.comp), $Q$2:$Q$140),
  IF(_xlpm.actual=_xlpm.expected, "No", "Mismatch by " &amp; (_xlpm.actual-_xlpm.expected))
))</f>
        <v/>
      </c>
      <c r="L132" s="68" t="str">
        <f>IF(M132="", "", _xlfn.XLOOKUP(M132,'Scrum Teams'!B:B,'Scrum Teams'!A:A,""))</f>
        <v>Service</v>
      </c>
      <c r="M132" s="74" t="str" cm="1">
        <f t="array" ref="M132">IFERROR(INDEX(_xlfn.SORTBY(_xlfn.UNIQUE(_xlfn._xlws.FILTER('Scrum Teams'!$B$2:$B$1006,'Scrum Teams'!$B$2:$B$1006&lt;&gt;"")),_xlfn.XLOOKUP(_xlfn.UNIQUE(_xlfn._xlws.FILTER('Scrum Teams'!$B$2:$B$1006,'Scrum Teams'!$B$2:$B$1006&lt;&gt;"")),'Scrum Teams'!$B:$B,'Scrum Teams'!$A:$A,"")),ROW()-1),"")</f>
        <v>Dealer-Apps</v>
      </c>
      <c r="N132" s="115" t="str">
        <f>IF(L132="", "", _xlfn.XLOOKUP(L132, 'Component Masterlist v2'!A:A, 'Component Masterlist v2'!P:P, "Not found"))</f>
        <v>SERV</v>
      </c>
      <c r="O132" s="116">
        <f t="shared" si="16"/>
        <v>30</v>
      </c>
      <c r="P132" s="115">
        <f>IF(M132="","",_xlfn.LET(
  _xlpm.pos, MATCH(M132,'Scrum Teams'!$B$2:$B$1006,0),
  _xlpm.val, INDEX('Scrum Teams'!$E$2:$E$1006,_xlpm.pos),
  IF(ISBLANK(INDEX('Scrum Teams'!$E$2:$E$1006,_xlpm.pos)),"",_xlpm.val)
))</f>
        <v>60</v>
      </c>
      <c r="Q132" s="217">
        <f t="shared" si="17"/>
        <v>60</v>
      </c>
      <c r="R132" s="117" t="str">
        <f>IF(M132="","",IF(L132="", "Missing component", _xlfn.XLOOKUP(L132, Lookup!A:A, Lookup!D:D, "NA")))</f>
        <v>Sanyam Agrawal</v>
      </c>
    </row>
    <row r="133" spans="1:19">
      <c r="G133"/>
      <c r="H133"/>
      <c r="I133"/>
      <c r="J133"/>
      <c r="K133" s="196" t="str" cm="1">
        <f t="array" ref="K133">IF(G133="","",_xlfn.LET(
  _xlpm.comp, TRIM(CLEAN(G133)),
  _xlpm.expected, J133,
  _xlpm.actual, SUMPRODUCT(--(TRIM(CLEAN($L$2:$L$140))=_xlpm.comp), $Q$2:$Q$140),
  IF(_xlpm.actual=_xlpm.expected, "No", "Mismatch by " &amp; (_xlpm.actual-_xlpm.expected))
))</f>
        <v/>
      </c>
      <c r="L133" s="68" t="str">
        <f>IF(M133="", "", _xlfn.XLOOKUP(M133,'Scrum Teams'!B:B,'Scrum Teams'!A:A,""))</f>
        <v>Service</v>
      </c>
      <c r="M133" s="74" t="str" cm="1">
        <f t="array" ref="M133">IFERROR(INDEX(_xlfn.SORTBY(_xlfn.UNIQUE(_xlfn._xlws.FILTER('Scrum Teams'!$B$2:$B$1006,'Scrum Teams'!$B$2:$B$1006&lt;&gt;"")),_xlfn.XLOOKUP(_xlfn.UNIQUE(_xlfn._xlws.FILTER('Scrum Teams'!$B$2:$B$1006,'Scrum Teams'!$B$2:$B$1006&lt;&gt;"")),'Scrum Teams'!$B:$B,'Scrum Teams'!$A:$A,"")),ROW()-1),"")</f>
        <v>Platform</v>
      </c>
      <c r="N133" s="115" t="str">
        <f>IF(L133="", "", _xlfn.XLOOKUP(L133, 'Component Masterlist v2'!A:A, 'Component Masterlist v2'!P:P, "Not found"))</f>
        <v>SERV</v>
      </c>
      <c r="O133" s="116">
        <f t="shared" si="16"/>
        <v>135</v>
      </c>
      <c r="P133" s="115">
        <f>IF(M133="","",_xlfn.LET(
  _xlpm.pos, MATCH(M133,'Scrum Teams'!$B$2:$B$1006,0),
  _xlpm.val, INDEX('Scrum Teams'!$E$2:$E$1006,_xlpm.pos),
  IF(ISBLANK(INDEX('Scrum Teams'!$E$2:$E$1006,_xlpm.pos)),"",_xlpm.val)
))</f>
        <v>270</v>
      </c>
      <c r="Q133" s="217">
        <f t="shared" si="17"/>
        <v>270</v>
      </c>
      <c r="R133" s="117" t="str">
        <f>IF(M133="","",IF(L133="", "Missing component", _xlfn.XLOOKUP(L133, Lookup!A:A, Lookup!D:D, "NA")))</f>
        <v>Sanyam Agrawal</v>
      </c>
    </row>
    <row r="134" spans="1:19">
      <c r="G134"/>
      <c r="H134"/>
      <c r="I134"/>
      <c r="J134"/>
      <c r="K134" s="196" t="str" cm="1">
        <f t="array" ref="K134">IF(G134="","",_xlfn.LET(
  _xlpm.comp, TRIM(CLEAN(G134)),
  _xlpm.expected, J134,
  _xlpm.actual, SUMPRODUCT(--(TRIM(CLEAN($L$2:$L$140))=_xlpm.comp), $Q$2:$Q$140),
  IF(_xlpm.actual=_xlpm.expected, "No", "Mismatch by " &amp; (_xlpm.actual-_xlpm.expected))
))</f>
        <v/>
      </c>
      <c r="L134" s="68" t="str">
        <f>IF(M134="", "", _xlfn.XLOOKUP(M134,'Scrum Teams'!B:B,'Scrum Teams'!A:A,""))</f>
        <v>Service</v>
      </c>
      <c r="M134" s="74" t="str" cm="1">
        <f t="array" ref="M134">IFERROR(INDEX(_xlfn.SORTBY(_xlfn.UNIQUE(_xlfn._xlws.FILTER('Scrum Teams'!$B$2:$B$1006,'Scrum Teams'!$B$2:$B$1006&lt;&gt;"")),_xlfn.XLOOKUP(_xlfn.UNIQUE(_xlfn._xlws.FILTER('Scrum Teams'!$B$2:$B$1006,'Scrum Teams'!$B$2:$B$1006&lt;&gt;"")),'Scrum Teams'!$B:$B,'Scrum Teams'!$A:$A,"")),ROW()-1),"")</f>
        <v>RO-Core</v>
      </c>
      <c r="N134" s="115" t="str">
        <f>IF(L134="", "", _xlfn.XLOOKUP(L134, 'Component Masterlist v2'!A:A, 'Component Masterlist v2'!P:P, "Not found"))</f>
        <v>SERV</v>
      </c>
      <c r="O134" s="116">
        <f t="shared" si="16"/>
        <v>90</v>
      </c>
      <c r="P134" s="115">
        <f>IF(M134="","",_xlfn.LET(
  _xlpm.pos, MATCH(M134,'Scrum Teams'!$B$2:$B$1006,0),
  _xlpm.val, INDEX('Scrum Teams'!$E$2:$E$1006,_xlpm.pos),
  IF(ISBLANK(INDEX('Scrum Teams'!$E$2:$E$1006,_xlpm.pos)),"",_xlpm.val)
))</f>
        <v>180</v>
      </c>
      <c r="Q134" s="217">
        <f t="shared" si="17"/>
        <v>180</v>
      </c>
      <c r="R134" s="117" t="str">
        <f>IF(M134="","",IF(L134="", "Missing component", _xlfn.XLOOKUP(L134, Lookup!A:A, Lookup!D:D, "NA")))</f>
        <v>Sanyam Agrawal</v>
      </c>
    </row>
    <row r="135" spans="1:19">
      <c r="G135"/>
      <c r="H135"/>
      <c r="I135"/>
      <c r="J135"/>
      <c r="K135" s="196" t="str" cm="1">
        <f t="array" ref="K135">IF(G135="","",_xlfn.LET(
  _xlpm.comp, TRIM(CLEAN(G135)),
  _xlpm.expected, J135,
  _xlpm.actual, SUMPRODUCT(--(TRIM(CLEAN($L$2:$L$140))=_xlpm.comp), $Q$2:$Q$140),
  IF(_xlpm.actual=_xlpm.expected, "No", "Mismatch by " &amp; (_xlpm.actual-_xlpm.expected))
))</f>
        <v/>
      </c>
      <c r="L135" s="68" t="str">
        <f>IF(M135="", "", _xlfn.XLOOKUP(M135,'Scrum Teams'!B:B,'Scrum Teams'!A:A,""))</f>
        <v>Service</v>
      </c>
      <c r="M135" s="74" t="str" cm="1">
        <f t="array" ref="M135">IFERROR(INDEX(_xlfn.SORTBY(_xlfn.UNIQUE(_xlfn._xlws.FILTER('Scrum Teams'!$B$2:$B$1006,'Scrum Teams'!$B$2:$B$1006&lt;&gt;"")),_xlfn.XLOOKUP(_xlfn.UNIQUE(_xlfn._xlws.FILTER('Scrum Teams'!$B$2:$B$1006,'Scrum Teams'!$B$2:$B$1006&lt;&gt;"")),'Scrum Teams'!$B:$B,'Scrum Teams'!$A:$A,"")),ROW()-1),"")</f>
        <v>Scheduling</v>
      </c>
      <c r="N135" s="115" t="str">
        <f>IF(L135="", "", _xlfn.XLOOKUP(L135, 'Component Masterlist v2'!A:A, 'Component Masterlist v2'!P:P, "Not found"))</f>
        <v>SERV</v>
      </c>
      <c r="O135" s="116">
        <f t="shared" si="16"/>
        <v>60</v>
      </c>
      <c r="P135" s="115">
        <f>IF(M135="","",_xlfn.LET(
  _xlpm.pos, MATCH(M135,'Scrum Teams'!$B$2:$B$1006,0),
  _xlpm.val, INDEX('Scrum Teams'!$E$2:$E$1006,_xlpm.pos),
  IF(ISBLANK(INDEX('Scrum Teams'!$E$2:$E$1006,_xlpm.pos)),"",_xlpm.val)
))</f>
        <v>120</v>
      </c>
      <c r="Q135" s="217">
        <f t="shared" si="17"/>
        <v>120</v>
      </c>
      <c r="R135" s="117" t="str">
        <f>IF(M135="","",IF(L135="", "Missing component", _xlfn.XLOOKUP(L135, Lookup!A:A, Lookup!D:D, "NA")))</f>
        <v>Sanyam Agrawal</v>
      </c>
    </row>
    <row r="136" spans="1:19">
      <c r="G136"/>
      <c r="H136"/>
      <c r="I136"/>
      <c r="J136"/>
      <c r="K136" s="196" t="str" cm="1">
        <f t="array" ref="K136">IF(G136="","",_xlfn.LET(
  _xlpm.comp, TRIM(CLEAN(G136)),
  _xlpm.expected, J136,
  _xlpm.actual, SUMPRODUCT(--(TRIM(CLEAN($L$2:$L$140))=_xlpm.comp), $Q$2:$Q$140),
  IF(_xlpm.actual=_xlpm.expected, "No", "Mismatch by " &amp; (_xlpm.actual-_xlpm.expected))
))</f>
        <v/>
      </c>
      <c r="L136" s="68" t="str">
        <f>IF(M136="", "", _xlfn.XLOOKUP(M136,'Scrum Teams'!B:B,'Scrum Teams'!A:A,""))</f>
        <v>Service</v>
      </c>
      <c r="M136" s="74" t="str" cm="1">
        <f t="array" ref="M136">IFERROR(INDEX(_xlfn.SORTBY(_xlfn.UNIQUE(_xlfn._xlws.FILTER('Scrum Teams'!$B$2:$B$1006,'Scrum Teams'!$B$2:$B$1006&lt;&gt;"")),_xlfn.XLOOKUP(_xlfn.UNIQUE(_xlfn._xlws.FILTER('Scrum Teams'!$B$2:$B$1006,'Scrum Teams'!$B$2:$B$1006&lt;&gt;"")),'Scrum Teams'!$B:$B,'Scrum Teams'!$A:$A,"")),ROW()-1),"")</f>
        <v>ServiceMobile</v>
      </c>
      <c r="N136" s="115" t="str">
        <f>IF(L136="", "", _xlfn.XLOOKUP(L136, 'Component Masterlist v2'!A:A, 'Component Masterlist v2'!P:P, "Not found"))</f>
        <v>SERV</v>
      </c>
      <c r="O136" s="116">
        <f t="shared" si="16"/>
        <v>45</v>
      </c>
      <c r="P136" s="115">
        <f>IF(M136="","",_xlfn.LET(
  _xlpm.pos, MATCH(M136,'Scrum Teams'!$B$2:$B$1006,0),
  _xlpm.val, INDEX('Scrum Teams'!$E$2:$E$1006,_xlpm.pos),
  IF(ISBLANK(INDEX('Scrum Teams'!$E$2:$E$1006,_xlpm.pos)),"",_xlpm.val)
))</f>
        <v>90</v>
      </c>
      <c r="Q136" s="217">
        <f t="shared" si="17"/>
        <v>90</v>
      </c>
      <c r="R136" s="117" t="str">
        <f>IF(M136="","",IF(L136="", "Missing component", _xlfn.XLOOKUP(L136, Lookup!A:A, Lookup!D:D, "NA")))</f>
        <v>Sanyam Agrawal</v>
      </c>
    </row>
    <row r="137" spans="1:19">
      <c r="G137"/>
      <c r="H137"/>
      <c r="I137"/>
      <c r="J137"/>
      <c r="K137" s="196" t="str" cm="1">
        <f t="array" ref="K137">IF(G137="","",_xlfn.LET(
  _xlpm.comp, TRIM(CLEAN(G137)),
  _xlpm.expected, J137,
  _xlpm.actual, SUMPRODUCT(--(TRIM(CLEAN($L$2:$L$140))=_xlpm.comp), $Q$2:$Q$140),
  IF(_xlpm.actual=_xlpm.expected, "No", "Mismatch by " &amp; (_xlpm.actual-_xlpm.expected))
))</f>
        <v/>
      </c>
      <c r="L137" s="68" t="str">
        <f>IF(M137="", "", _xlfn.XLOOKUP(M137,'Scrum Teams'!B:B,'Scrum Teams'!A:A,""))</f>
        <v>SIPlatform</v>
      </c>
      <c r="M137" s="74" t="str" cm="1">
        <f t="array" ref="M137">IFERROR(INDEX(_xlfn.SORTBY(_xlfn.UNIQUE(_xlfn._xlws.FILTER('Scrum Teams'!$B$2:$B$1006,'Scrum Teams'!$B$2:$B$1006&lt;&gt;"")),_xlfn.XLOOKUP(_xlfn.UNIQUE(_xlfn._xlws.FILTER('Scrum Teams'!$B$2:$B$1006,'Scrum Teams'!$B$2:$B$1006&lt;&gt;"")),'Scrum Teams'!$B:$B,'Scrum Teams'!$A:$A,"")),ROW()-1),"")</f>
        <v>SI Platform 1</v>
      </c>
      <c r="N137" s="115" t="str">
        <f>IF(L137="", "", _xlfn.XLOOKUP(L137, 'Component Masterlist v2'!A:A, 'Component Masterlist v2'!P:P, "Not found"))</f>
        <v>SIP</v>
      </c>
      <c r="O137" s="116">
        <f t="shared" si="16"/>
        <v>43.5</v>
      </c>
      <c r="P137" s="115">
        <f>IF(M137="","",_xlfn.LET(
  _xlpm.pos, MATCH(M137,'Scrum Teams'!$B$2:$B$1006,0),
  _xlpm.val, INDEX('Scrum Teams'!$E$2:$E$1006,_xlpm.pos),
  IF(ISBLANK(INDEX('Scrum Teams'!$E$2:$E$1006,_xlpm.pos)),"",_xlpm.val)
))</f>
        <v>87</v>
      </c>
      <c r="Q137" s="217">
        <f t="shared" si="17"/>
        <v>87</v>
      </c>
      <c r="R137" s="117" t="str">
        <f>IF(M137="","",IF(L137="", "Missing component", _xlfn.XLOOKUP(L137, Lookup!A:A, Lookup!D:D, "NA")))</f>
        <v>Turker Coskun</v>
      </c>
    </row>
    <row r="138" spans="1:19">
      <c r="G138"/>
      <c r="H138"/>
      <c r="I138"/>
      <c r="J138"/>
      <c r="K138" s="196" t="str" cm="1">
        <f t="array" ref="K138">IF(G138="","",_xlfn.LET(
  _xlpm.comp, TRIM(CLEAN(G138)),
  _xlpm.expected, J138,
  _xlpm.actual, SUMPRODUCT(--(TRIM(CLEAN($L$2:$L$140))=_xlpm.comp), $Q$2:$Q$140),
  IF(_xlpm.actual=_xlpm.expected, "No", "Mismatch by " &amp; (_xlpm.actual-_xlpm.expected))
))</f>
        <v/>
      </c>
      <c r="L138" s="68" t="str">
        <f>IF(M138="", "", _xlfn.XLOOKUP(M138,'Scrum Teams'!B:B,'Scrum Teams'!A:A,""))</f>
        <v>SIPlatform</v>
      </c>
      <c r="M138" s="74" t="str" cm="1">
        <f t="array" ref="M138">IFERROR(INDEX(_xlfn.SORTBY(_xlfn.UNIQUE(_xlfn._xlws.FILTER('Scrum Teams'!$B$2:$B$1006,'Scrum Teams'!$B$2:$B$1006&lt;&gt;"")),_xlfn.XLOOKUP(_xlfn.UNIQUE(_xlfn._xlws.FILTER('Scrum Teams'!$B$2:$B$1006,'Scrum Teams'!$B$2:$B$1006&lt;&gt;"")),'Scrum Teams'!$B:$B,'Scrum Teams'!$A:$A,"")),ROW()-1),"")</f>
        <v>SI Platform 2</v>
      </c>
      <c r="N138" s="115" t="str">
        <f>IF(L138="", "", _xlfn.XLOOKUP(L138, 'Component Masterlist v2'!A:A, 'Component Masterlist v2'!P:P, "Not found"))</f>
        <v>SIP</v>
      </c>
      <c r="O138" s="116">
        <f t="shared" si="16"/>
        <v>36</v>
      </c>
      <c r="P138" s="115">
        <f>IF(M138="","",_xlfn.LET(
  _xlpm.pos, MATCH(M138,'Scrum Teams'!$B$2:$B$1006,0),
  _xlpm.val, INDEX('Scrum Teams'!$E$2:$E$1006,_xlpm.pos),
  IF(ISBLANK(INDEX('Scrum Teams'!$E$2:$E$1006,_xlpm.pos)),"",_xlpm.val)
))</f>
        <v>72</v>
      </c>
      <c r="Q138" s="217">
        <f t="shared" si="17"/>
        <v>72</v>
      </c>
      <c r="R138" s="117" t="str">
        <f>IF(M138="","",IF(L138="", "Missing component", _xlfn.XLOOKUP(L138, Lookup!A:A, Lookup!D:D, "NA")))</f>
        <v>Turker Coskun</v>
      </c>
    </row>
    <row r="139" spans="1:19">
      <c r="G139"/>
      <c r="H139"/>
      <c r="I139"/>
      <c r="J139"/>
      <c r="K139"/>
      <c r="L139" s="68" t="str">
        <f>IF(M139="", "", _xlfn.XLOOKUP(M139,'Scrum Teams'!B:B,'Scrum Teams'!A:A,""))</f>
        <v>T1Platform</v>
      </c>
      <c r="M139" s="74" t="str" cm="1">
        <f t="array" ref="M139">IFERROR(INDEX(_xlfn.SORTBY(_xlfn.UNIQUE(_xlfn._xlws.FILTER('Scrum Teams'!$B$2:$B$1006,'Scrum Teams'!$B$2:$B$1006&lt;&gt;"")),_xlfn.XLOOKUP(_xlfn.UNIQUE(_xlfn._xlws.FILTER('Scrum Teams'!$B$2:$B$1006,'Scrum Teams'!$B$2:$B$1006&lt;&gt;"")),'Scrum Teams'!$B:$B,'Scrum Teams'!$A:$A,"")),ROW()-1),"")</f>
        <v>T1 Scrum</v>
      </c>
      <c r="N139" s="115" t="str">
        <f>IF(L139="", "", _xlfn.XLOOKUP(L139, 'Component Masterlist v2'!A:A, 'Component Masterlist v2'!P:P, "Not found"))</f>
        <v>T1PL</v>
      </c>
      <c r="O139" s="116">
        <f t="shared" ref="O139:O140" si="18">IF(P139="", "", P139/2)</f>
        <v>60</v>
      </c>
      <c r="P139" s="115">
        <f>IF(M139="","",_xlfn.LET(
  _xlpm.pos, MATCH(M139,'Scrum Teams'!$B$2:$B$1006,0),
  _xlpm.val, INDEX('Scrum Teams'!$E$2:$E$1006,_xlpm.pos),
  IF(ISBLANK(INDEX('Scrum Teams'!$E$2:$E$1006,_xlpm.pos)),"",_xlpm.val)
))</f>
        <v>120</v>
      </c>
      <c r="Q139" s="217">
        <f t="shared" ref="Q139:Q140" si="19">IF(L139="","",IF(P139&lt;&gt;"", P139, 90))</f>
        <v>120</v>
      </c>
      <c r="R139" s="117" t="str">
        <f>IF(M139="","",IF(L139="", "Missing component", _xlfn.XLOOKUP(L139, Lookup!A:A, Lookup!D:D, "NA")))</f>
        <v>Raghu Edalur</v>
      </c>
      <c r="S139"/>
    </row>
    <row r="140" spans="1:19">
      <c r="A140" s="25"/>
      <c r="B140" s="25"/>
      <c r="C140" s="25"/>
      <c r="D140" s="25"/>
      <c r="E140" s="25"/>
      <c r="F140" s="25"/>
      <c r="L140" s="68" t="str">
        <f>IF(M140="", "", _xlfn.XLOOKUP(M140,'Scrum Teams'!B:B,'Scrum Teams'!A:A,""))</f>
        <v>ZEBRA</v>
      </c>
      <c r="M140" s="74" t="str" cm="1">
        <f t="array" ref="M140">IFERROR(INDEX(_xlfn.SORTBY(_xlfn.UNIQUE(_xlfn._xlws.FILTER('Scrum Teams'!$B$2:$B$1006,'Scrum Teams'!$B$2:$B$1006&lt;&gt;"")),_xlfn.XLOOKUP(_xlfn.UNIQUE(_xlfn._xlws.FILTER('Scrum Teams'!$B$2:$B$1006,'Scrum Teams'!$B$2:$B$1006&lt;&gt;"")),'Scrum Teams'!$B:$B,'Scrum Teams'!$A:$A,"")),ROW()-1),"")</f>
        <v>Zebra</v>
      </c>
      <c r="N140" s="115" t="str">
        <f>IF(L140="", "", _xlfn.XLOOKUP(L140, 'Component Masterlist v2'!A:A, 'Component Masterlist v2'!P:P, "Not found"))</f>
        <v>ZEB</v>
      </c>
      <c r="O140" s="116">
        <f t="shared" si="18"/>
        <v>77</v>
      </c>
      <c r="P140" s="115">
        <f>IF(M140="","",_xlfn.LET(
  _xlpm.pos, MATCH(M140,'Scrum Teams'!$B$2:$B$1006,0),
  _xlpm.val, INDEX('Scrum Teams'!$E$2:$E$1006,_xlpm.pos),
  IF(ISBLANK(INDEX('Scrum Teams'!$E$2:$E$1006,_xlpm.pos)),"",_xlpm.val)
))</f>
        <v>154</v>
      </c>
      <c r="Q140" s="217">
        <f t="shared" si="19"/>
        <v>154</v>
      </c>
      <c r="R140" s="117" t="str">
        <f>IF(M140="","",IF(L140="", "Missing component", _xlfn.XLOOKUP(L140, Lookup!A:A, Lookup!D:D, "NA")))</f>
        <v>Keith Wiseman</v>
      </c>
    </row>
    <row r="141" spans="1:19">
      <c r="A141" s="25"/>
      <c r="B141" s="25"/>
      <c r="C141" s="25"/>
      <c r="D141" s="25"/>
      <c r="E141" s="25"/>
      <c r="F141" s="25"/>
      <c r="L141" s="68" t="str">
        <f>IF(M141="", "", _xlfn.XLOOKUP(M141,'Scrum Teams'!B:B,'Scrum Teams'!A:A,""))</f>
        <v/>
      </c>
      <c r="M141" s="74" t="str" cm="1">
        <f t="array" ref="M141">IFERROR(INDEX(_xlfn.SORTBY(_xlfn.UNIQUE(_xlfn._xlws.FILTER('Scrum Teams'!$B$2:$B$1006,'Scrum Teams'!$B$2:$B$1006&lt;&gt;"")),_xlfn.XLOOKUP(_xlfn.UNIQUE(_xlfn._xlws.FILTER('Scrum Teams'!$B$2:$B$1006,'Scrum Teams'!$B$2:$B$1006&lt;&gt;"")),'Scrum Teams'!$B:$B,'Scrum Teams'!$A:$A,"")),ROW()-1),"")</f>
        <v/>
      </c>
      <c r="N141" s="115" t="str">
        <f>IF(L141="", "", _xlfn.XLOOKUP(L141, 'Component Masterlist v2'!A:A, 'Component Masterlist v2'!P:P, "Not found"))</f>
        <v/>
      </c>
      <c r="O141" s="116" t="str">
        <f t="shared" ref="O141:O150" si="20">IF(P141="", "", P141/2)</f>
        <v/>
      </c>
      <c r="P141" s="115" t="str">
        <f>IF(M141="","",_xlfn.LET(
  _xlpm.pos, MATCH(M141,'Scrum Teams'!$B$2:$B$1006,0),
  _xlpm.val, INDEX('Scrum Teams'!$E$2:$E$1006,_xlpm.pos),
  IF(ISBLANK(INDEX('Scrum Teams'!$E$2:$E$1006,_xlpm.pos)),"",_xlpm.val)
))</f>
        <v/>
      </c>
      <c r="Q141" s="217" t="str">
        <f t="shared" ref="Q141:Q150" si="21">IF(L141="","",IF(P141&lt;&gt;"", P141, 90))</f>
        <v/>
      </c>
      <c r="R141" s="117" t="str">
        <f>IF(M141="","",IF(L141="", "Missing component", _xlfn.XLOOKUP(L141, Lookup!A:A, Lookup!D:D, "NA")))</f>
        <v/>
      </c>
    </row>
    <row r="142" spans="1:19">
      <c r="A142" s="25"/>
      <c r="B142" s="25"/>
      <c r="C142" s="25"/>
      <c r="D142" s="25"/>
      <c r="E142" s="25"/>
      <c r="F142" s="25"/>
      <c r="L142" s="68" t="str">
        <f>IF(M142="", "", _xlfn.XLOOKUP(M142,'Scrum Teams'!B:B,'Scrum Teams'!A:A,""))</f>
        <v/>
      </c>
      <c r="M142" s="74" t="str" cm="1">
        <f t="array" ref="M142">IFERROR(INDEX(_xlfn.SORTBY(_xlfn.UNIQUE(_xlfn._xlws.FILTER('Scrum Teams'!$B$2:$B$1006,'Scrum Teams'!$B$2:$B$1006&lt;&gt;"")),_xlfn.XLOOKUP(_xlfn.UNIQUE(_xlfn._xlws.FILTER('Scrum Teams'!$B$2:$B$1006,'Scrum Teams'!$B$2:$B$1006&lt;&gt;"")),'Scrum Teams'!$B:$B,'Scrum Teams'!$A:$A,"")),ROW()-1),"")</f>
        <v/>
      </c>
      <c r="N142" s="115" t="str">
        <f>IF(L142="", "", _xlfn.XLOOKUP(L142, 'Component Masterlist v2'!A:A, 'Component Masterlist v2'!P:P, "Not found"))</f>
        <v/>
      </c>
      <c r="O142" s="116" t="str">
        <f t="shared" si="20"/>
        <v/>
      </c>
      <c r="P142" s="115" t="str">
        <f>IF(M142="","",_xlfn.LET(
  _xlpm.pos, MATCH(M142,'Scrum Teams'!$B$2:$B$1006,0),
  _xlpm.val, INDEX('Scrum Teams'!$E$2:$E$1006,_xlpm.pos),
  IF(ISBLANK(INDEX('Scrum Teams'!$E$2:$E$1006,_xlpm.pos)),"",_xlpm.val)
))</f>
        <v/>
      </c>
      <c r="Q142" s="217" t="str">
        <f t="shared" si="21"/>
        <v/>
      </c>
      <c r="R142" s="117" t="str">
        <f>IF(M142="","",IF(L142="", "Missing component", _xlfn.XLOOKUP(L142, Lookup!A:A, Lookup!D:D, "NA")))</f>
        <v/>
      </c>
    </row>
    <row r="143" spans="1:19">
      <c r="A143" s="25"/>
      <c r="B143" s="25"/>
      <c r="C143" s="25"/>
      <c r="D143" s="25"/>
      <c r="E143" s="25"/>
      <c r="F143" s="25"/>
      <c r="L143" s="68" t="str">
        <f>IF(M143="", "", _xlfn.XLOOKUP(M143,'Scrum Teams'!B:B,'Scrum Teams'!A:A,""))</f>
        <v/>
      </c>
      <c r="M143" s="74" t="str" cm="1">
        <f t="array" ref="M143">IFERROR(INDEX(_xlfn.SORTBY(_xlfn.UNIQUE(_xlfn._xlws.FILTER('Scrum Teams'!$B$2:$B$1006,'Scrum Teams'!$B$2:$B$1006&lt;&gt;"")),_xlfn.XLOOKUP(_xlfn.UNIQUE(_xlfn._xlws.FILTER('Scrum Teams'!$B$2:$B$1006,'Scrum Teams'!$B$2:$B$1006&lt;&gt;"")),'Scrum Teams'!$B:$B,'Scrum Teams'!$A:$A,"")),ROW()-1),"")</f>
        <v/>
      </c>
      <c r="N143" s="115" t="str">
        <f>IF(L143="", "", _xlfn.XLOOKUP(L143, 'Component Masterlist v2'!A:A, 'Component Masterlist v2'!P:P, "Not found"))</f>
        <v/>
      </c>
      <c r="O143" s="116" t="str">
        <f t="shared" si="20"/>
        <v/>
      </c>
      <c r="P143" s="115" t="str">
        <f>IF(M143="","",_xlfn.LET(
  _xlpm.pos, MATCH(M143,'Scrum Teams'!$B$2:$B$1006,0),
  _xlpm.val, INDEX('Scrum Teams'!$E$2:$E$1006,_xlpm.pos),
  IF(ISBLANK(INDEX('Scrum Teams'!$E$2:$E$1006,_xlpm.pos)),"",_xlpm.val)
))</f>
        <v/>
      </c>
      <c r="Q143" s="217" t="str">
        <f t="shared" si="21"/>
        <v/>
      </c>
      <c r="R143" s="117" t="str">
        <f>IF(M143="","",IF(L143="", "Missing component", _xlfn.XLOOKUP(L143, Lookup!A:A, Lookup!D:D, "NA")))</f>
        <v/>
      </c>
    </row>
    <row r="144" spans="1:19">
      <c r="A144" s="25"/>
      <c r="B144" s="25"/>
      <c r="C144" s="25"/>
      <c r="D144" s="25"/>
      <c r="E144" s="25"/>
      <c r="F144" s="25"/>
      <c r="L144" s="68" t="str">
        <f>IF(M144="", "", _xlfn.XLOOKUP(M144,'Scrum Teams'!B:B,'Scrum Teams'!A:A,""))</f>
        <v/>
      </c>
      <c r="M144" s="74" t="str" cm="1">
        <f t="array" ref="M144">IFERROR(INDEX(_xlfn.SORTBY(_xlfn.UNIQUE(_xlfn._xlws.FILTER('Scrum Teams'!$B$2:$B$1006,'Scrum Teams'!$B$2:$B$1006&lt;&gt;"")),_xlfn.XLOOKUP(_xlfn.UNIQUE(_xlfn._xlws.FILTER('Scrum Teams'!$B$2:$B$1006,'Scrum Teams'!$B$2:$B$1006&lt;&gt;"")),'Scrum Teams'!$B:$B,'Scrum Teams'!$A:$A,"")),ROW()-1),"")</f>
        <v/>
      </c>
      <c r="N144" s="115" t="str">
        <f>IF(L144="", "", _xlfn.XLOOKUP(L144, 'Component Masterlist v2'!A:A, 'Component Masterlist v2'!P:P, "Not found"))</f>
        <v/>
      </c>
      <c r="O144" s="116" t="str">
        <f t="shared" si="20"/>
        <v/>
      </c>
      <c r="P144" s="115" t="str">
        <f>IF(M144="","",_xlfn.LET(
  _xlpm.pos, MATCH(M144,'Scrum Teams'!$B$2:$B$1006,0),
  _xlpm.val, INDEX('Scrum Teams'!$E$2:$E$1006,_xlpm.pos),
  IF(ISBLANK(INDEX('Scrum Teams'!$E$2:$E$1006,_xlpm.pos)),"",_xlpm.val)
))</f>
        <v/>
      </c>
      <c r="Q144" s="217" t="str">
        <f t="shared" si="21"/>
        <v/>
      </c>
      <c r="R144" s="117" t="str">
        <f>IF(M144="","",IF(L144="", "Missing component", _xlfn.XLOOKUP(L144, Lookup!A:A, Lookup!D:D, "NA")))</f>
        <v/>
      </c>
    </row>
    <row r="145" spans="1:18">
      <c r="A145" s="25"/>
      <c r="B145" s="25"/>
      <c r="C145" s="25"/>
      <c r="D145" s="25"/>
      <c r="E145" s="25"/>
      <c r="F145" s="25"/>
      <c r="L145" s="68" t="str">
        <f>IF(M145="", "", _xlfn.XLOOKUP(M145,'Scrum Teams'!B:B,'Scrum Teams'!A:A,""))</f>
        <v/>
      </c>
      <c r="M145" s="74" t="str" cm="1">
        <f t="array" ref="M145">IFERROR(INDEX(_xlfn.SORTBY(_xlfn.UNIQUE(_xlfn._xlws.FILTER('Scrum Teams'!$B$2:$B$1006,'Scrum Teams'!$B$2:$B$1006&lt;&gt;"")),_xlfn.XLOOKUP(_xlfn.UNIQUE(_xlfn._xlws.FILTER('Scrum Teams'!$B$2:$B$1006,'Scrum Teams'!$B$2:$B$1006&lt;&gt;"")),'Scrum Teams'!$B:$B,'Scrum Teams'!$A:$A,"")),ROW()-1),"")</f>
        <v/>
      </c>
      <c r="N145" s="115" t="str">
        <f>IF(L145="", "", _xlfn.XLOOKUP(L145, 'Component Masterlist v2'!A:A, 'Component Masterlist v2'!P:P, "Not found"))</f>
        <v/>
      </c>
      <c r="O145" s="116" t="str">
        <f t="shared" si="20"/>
        <v/>
      </c>
      <c r="P145" s="115" t="str">
        <f>IF(M145="","",_xlfn.LET(
  _xlpm.pos, MATCH(M145,'Scrum Teams'!$B$2:$B$1006,0),
  _xlpm.val, INDEX('Scrum Teams'!$E$2:$E$1006,_xlpm.pos),
  IF(ISBLANK(INDEX('Scrum Teams'!$E$2:$E$1006,_xlpm.pos)),"",_xlpm.val)
))</f>
        <v/>
      </c>
      <c r="Q145" s="217" t="str">
        <f t="shared" si="21"/>
        <v/>
      </c>
      <c r="R145" s="117" t="str">
        <f>IF(M145="","",IF(L145="", "Missing component", _xlfn.XLOOKUP(L145, Lookup!A:A, Lookup!D:D, "NA")))</f>
        <v/>
      </c>
    </row>
    <row r="146" spans="1:18">
      <c r="A146" s="25"/>
      <c r="B146" s="25"/>
      <c r="C146" s="25"/>
      <c r="D146" s="25"/>
      <c r="E146" s="25"/>
      <c r="F146" s="25"/>
      <c r="L146" s="68" t="str">
        <f>IF(M146="", "", _xlfn.XLOOKUP(M146,'Scrum Teams'!B:B,'Scrum Teams'!A:A,""))</f>
        <v/>
      </c>
      <c r="M146" s="74" t="str" cm="1">
        <f t="array" ref="M146">IFERROR(INDEX(_xlfn.SORTBY(_xlfn.UNIQUE(_xlfn._xlws.FILTER('Scrum Teams'!$B$2:$B$1006,'Scrum Teams'!$B$2:$B$1006&lt;&gt;"")),_xlfn.XLOOKUP(_xlfn.UNIQUE(_xlfn._xlws.FILTER('Scrum Teams'!$B$2:$B$1006,'Scrum Teams'!$B$2:$B$1006&lt;&gt;"")),'Scrum Teams'!$B:$B,'Scrum Teams'!$A:$A,"")),ROW()-1),"")</f>
        <v/>
      </c>
      <c r="N146" s="115" t="str">
        <f>IF(L146="", "", _xlfn.XLOOKUP(L146, 'Component Masterlist v2'!A:A, 'Component Masterlist v2'!P:P, "Not found"))</f>
        <v/>
      </c>
      <c r="O146" s="116" t="str">
        <f t="shared" si="20"/>
        <v/>
      </c>
      <c r="P146" s="115" t="str">
        <f>IF(M146="","",_xlfn.LET(
  _xlpm.pos, MATCH(M146,'Scrum Teams'!$B$2:$B$1006,0),
  _xlpm.val, INDEX('Scrum Teams'!$E$2:$E$1006,_xlpm.pos),
  IF(ISBLANK(INDEX('Scrum Teams'!$E$2:$E$1006,_xlpm.pos)),"",_xlpm.val)
))</f>
        <v/>
      </c>
      <c r="Q146" s="217" t="str">
        <f t="shared" si="21"/>
        <v/>
      </c>
      <c r="R146" s="117" t="str">
        <f>IF(M146="","",IF(L146="", "Missing component", _xlfn.XLOOKUP(L146, Lookup!A:A, Lookup!D:D, "NA")))</f>
        <v/>
      </c>
    </row>
    <row r="147" spans="1:18">
      <c r="A147" s="25"/>
      <c r="B147" s="25"/>
      <c r="C147" s="25"/>
      <c r="D147" s="25"/>
      <c r="E147" s="25"/>
      <c r="F147" s="25"/>
      <c r="L147" s="68" t="str">
        <f>IF(M147="", "", _xlfn.XLOOKUP(M147,'Scrum Teams'!B:B,'Scrum Teams'!A:A,""))</f>
        <v/>
      </c>
      <c r="M147" s="74" t="str" cm="1">
        <f t="array" ref="M147">IFERROR(INDEX(_xlfn.SORTBY(_xlfn.UNIQUE(_xlfn._xlws.FILTER('Scrum Teams'!$B$2:$B$1006,'Scrum Teams'!$B$2:$B$1006&lt;&gt;"")),_xlfn.XLOOKUP(_xlfn.UNIQUE(_xlfn._xlws.FILTER('Scrum Teams'!$B$2:$B$1006,'Scrum Teams'!$B$2:$B$1006&lt;&gt;"")),'Scrum Teams'!$B:$B,'Scrum Teams'!$A:$A,"")),ROW()-1),"")</f>
        <v/>
      </c>
      <c r="N147" s="115" t="str">
        <f>IF(L147="", "", _xlfn.XLOOKUP(L147, 'Component Masterlist v2'!A:A, 'Component Masterlist v2'!P:P, "Not found"))</f>
        <v/>
      </c>
      <c r="O147" s="116" t="str">
        <f t="shared" si="20"/>
        <v/>
      </c>
      <c r="P147" s="115" t="str">
        <f>IF(M147="","",_xlfn.LET(
  _xlpm.pos, MATCH(M147,'Scrum Teams'!$B$2:$B$1006,0),
  _xlpm.val, INDEX('Scrum Teams'!$E$2:$E$1006,_xlpm.pos),
  IF(ISBLANK(INDEX('Scrum Teams'!$E$2:$E$1006,_xlpm.pos)),"",_xlpm.val)
))</f>
        <v/>
      </c>
      <c r="Q147" s="217" t="str">
        <f t="shared" si="21"/>
        <v/>
      </c>
      <c r="R147" s="117" t="str">
        <f>IF(M147="","",IF(L147="", "Missing component", _xlfn.XLOOKUP(L147, Lookup!A:A, Lookup!D:D, "NA")))</f>
        <v/>
      </c>
    </row>
    <row r="148" spans="1:18">
      <c r="A148" s="25"/>
      <c r="B148" s="25"/>
      <c r="C148" s="25"/>
      <c r="D148" s="25"/>
      <c r="E148" s="25"/>
      <c r="F148" s="25"/>
      <c r="L148" s="68" t="str">
        <f>IF(M148="", "", _xlfn.XLOOKUP(M148,'Scrum Teams'!B:B,'Scrum Teams'!A:A,""))</f>
        <v/>
      </c>
      <c r="M148" s="74" t="str" cm="1">
        <f t="array" ref="M148">IFERROR(INDEX(_xlfn.SORTBY(_xlfn.UNIQUE(_xlfn._xlws.FILTER('Scrum Teams'!$B$2:$B$1006,'Scrum Teams'!$B$2:$B$1006&lt;&gt;"")),_xlfn.XLOOKUP(_xlfn.UNIQUE(_xlfn._xlws.FILTER('Scrum Teams'!$B$2:$B$1006,'Scrum Teams'!$B$2:$B$1006&lt;&gt;"")),'Scrum Teams'!$B:$B,'Scrum Teams'!$A:$A,"")),ROW()-1),"")</f>
        <v/>
      </c>
      <c r="N148" s="115" t="str">
        <f>IF(L148="", "", _xlfn.XLOOKUP(L148, 'Component Masterlist v2'!A:A, 'Component Masterlist v2'!P:P, "Not found"))</f>
        <v/>
      </c>
      <c r="O148" s="116" t="str">
        <f t="shared" si="20"/>
        <v/>
      </c>
      <c r="P148" s="115" t="str">
        <f>IF(M148="","",_xlfn.LET(
  _xlpm.pos, MATCH(M148,'Scrum Teams'!$B$2:$B$1006,0),
  _xlpm.val, INDEX('Scrum Teams'!$E$2:$E$1006,_xlpm.pos),
  IF(ISBLANK(INDEX('Scrum Teams'!$E$2:$E$1006,_xlpm.pos)),"",_xlpm.val)
))</f>
        <v/>
      </c>
      <c r="Q148" s="217" t="str">
        <f t="shared" si="21"/>
        <v/>
      </c>
      <c r="R148" s="117" t="str">
        <f>IF(M148="","",IF(L148="", "Missing component", _xlfn.XLOOKUP(L148, Lookup!A:A, Lookup!D:D, "NA")))</f>
        <v/>
      </c>
    </row>
    <row r="149" spans="1:18">
      <c r="A149" s="25"/>
      <c r="B149" s="25"/>
      <c r="C149" s="25"/>
      <c r="D149" s="25"/>
      <c r="E149" s="25"/>
      <c r="F149" s="25"/>
      <c r="L149" s="68" t="str">
        <f>IF(M149="", "", _xlfn.XLOOKUP(M149,'Scrum Teams'!B:B,'Scrum Teams'!A:A,""))</f>
        <v/>
      </c>
      <c r="M149" s="74" t="str" cm="1">
        <f t="array" ref="M149">IFERROR(INDEX(_xlfn.SORTBY(_xlfn.UNIQUE(_xlfn._xlws.FILTER('Scrum Teams'!$B$2:$B$1006,'Scrum Teams'!$B$2:$B$1006&lt;&gt;"")),_xlfn.XLOOKUP(_xlfn.UNIQUE(_xlfn._xlws.FILTER('Scrum Teams'!$B$2:$B$1006,'Scrum Teams'!$B$2:$B$1006&lt;&gt;"")),'Scrum Teams'!$B:$B,'Scrum Teams'!$A:$A,"")),ROW()-1),"")</f>
        <v/>
      </c>
      <c r="N149" s="115" t="str">
        <f>IF(L149="", "", _xlfn.XLOOKUP(L149, 'Component Masterlist v2'!A:A, 'Component Masterlist v2'!P:P, "Not found"))</f>
        <v/>
      </c>
      <c r="O149" s="116" t="str">
        <f t="shared" si="20"/>
        <v/>
      </c>
      <c r="P149" s="115" t="str">
        <f>IF(M149="","",_xlfn.LET(
  _xlpm.pos, MATCH(M149,'Scrum Teams'!$B$2:$B$1006,0),
  _xlpm.val, INDEX('Scrum Teams'!$E$2:$E$1006,_xlpm.pos),
  IF(ISBLANK(INDEX('Scrum Teams'!$E$2:$E$1006,_xlpm.pos)),"",_xlpm.val)
))</f>
        <v/>
      </c>
      <c r="Q149" s="217" t="str">
        <f t="shared" si="21"/>
        <v/>
      </c>
      <c r="R149" s="117" t="str">
        <f>IF(M149="","",IF(L149="", "Missing component", _xlfn.XLOOKUP(L149, Lookup!A:A, Lookup!D:D, "NA")))</f>
        <v/>
      </c>
    </row>
    <row r="150" spans="1:18">
      <c r="A150" s="25"/>
      <c r="B150" s="25"/>
      <c r="C150" s="25"/>
      <c r="D150" s="25"/>
      <c r="E150" s="25"/>
      <c r="F150" s="25"/>
      <c r="L150" s="68" t="str">
        <f>IF(M150="", "", _xlfn.XLOOKUP(M150,'Scrum Teams'!B:B,'Scrum Teams'!A:A,""))</f>
        <v/>
      </c>
      <c r="M150" s="74" t="str" cm="1">
        <f t="array" ref="M150">IFERROR(INDEX(_xlfn.SORTBY(_xlfn.UNIQUE(_xlfn._xlws.FILTER('Scrum Teams'!$B$2:$B$1006,'Scrum Teams'!$B$2:$B$1006&lt;&gt;"")),_xlfn.XLOOKUP(_xlfn.UNIQUE(_xlfn._xlws.FILTER('Scrum Teams'!$B$2:$B$1006,'Scrum Teams'!$B$2:$B$1006&lt;&gt;"")),'Scrum Teams'!$B:$B,'Scrum Teams'!$A:$A,"")),ROW()-1),"")</f>
        <v/>
      </c>
      <c r="N150" s="115" t="str">
        <f>IF(L150="", "", _xlfn.XLOOKUP(L150, 'Component Masterlist v2'!A:A, 'Component Masterlist v2'!P:P, "Not found"))</f>
        <v/>
      </c>
      <c r="O150" s="116" t="str">
        <f t="shared" si="20"/>
        <v/>
      </c>
      <c r="P150" s="115" t="str">
        <f>IF(M150="","",_xlfn.LET(
  _xlpm.pos, MATCH(M150,'Scrum Teams'!$B$2:$B$1006,0),
  _xlpm.val, INDEX('Scrum Teams'!$E$2:$E$1006,_xlpm.pos),
  IF(ISBLANK(INDEX('Scrum Teams'!$E$2:$E$1006,_xlpm.pos)),"",_xlpm.val)
))</f>
        <v/>
      </c>
      <c r="Q150" s="217" t="str">
        <f t="shared" si="21"/>
        <v/>
      </c>
      <c r="R150" s="117" t="str">
        <f>IF(M150="","",IF(L150="", "Missing component", _xlfn.XLOOKUP(L150, Lookup!A:A, Lookup!D:D, "NA")))</f>
        <v/>
      </c>
    </row>
    <row r="151" spans="1:18">
      <c r="A151" s="25"/>
      <c r="B151" s="25"/>
      <c r="C151" s="25"/>
      <c r="D151" s="25"/>
      <c r="E151" s="25"/>
      <c r="F151" s="25"/>
      <c r="O151" s="119"/>
      <c r="P151" s="124"/>
      <c r="Q151" s="119"/>
    </row>
    <row r="152" spans="1:18">
      <c r="L152" s="197" t="s">
        <v>102</v>
      </c>
      <c r="M152" s="103"/>
      <c r="N152" s="103"/>
      <c r="O152" s="346">
        <f t="shared" ref="O152:P152" si="22">SUM(O2:O150)</f>
        <v>7295.5</v>
      </c>
      <c r="P152" s="346">
        <f t="shared" si="22"/>
        <v>14591</v>
      </c>
      <c r="Q152" s="346">
        <f>SUM(Q2:Q150)</f>
        <v>14771</v>
      </c>
      <c r="R152" s="103"/>
    </row>
  </sheetData>
  <sheetProtection algorithmName="SHA-512" hashValue="xGt7O1LXqe88bvw5sk9Z8veCFKHWjqDfa4KgvwRqaQ333bXTJgsjeYjXBoMn/yHJfBkF6SMWJNGT5oa+u7UB+A==" saltValue="6qU6nJsOY7VhhbjoN0Dohg==" spinCount="100000" sheet="1" objects="1" scenarios="1" sort="0" autoFilter="0"/>
  <sortState xmlns:xlrd2="http://schemas.microsoft.com/office/spreadsheetml/2017/richdata2" ref="A2:X130">
    <sortCondition ref="R2:R130"/>
  </sortState>
  <conditionalFormatting sqref="J1:J39 O152:P152">
    <cfRule type="cellIs" dxfId="51" priority="2" operator="equal">
      <formula>"NA"</formula>
    </cfRule>
  </conditionalFormatting>
  <conditionalFormatting sqref="Q1:Q1048576">
    <cfRule type="cellIs" dxfId="50" priority="1" operator="equal">
      <formula>"NA"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BEE8-EC0E-4160-A9E2-B6774B1E32DA}">
  <sheetPr filterMode="1">
    <tabColor rgb="FFDEB3FF"/>
  </sheetPr>
  <dimension ref="A1:AI146"/>
  <sheetViews>
    <sheetView tabSelected="1" workbookViewId="0">
      <pane xSplit="3" ySplit="1" topLeftCell="AC28" activePane="bottomRight" state="frozen"/>
      <selection pane="bottomRight" activeCell="AD1" sqref="AD1"/>
      <selection pane="bottomLeft"/>
      <selection pane="topRight"/>
    </sheetView>
  </sheetViews>
  <sheetFormatPr defaultColWidth="8.85546875" defaultRowHeight="15"/>
  <cols>
    <col min="1" max="1" width="17.28515625" style="81" customWidth="1"/>
    <col min="2" max="2" width="25.7109375" style="85" customWidth="1"/>
    <col min="3" max="3" width="9.28515625" style="86" customWidth="1"/>
    <col min="4" max="4" width="11.28515625" style="86" customWidth="1"/>
    <col min="5" max="5" width="10.28515625" style="121" customWidth="1"/>
    <col min="6" max="6" width="24.42578125" style="81" customWidth="1"/>
    <col min="7" max="7" width="23.28515625" style="81" customWidth="1"/>
    <col min="8" max="17" width="20.140625" style="81" customWidth="1"/>
    <col min="18" max="18" width="11.42578125" style="81" customWidth="1"/>
    <col min="19" max="22" width="20" style="81" customWidth="1"/>
    <col min="23" max="23" width="29.7109375" style="81" customWidth="1"/>
    <col min="24" max="24" width="20.42578125" style="81" customWidth="1"/>
    <col min="25" max="25" width="30.85546875" style="148" customWidth="1"/>
    <col min="26" max="26" width="20.42578125" style="81" customWidth="1"/>
    <col min="27" max="27" width="11.42578125" style="84" customWidth="1"/>
    <col min="28" max="28" width="11.85546875" style="86" customWidth="1"/>
    <col min="29" max="29" width="11.140625" style="71" customWidth="1"/>
    <col min="30" max="30" width="17.42578125" style="81" customWidth="1"/>
    <col min="31" max="31" width="18.42578125" style="81" bestFit="1" customWidth="1"/>
    <col min="32" max="32" width="28.7109375" style="81" customWidth="1"/>
    <col min="33" max="33" width="72.5703125" style="81" bestFit="1" customWidth="1"/>
    <col min="34" max="34" width="43.7109375" style="81" bestFit="1" customWidth="1"/>
    <col min="35" max="35" width="19" style="71" customWidth="1"/>
    <col min="36" max="16384" width="8.85546875" style="71"/>
  </cols>
  <sheetData>
    <row r="1" spans="1:35" s="72" customFormat="1" ht="54.75">
      <c r="A1" s="54" t="s">
        <v>3</v>
      </c>
      <c r="B1" s="54" t="s">
        <v>935</v>
      </c>
      <c r="C1" s="55" t="s">
        <v>216</v>
      </c>
      <c r="D1" s="304" t="s">
        <v>936</v>
      </c>
      <c r="E1" s="305" t="s">
        <v>937</v>
      </c>
      <c r="F1" s="65" t="s">
        <v>938</v>
      </c>
      <c r="G1" s="65" t="s">
        <v>939</v>
      </c>
      <c r="H1" s="65" t="s">
        <v>940</v>
      </c>
      <c r="I1" s="65" t="s">
        <v>941</v>
      </c>
      <c r="J1" s="65" t="s">
        <v>942</v>
      </c>
      <c r="K1" s="65" t="s">
        <v>943</v>
      </c>
      <c r="L1" s="65" t="s">
        <v>944</v>
      </c>
      <c r="M1" s="65" t="s">
        <v>945</v>
      </c>
      <c r="N1" s="65" t="s">
        <v>946</v>
      </c>
      <c r="O1" s="65" t="s">
        <v>947</v>
      </c>
      <c r="P1" s="65" t="s">
        <v>948</v>
      </c>
      <c r="Q1" s="65" t="s">
        <v>949</v>
      </c>
      <c r="R1" s="65" t="s">
        <v>950</v>
      </c>
      <c r="S1" s="306" t="s">
        <v>951</v>
      </c>
      <c r="T1" s="65" t="s">
        <v>952</v>
      </c>
      <c r="U1" s="306" t="s">
        <v>209</v>
      </c>
      <c r="V1" s="306" t="s">
        <v>953</v>
      </c>
      <c r="W1" s="65" t="s">
        <v>214</v>
      </c>
      <c r="X1" s="65" t="s">
        <v>954</v>
      </c>
      <c r="Y1" s="307" t="s">
        <v>955</v>
      </c>
      <c r="Z1" s="65" t="s">
        <v>956</v>
      </c>
      <c r="AA1" s="308" t="s">
        <v>957</v>
      </c>
      <c r="AB1" s="55" t="s">
        <v>958</v>
      </c>
      <c r="AC1" s="60" t="s">
        <v>959</v>
      </c>
      <c r="AD1" s="309" t="s">
        <v>960</v>
      </c>
      <c r="AE1" s="309" t="s">
        <v>961</v>
      </c>
      <c r="AF1" s="54" t="s">
        <v>161</v>
      </c>
      <c r="AG1" s="54" t="s">
        <v>962</v>
      </c>
      <c r="AH1" s="54" t="s">
        <v>963</v>
      </c>
      <c r="AI1" s="54"/>
    </row>
    <row r="2" spans="1:35" hidden="1">
      <c r="A2" s="180" t="s">
        <v>49</v>
      </c>
      <c r="B2" s="88" t="s">
        <v>964</v>
      </c>
      <c r="C2" s="310" t="s">
        <v>128</v>
      </c>
      <c r="D2" s="311">
        <v>86</v>
      </c>
      <c r="E2" s="97">
        <f t="shared" ref="E2:E14" si="0">D2*2</f>
        <v>172</v>
      </c>
      <c r="F2" s="87" t="s">
        <v>374</v>
      </c>
      <c r="G2" s="180" t="s">
        <v>384</v>
      </c>
      <c r="H2" s="180"/>
      <c r="I2" s="180"/>
      <c r="J2" s="180"/>
      <c r="K2" s="180"/>
      <c r="L2" s="180"/>
      <c r="M2" s="180"/>
      <c r="N2" s="180"/>
      <c r="O2" s="180"/>
      <c r="P2" s="180"/>
      <c r="Q2" s="180"/>
      <c r="R2" s="180" t="s">
        <v>965</v>
      </c>
      <c r="S2" s="87"/>
      <c r="T2" s="87" t="s">
        <v>966</v>
      </c>
      <c r="U2" s="87"/>
      <c r="V2" s="87" t="s">
        <v>967</v>
      </c>
      <c r="W2" s="87" t="s">
        <v>386</v>
      </c>
      <c r="X2" s="87"/>
      <c r="Y2" s="87" t="s">
        <v>968</v>
      </c>
      <c r="Z2" s="87" t="s">
        <v>969</v>
      </c>
      <c r="AA2" s="312">
        <f t="shared" ref="AA2:AA53" si="1">(--(F2&lt;&gt;"") + --(T2&lt;&gt;"") + --(V2&lt;&gt;"") + --(W2&lt;&gt;"") + --(X2&lt;&gt;"") + --(Y2&lt;&gt;"") + --(Z2&lt;&gt;"")) / 7</f>
        <v>0.8571428571428571</v>
      </c>
      <c r="AB2" s="313" t="s">
        <v>970</v>
      </c>
      <c r="AC2" s="204"/>
      <c r="AD2" s="314" t="str">
        <f>_xlfn.XLOOKUP(A2, 'Component Masterlist v2'!A:A, 'Component Masterlist v2'!G:G, "Not found")</f>
        <v>Sanyam Agrawal</v>
      </c>
      <c r="AE2" s="314" t="str">
        <f>_xlfn.XLOOKUP(A2, 'Component Masterlist v2'!A:A, 'Component Masterlist v2'!E:E, "Not found")</f>
        <v>Fahad Tasleem</v>
      </c>
      <c r="AF2" s="180"/>
      <c r="AG2" s="82" t="s">
        <v>971</v>
      </c>
      <c r="AH2" s="82" t="s">
        <v>972</v>
      </c>
      <c r="AI2" s="82"/>
    </row>
    <row r="3" spans="1:35" hidden="1">
      <c r="A3" s="180" t="s">
        <v>49</v>
      </c>
      <c r="B3" s="88" t="s">
        <v>973</v>
      </c>
      <c r="C3" s="310" t="s">
        <v>128</v>
      </c>
      <c r="D3" s="311">
        <v>58</v>
      </c>
      <c r="E3" s="97">
        <f t="shared" si="0"/>
        <v>116</v>
      </c>
      <c r="F3" s="87" t="s">
        <v>382</v>
      </c>
      <c r="G3" s="180" t="s">
        <v>380</v>
      </c>
      <c r="H3" s="180"/>
      <c r="I3" s="180"/>
      <c r="J3" s="180"/>
      <c r="K3" s="180"/>
      <c r="L3" s="180"/>
      <c r="M3" s="180"/>
      <c r="N3" s="180"/>
      <c r="O3" s="180"/>
      <c r="P3" s="180"/>
      <c r="Q3" s="180"/>
      <c r="R3" s="180" t="s">
        <v>965</v>
      </c>
      <c r="S3" s="87"/>
      <c r="T3" s="87" t="s">
        <v>974</v>
      </c>
      <c r="U3" s="87"/>
      <c r="V3" s="87" t="s">
        <v>975</v>
      </c>
      <c r="W3" s="87" t="s">
        <v>976</v>
      </c>
      <c r="X3" s="87"/>
      <c r="Y3" s="87" t="s">
        <v>977</v>
      </c>
      <c r="Z3" s="87" t="s">
        <v>969</v>
      </c>
      <c r="AA3" s="312">
        <f t="shared" si="1"/>
        <v>0.8571428571428571</v>
      </c>
      <c r="AB3" s="313" t="s">
        <v>970</v>
      </c>
      <c r="AC3" s="204"/>
      <c r="AD3" s="314" t="str">
        <f>_xlfn.XLOOKUP(A3, 'Component Masterlist v2'!A:A, 'Component Masterlist v2'!G:G, "Not found")</f>
        <v>Sanyam Agrawal</v>
      </c>
      <c r="AE3" s="314" t="str">
        <f>_xlfn.XLOOKUP(A3, 'Component Masterlist v2'!A:A, 'Component Masterlist v2'!E:E, "Not found")</f>
        <v>Fahad Tasleem</v>
      </c>
      <c r="AF3" s="180"/>
      <c r="AG3" s="82" t="s">
        <v>978</v>
      </c>
      <c r="AH3" s="82" t="s">
        <v>979</v>
      </c>
      <c r="AI3" s="180"/>
    </row>
    <row r="4" spans="1:35" hidden="1">
      <c r="A4" s="180" t="s">
        <v>49</v>
      </c>
      <c r="B4" s="75" t="s">
        <v>980</v>
      </c>
      <c r="C4" s="310" t="s">
        <v>128</v>
      </c>
      <c r="D4" s="311">
        <v>51</v>
      </c>
      <c r="E4" s="97">
        <f t="shared" si="0"/>
        <v>102</v>
      </c>
      <c r="F4" s="87" t="s">
        <v>369</v>
      </c>
      <c r="G4" s="180"/>
      <c r="H4" s="180"/>
      <c r="I4" s="180"/>
      <c r="J4" s="180"/>
      <c r="K4" s="180"/>
      <c r="L4" s="180"/>
      <c r="M4" s="180"/>
      <c r="N4" s="180"/>
      <c r="O4" s="180"/>
      <c r="P4" s="180"/>
      <c r="Q4" s="180"/>
      <c r="R4" s="180" t="s">
        <v>965</v>
      </c>
      <c r="S4" s="87"/>
      <c r="T4" s="87" t="s">
        <v>981</v>
      </c>
      <c r="U4" s="87"/>
      <c r="V4" s="87" t="s">
        <v>982</v>
      </c>
      <c r="W4" s="87" t="s">
        <v>983</v>
      </c>
      <c r="X4" s="87"/>
      <c r="Y4" s="87" t="s">
        <v>984</v>
      </c>
      <c r="Z4" s="87" t="s">
        <v>985</v>
      </c>
      <c r="AA4" s="312">
        <f t="shared" si="1"/>
        <v>0.8571428571428571</v>
      </c>
      <c r="AB4" s="313" t="s">
        <v>970</v>
      </c>
      <c r="AC4" s="204"/>
      <c r="AD4" s="314" t="str">
        <f>_xlfn.XLOOKUP(A4, 'Component Masterlist v2'!A:A, 'Component Masterlist v2'!G:G, "Not found")</f>
        <v>Sanyam Agrawal</v>
      </c>
      <c r="AE4" s="314" t="str">
        <f>_xlfn.XLOOKUP(A4, 'Component Masterlist v2'!A:A, 'Component Masterlist v2'!E:E, "Not found")</f>
        <v>Fahad Tasleem</v>
      </c>
      <c r="AF4" s="180"/>
      <c r="AG4" s="82" t="s">
        <v>986</v>
      </c>
      <c r="AH4" s="82" t="s">
        <v>987</v>
      </c>
      <c r="AI4" s="180"/>
    </row>
    <row r="5" spans="1:35" hidden="1">
      <c r="A5" s="180" t="s">
        <v>49</v>
      </c>
      <c r="B5" s="88" t="s">
        <v>988</v>
      </c>
      <c r="C5" s="310" t="s">
        <v>128</v>
      </c>
      <c r="D5" s="311">
        <v>18</v>
      </c>
      <c r="E5" s="97">
        <f t="shared" si="0"/>
        <v>36</v>
      </c>
      <c r="F5" s="87" t="s">
        <v>383</v>
      </c>
      <c r="G5" s="180"/>
      <c r="H5" s="180"/>
      <c r="I5" s="180"/>
      <c r="J5" s="180"/>
      <c r="K5" s="180"/>
      <c r="L5" s="180"/>
      <c r="M5" s="180"/>
      <c r="N5" s="180"/>
      <c r="O5" s="180"/>
      <c r="P5" s="180"/>
      <c r="Q5" s="180"/>
      <c r="R5" s="180" t="s">
        <v>965</v>
      </c>
      <c r="S5" s="87"/>
      <c r="T5" s="87" t="s">
        <v>981</v>
      </c>
      <c r="U5" s="87"/>
      <c r="V5" s="87" t="s">
        <v>989</v>
      </c>
      <c r="W5" s="87" t="s">
        <v>376</v>
      </c>
      <c r="X5" s="87"/>
      <c r="Y5" s="87" t="s">
        <v>990</v>
      </c>
      <c r="Z5" s="87" t="s">
        <v>969</v>
      </c>
      <c r="AA5" s="312">
        <f t="shared" si="1"/>
        <v>0.8571428571428571</v>
      </c>
      <c r="AB5" s="313" t="s">
        <v>970</v>
      </c>
      <c r="AC5" s="204"/>
      <c r="AD5" s="314" t="str">
        <f>_xlfn.XLOOKUP(A5, 'Component Masterlist v2'!A:A, 'Component Masterlist v2'!G:G, "Not found")</f>
        <v>Sanyam Agrawal</v>
      </c>
      <c r="AE5" s="314" t="str">
        <f>_xlfn.XLOOKUP(A5, 'Component Masterlist v2'!A:A, 'Component Masterlist v2'!E:E, "Not found")</f>
        <v>Fahad Tasleem</v>
      </c>
      <c r="AF5" s="180"/>
      <c r="AG5" s="82" t="s">
        <v>991</v>
      </c>
      <c r="AH5" s="82" t="s">
        <v>992</v>
      </c>
      <c r="AI5" s="82"/>
    </row>
    <row r="6" spans="1:35" s="25" customFormat="1" hidden="1">
      <c r="A6" s="180" t="s">
        <v>49</v>
      </c>
      <c r="B6" s="88" t="s">
        <v>993</v>
      </c>
      <c r="C6" s="310" t="s">
        <v>128</v>
      </c>
      <c r="D6" s="311">
        <v>54</v>
      </c>
      <c r="E6" s="109">
        <f t="shared" si="0"/>
        <v>108</v>
      </c>
      <c r="F6" s="87" t="s">
        <v>377</v>
      </c>
      <c r="G6" s="180"/>
      <c r="H6" s="180"/>
      <c r="I6" s="180"/>
      <c r="J6" s="180"/>
      <c r="K6" s="180"/>
      <c r="L6" s="180"/>
      <c r="M6" s="180"/>
      <c r="N6" s="180"/>
      <c r="O6" s="180"/>
      <c r="P6" s="180"/>
      <c r="Q6" s="180"/>
      <c r="R6" s="180" t="s">
        <v>965</v>
      </c>
      <c r="S6" s="87"/>
      <c r="T6" s="87" t="s">
        <v>994</v>
      </c>
      <c r="U6" s="87"/>
      <c r="V6" s="87" t="s">
        <v>995</v>
      </c>
      <c r="W6" s="87" t="s">
        <v>996</v>
      </c>
      <c r="X6" s="87"/>
      <c r="Y6" s="87" t="s">
        <v>997</v>
      </c>
      <c r="Z6" s="87" t="s">
        <v>985</v>
      </c>
      <c r="AA6" s="312">
        <f t="shared" si="1"/>
        <v>0.8571428571428571</v>
      </c>
      <c r="AB6" s="313" t="s">
        <v>970</v>
      </c>
      <c r="AC6" s="204"/>
      <c r="AD6" s="314" t="str">
        <f>_xlfn.XLOOKUP(A6, 'Component Masterlist v2'!A:A, 'Component Masterlist v2'!G:G, "Not found")</f>
        <v>Sanyam Agrawal</v>
      </c>
      <c r="AE6" s="314" t="str">
        <f>_xlfn.XLOOKUP(A6, 'Component Masterlist v2'!A:A, 'Component Masterlist v2'!E:E, "Not found")</f>
        <v>Fahad Tasleem</v>
      </c>
      <c r="AF6" s="180"/>
      <c r="AG6" s="82" t="s">
        <v>998</v>
      </c>
      <c r="AH6" s="82" t="s">
        <v>999</v>
      </c>
      <c r="AI6" s="82"/>
    </row>
    <row r="7" spans="1:35" s="25" customFormat="1" hidden="1">
      <c r="A7" s="180" t="s">
        <v>49</v>
      </c>
      <c r="B7" s="75" t="s">
        <v>387</v>
      </c>
      <c r="C7" s="315" t="s">
        <v>128</v>
      </c>
      <c r="D7" s="310">
        <v>18</v>
      </c>
      <c r="E7" s="97">
        <f>D7*2</f>
        <v>36</v>
      </c>
      <c r="F7" s="75" t="s">
        <v>385</v>
      </c>
      <c r="G7" s="176"/>
      <c r="H7" s="176"/>
      <c r="I7" s="176"/>
      <c r="J7" s="176"/>
      <c r="K7" s="176"/>
      <c r="L7" s="176"/>
      <c r="M7" s="176"/>
      <c r="N7" s="176"/>
      <c r="O7" s="176"/>
      <c r="P7" s="176"/>
      <c r="Q7" s="176"/>
      <c r="R7" s="180" t="s">
        <v>965</v>
      </c>
      <c r="S7" s="75"/>
      <c r="T7" s="75" t="s">
        <v>1000</v>
      </c>
      <c r="U7" s="75"/>
      <c r="V7" s="87" t="s">
        <v>303</v>
      </c>
      <c r="W7" s="180" t="s">
        <v>386</v>
      </c>
      <c r="X7" s="180"/>
      <c r="Y7" s="180" t="s">
        <v>1001</v>
      </c>
      <c r="Z7" s="180" t="s">
        <v>1002</v>
      </c>
      <c r="AA7" s="312">
        <f t="shared" si="1"/>
        <v>0.8571428571428571</v>
      </c>
      <c r="AB7" s="310" t="s">
        <v>970</v>
      </c>
      <c r="AC7" s="273"/>
      <c r="AD7" s="314" t="str">
        <f>_xlfn.XLOOKUP(A7, 'Component Masterlist v2'!A:A, 'Component Masterlist v2'!G:G, "Not found")</f>
        <v>Sanyam Agrawal</v>
      </c>
      <c r="AE7" s="314" t="str">
        <f>_xlfn.XLOOKUP(A7, 'Component Masterlist v2'!A:A, 'Component Masterlist v2'!E:E, "Not found")</f>
        <v>Fahad Tasleem</v>
      </c>
      <c r="AF7" s="176"/>
      <c r="AG7" s="223"/>
      <c r="AH7" s="223"/>
      <c r="AI7" s="176"/>
    </row>
    <row r="8" spans="1:35" hidden="1">
      <c r="A8" s="27" t="s">
        <v>32</v>
      </c>
      <c r="B8" s="268" t="s">
        <v>1003</v>
      </c>
      <c r="C8" s="310" t="s">
        <v>880</v>
      </c>
      <c r="D8" s="316">
        <f>2*15</f>
        <v>30</v>
      </c>
      <c r="E8" s="109">
        <f t="shared" si="0"/>
        <v>60</v>
      </c>
      <c r="F8" s="212" t="s">
        <v>889</v>
      </c>
      <c r="G8" s="180"/>
      <c r="H8" s="180"/>
      <c r="I8" s="180"/>
      <c r="J8" s="180"/>
      <c r="K8" s="180"/>
      <c r="L8" s="176"/>
      <c r="M8" s="180"/>
      <c r="N8" s="180"/>
      <c r="O8" s="180"/>
      <c r="P8" s="180"/>
      <c r="Q8" s="180"/>
      <c r="R8" s="180" t="s">
        <v>965</v>
      </c>
      <c r="S8" s="180"/>
      <c r="T8" s="180" t="s">
        <v>812</v>
      </c>
      <c r="U8" s="180"/>
      <c r="V8" s="180" t="s">
        <v>582</v>
      </c>
      <c r="W8" s="23"/>
      <c r="X8" s="180" t="s">
        <v>1004</v>
      </c>
      <c r="Y8" s="181" t="s">
        <v>1005</v>
      </c>
      <c r="Z8" s="180"/>
      <c r="AA8" s="162">
        <f t="shared" si="1"/>
        <v>0.7142857142857143</v>
      </c>
      <c r="AB8" s="78" t="s">
        <v>970</v>
      </c>
      <c r="AC8" s="204"/>
      <c r="AD8" s="132" t="str">
        <f>_xlfn.XLOOKUP(A8, 'Component Masterlist v2'!A:A, 'Component Masterlist v2'!G:G, "Not found")</f>
        <v>Santosh Golecha</v>
      </c>
      <c r="AE8" s="132" t="str">
        <f>_xlfn.XLOOKUP(A8, 'Component Masterlist v2'!A:A, 'Component Masterlist v2'!E:E, "Not found")</f>
        <v>Aditya Kolli</v>
      </c>
      <c r="AF8" s="180"/>
      <c r="AG8" s="82"/>
      <c r="AH8" s="82"/>
      <c r="AI8" s="180"/>
    </row>
    <row r="9" spans="1:35" hidden="1">
      <c r="A9" s="180" t="s">
        <v>32</v>
      </c>
      <c r="B9" s="57" t="s">
        <v>1006</v>
      </c>
      <c r="C9" s="310" t="s">
        <v>880</v>
      </c>
      <c r="D9" s="316">
        <f>12*15</f>
        <v>180</v>
      </c>
      <c r="E9" s="109">
        <f t="shared" si="0"/>
        <v>360</v>
      </c>
      <c r="F9" s="212" t="s">
        <v>888</v>
      </c>
      <c r="G9" s="180"/>
      <c r="H9" s="180"/>
      <c r="I9" s="180"/>
      <c r="J9" s="180"/>
      <c r="K9" s="180"/>
      <c r="L9" s="176"/>
      <c r="M9" s="180"/>
      <c r="N9" s="180"/>
      <c r="O9" s="180"/>
      <c r="P9" s="180"/>
      <c r="Q9" s="180"/>
      <c r="R9" s="180" t="s">
        <v>965</v>
      </c>
      <c r="S9" s="180"/>
      <c r="T9" s="180" t="s">
        <v>580</v>
      </c>
      <c r="U9" s="180"/>
      <c r="V9" s="180" t="s">
        <v>582</v>
      </c>
      <c r="W9" s="23" t="s">
        <v>1007</v>
      </c>
      <c r="X9" s="180" t="s">
        <v>1004</v>
      </c>
      <c r="Y9" s="181" t="s">
        <v>1008</v>
      </c>
      <c r="Z9" s="180"/>
      <c r="AA9" s="162">
        <f t="shared" si="1"/>
        <v>0.8571428571428571</v>
      </c>
      <c r="AB9" s="310" t="s">
        <v>970</v>
      </c>
      <c r="AC9" s="204"/>
      <c r="AD9" s="132" t="str">
        <f>_xlfn.XLOOKUP(A9, 'Component Masterlist v2'!A:A, 'Component Masterlist v2'!G:G, "Not found")</f>
        <v>Santosh Golecha</v>
      </c>
      <c r="AE9" s="132" t="str">
        <f>_xlfn.XLOOKUP(A9, 'Component Masterlist v2'!A:A, 'Component Masterlist v2'!E:E, "Not found")</f>
        <v>Aditya Kolli</v>
      </c>
      <c r="AF9" s="180"/>
      <c r="AG9" s="82" t="s">
        <v>1009</v>
      </c>
      <c r="AH9" s="82" t="s">
        <v>1010</v>
      </c>
      <c r="AI9" s="180"/>
    </row>
    <row r="10" spans="1:35" hidden="1">
      <c r="A10" s="180" t="s">
        <v>32</v>
      </c>
      <c r="B10" s="57" t="s">
        <v>1011</v>
      </c>
      <c r="C10" s="310" t="s">
        <v>880</v>
      </c>
      <c r="D10" s="310">
        <f>6*15</f>
        <v>90</v>
      </c>
      <c r="E10" s="109">
        <f t="shared" si="0"/>
        <v>180</v>
      </c>
      <c r="F10" s="180" t="s">
        <v>877</v>
      </c>
      <c r="G10" s="180" t="s">
        <v>881</v>
      </c>
      <c r="H10" s="180"/>
      <c r="I10" s="180"/>
      <c r="J10" s="180"/>
      <c r="K10" s="180"/>
      <c r="L10" s="180"/>
      <c r="M10" s="180"/>
      <c r="N10" s="180"/>
      <c r="O10" s="180"/>
      <c r="P10" s="180"/>
      <c r="Q10" s="180"/>
      <c r="R10" s="180" t="s">
        <v>965</v>
      </c>
      <c r="S10" s="180"/>
      <c r="T10" s="180" t="s">
        <v>580</v>
      </c>
      <c r="U10" s="180"/>
      <c r="V10" s="180" t="s">
        <v>582</v>
      </c>
      <c r="W10" s="23" t="s">
        <v>1012</v>
      </c>
      <c r="X10" s="180" t="s">
        <v>1004</v>
      </c>
      <c r="Y10" s="181" t="s">
        <v>1013</v>
      </c>
      <c r="Z10" s="180"/>
      <c r="AA10" s="162">
        <f t="shared" si="1"/>
        <v>0.8571428571428571</v>
      </c>
      <c r="AB10" s="310" t="s">
        <v>970</v>
      </c>
      <c r="AC10" s="204"/>
      <c r="AD10" s="132" t="str">
        <f>_xlfn.XLOOKUP(A10, 'Component Masterlist v2'!A:A, 'Component Masterlist v2'!G:G, "Not found")</f>
        <v>Santosh Golecha</v>
      </c>
      <c r="AE10" s="132" t="str">
        <f>_xlfn.XLOOKUP(A10, 'Component Masterlist v2'!A:A, 'Component Masterlist v2'!E:E, "Not found")</f>
        <v>Aditya Kolli</v>
      </c>
      <c r="AF10" s="180"/>
      <c r="AG10" s="82" t="s">
        <v>1009</v>
      </c>
      <c r="AH10" s="82" t="s">
        <v>1010</v>
      </c>
      <c r="AI10" s="180"/>
    </row>
    <row r="11" spans="1:35" hidden="1">
      <c r="A11" s="180" t="s">
        <v>32</v>
      </c>
      <c r="B11" s="57" t="s">
        <v>1014</v>
      </c>
      <c r="C11" s="310" t="s">
        <v>880</v>
      </c>
      <c r="D11" s="311">
        <f>8*15</f>
        <v>120</v>
      </c>
      <c r="E11" s="109">
        <f t="shared" si="0"/>
        <v>240</v>
      </c>
      <c r="F11" s="326" t="s">
        <v>882</v>
      </c>
      <c r="G11" s="27" t="s">
        <v>887</v>
      </c>
      <c r="H11" s="180"/>
      <c r="I11" s="180"/>
      <c r="J11" s="180"/>
      <c r="K11" s="176"/>
      <c r="L11" s="175"/>
      <c r="M11" s="180"/>
      <c r="N11" s="180"/>
      <c r="O11" s="180"/>
      <c r="P11" s="180"/>
      <c r="Q11" s="180"/>
      <c r="R11" s="180" t="s">
        <v>965</v>
      </c>
      <c r="S11" s="180"/>
      <c r="T11" s="180" t="s">
        <v>580</v>
      </c>
      <c r="U11" s="180"/>
      <c r="V11" s="180" t="s">
        <v>582</v>
      </c>
      <c r="W11" s="180"/>
      <c r="X11" s="180" t="s">
        <v>1004</v>
      </c>
      <c r="Y11" s="342" t="s">
        <v>1015</v>
      </c>
      <c r="Z11" s="180"/>
      <c r="AA11" s="162">
        <f t="shared" si="1"/>
        <v>0.7142857142857143</v>
      </c>
      <c r="AB11" s="310" t="s">
        <v>970</v>
      </c>
      <c r="AC11" s="204"/>
      <c r="AD11" s="132" t="str">
        <f>_xlfn.XLOOKUP(A11, 'Component Masterlist v2'!A:A, 'Component Masterlist v2'!G:G, "Not found")</f>
        <v>Santosh Golecha</v>
      </c>
      <c r="AE11" s="132" t="str">
        <f>_xlfn.XLOOKUP(A11, 'Component Masterlist v2'!A:A, 'Component Masterlist v2'!E:E, "Not found")</f>
        <v>Aditya Kolli</v>
      </c>
      <c r="AF11" s="180"/>
      <c r="AG11" s="82" t="s">
        <v>1009</v>
      </c>
      <c r="AH11" s="82" t="s">
        <v>1010</v>
      </c>
      <c r="AI11" s="180"/>
    </row>
    <row r="12" spans="1:35" hidden="1">
      <c r="A12" s="180" t="s">
        <v>32</v>
      </c>
      <c r="B12" s="57" t="s">
        <v>1016</v>
      </c>
      <c r="C12" s="315" t="s">
        <v>880</v>
      </c>
      <c r="D12" s="311">
        <f>8*15</f>
        <v>120</v>
      </c>
      <c r="E12" s="109">
        <f t="shared" si="0"/>
        <v>240</v>
      </c>
      <c r="F12" s="326" t="s">
        <v>885</v>
      </c>
      <c r="G12" s="53"/>
      <c r="H12" s="180"/>
      <c r="I12" s="180"/>
      <c r="J12" s="180"/>
      <c r="K12" s="176"/>
      <c r="L12" s="175"/>
      <c r="M12" s="180"/>
      <c r="N12" s="180"/>
      <c r="O12" s="180"/>
      <c r="P12" s="180"/>
      <c r="Q12" s="180"/>
      <c r="R12" s="180"/>
      <c r="S12" s="180"/>
      <c r="T12" s="180"/>
      <c r="U12" s="180"/>
      <c r="V12" s="180"/>
      <c r="W12" s="180"/>
      <c r="X12" s="180"/>
      <c r="Y12" s="342"/>
      <c r="Z12" s="180"/>
      <c r="AA12" s="162"/>
      <c r="AB12" s="310"/>
      <c r="AC12" s="204"/>
      <c r="AD12" s="132" t="str">
        <f>_xlfn.XLOOKUP(A12, 'Component Masterlist v2'!A:A, 'Component Masterlist v2'!G:G, "Not found")</f>
        <v>Santosh Golecha</v>
      </c>
      <c r="AE12" s="132" t="str">
        <f>_xlfn.XLOOKUP(A12, 'Component Masterlist v2'!A:A, 'Component Masterlist v2'!E:E, "Not found")</f>
        <v>Aditya Kolli</v>
      </c>
      <c r="AF12" s="180"/>
      <c r="AG12" s="82"/>
      <c r="AH12" s="82"/>
      <c r="AI12" s="180"/>
    </row>
    <row r="13" spans="1:35" hidden="1">
      <c r="A13" s="180" t="s">
        <v>32</v>
      </c>
      <c r="B13" s="57" t="s">
        <v>1017</v>
      </c>
      <c r="C13" s="315" t="s">
        <v>880</v>
      </c>
      <c r="D13" s="311">
        <f>7*15</f>
        <v>105</v>
      </c>
      <c r="E13" s="109">
        <f t="shared" si="0"/>
        <v>210</v>
      </c>
      <c r="F13" s="326" t="s">
        <v>882</v>
      </c>
      <c r="G13" s="53"/>
      <c r="H13" s="180"/>
      <c r="I13" s="180"/>
      <c r="J13" s="180"/>
      <c r="K13" s="176"/>
      <c r="L13" s="175"/>
      <c r="M13" s="180"/>
      <c r="N13" s="180"/>
      <c r="O13" s="180"/>
      <c r="P13" s="180"/>
      <c r="Q13" s="180"/>
      <c r="R13" s="180"/>
      <c r="S13" s="180"/>
      <c r="T13" s="180"/>
      <c r="U13" s="180"/>
      <c r="V13" s="180"/>
      <c r="W13" s="180"/>
      <c r="X13" s="180"/>
      <c r="Y13" s="342"/>
      <c r="Z13" s="180"/>
      <c r="AA13" s="162"/>
      <c r="AB13" s="310"/>
      <c r="AC13" s="204"/>
      <c r="AD13" s="132" t="str">
        <f>_xlfn.XLOOKUP(A13, 'Component Masterlist v2'!A:A, 'Component Masterlist v2'!G:G, "Not found")</f>
        <v>Santosh Golecha</v>
      </c>
      <c r="AE13" s="132" t="str">
        <f>_xlfn.XLOOKUP(A13, 'Component Masterlist v2'!A:A, 'Component Masterlist v2'!E:E, "Not found")</f>
        <v>Aditya Kolli</v>
      </c>
      <c r="AF13" s="180"/>
      <c r="AG13" s="82"/>
      <c r="AH13" s="82"/>
      <c r="AI13" s="180"/>
    </row>
    <row r="14" spans="1:35" hidden="1">
      <c r="A14" s="180" t="s">
        <v>32</v>
      </c>
      <c r="B14" s="57" t="s">
        <v>1018</v>
      </c>
      <c r="C14" s="315" t="s">
        <v>880</v>
      </c>
      <c r="D14" s="310">
        <f>8*15</f>
        <v>120</v>
      </c>
      <c r="E14" s="207">
        <f t="shared" si="0"/>
        <v>240</v>
      </c>
      <c r="F14" s="180" t="s">
        <v>894</v>
      </c>
      <c r="G14" s="53"/>
      <c r="H14" s="180"/>
      <c r="I14" s="180"/>
      <c r="J14" s="180"/>
      <c r="K14" s="176"/>
      <c r="L14" s="175"/>
      <c r="M14" s="180"/>
      <c r="N14" s="180"/>
      <c r="O14" s="180"/>
      <c r="P14" s="180"/>
      <c r="Q14" s="180"/>
      <c r="R14" s="180"/>
      <c r="S14" s="180"/>
      <c r="T14" s="180"/>
      <c r="U14" s="180"/>
      <c r="V14" s="180"/>
      <c r="W14" s="180"/>
      <c r="X14" s="180"/>
      <c r="Y14" s="342"/>
      <c r="Z14" s="180"/>
      <c r="AA14" s="162"/>
      <c r="AB14" s="310"/>
      <c r="AC14" s="204"/>
      <c r="AD14" s="132" t="str">
        <f>_xlfn.XLOOKUP(A14, 'Component Masterlist v2'!A:A, 'Component Masterlist v2'!G:G, "Not found")</f>
        <v>Santosh Golecha</v>
      </c>
      <c r="AE14" s="132" t="str">
        <f>_xlfn.XLOOKUP(A14, 'Component Masterlist v2'!A:A, 'Component Masterlist v2'!E:E, "Not found")</f>
        <v>Aditya Kolli</v>
      </c>
      <c r="AF14" s="180"/>
      <c r="AG14" s="82"/>
      <c r="AH14" s="82"/>
      <c r="AI14" s="180"/>
    </row>
    <row r="15" spans="1:35" hidden="1">
      <c r="A15" s="180" t="s">
        <v>62</v>
      </c>
      <c r="B15" s="317" t="s">
        <v>1019</v>
      </c>
      <c r="C15" s="310" t="s">
        <v>858</v>
      </c>
      <c r="D15" s="178">
        <v>0</v>
      </c>
      <c r="E15" s="361">
        <f t="shared" ref="E15:E47" si="2">D15*2</f>
        <v>0</v>
      </c>
      <c r="F15" s="125" t="s">
        <v>863</v>
      </c>
      <c r="G15" s="53" t="s">
        <v>864</v>
      </c>
      <c r="H15" s="180" t="s">
        <v>865</v>
      </c>
      <c r="I15" s="180"/>
      <c r="J15" s="180"/>
      <c r="K15" s="180"/>
      <c r="L15" s="180"/>
      <c r="M15" s="180"/>
      <c r="N15" s="180"/>
      <c r="O15" s="180"/>
      <c r="P15" s="180"/>
      <c r="Q15" s="180"/>
      <c r="R15" s="180" t="s">
        <v>965</v>
      </c>
      <c r="S15" s="180"/>
      <c r="T15" s="180" t="s">
        <v>1020</v>
      </c>
      <c r="U15" s="180"/>
      <c r="V15" s="180" t="s">
        <v>1020</v>
      </c>
      <c r="W15" s="180" t="s">
        <v>1020</v>
      </c>
      <c r="X15" s="180" t="s">
        <v>1020</v>
      </c>
      <c r="Y15" s="181" t="s">
        <v>1021</v>
      </c>
      <c r="Z15" s="180" t="s">
        <v>1020</v>
      </c>
      <c r="AA15" s="162">
        <f t="shared" si="1"/>
        <v>1</v>
      </c>
      <c r="AB15" s="310" t="s">
        <v>970</v>
      </c>
      <c r="AC15" s="204"/>
      <c r="AD15" s="132" t="str">
        <f>_xlfn.XLOOKUP(A15, 'Component Masterlist v2'!A:A, 'Component Masterlist v2'!G:G, "Not found")</f>
        <v>Satish Sallakonda</v>
      </c>
      <c r="AE15" s="132" t="str">
        <f>_xlfn.XLOOKUP(A15, 'Component Masterlist v2'!A:A, 'Component Masterlist v2'!E:E, "Not found")</f>
        <v>Satish Sallakonda</v>
      </c>
      <c r="AF15" s="180"/>
      <c r="AG15" s="82" t="s">
        <v>1022</v>
      </c>
      <c r="AH15" s="82" t="s">
        <v>1023</v>
      </c>
      <c r="AI15" s="180"/>
    </row>
    <row r="16" spans="1:35" hidden="1">
      <c r="A16" s="180" t="s">
        <v>62</v>
      </c>
      <c r="B16" s="317" t="s">
        <v>1024</v>
      </c>
      <c r="C16" s="310" t="s">
        <v>858</v>
      </c>
      <c r="D16" s="178">
        <v>60</v>
      </c>
      <c r="E16" s="179">
        <f t="shared" si="2"/>
        <v>120</v>
      </c>
      <c r="F16" s="343" t="s">
        <v>861</v>
      </c>
      <c r="G16" s="27" t="s">
        <v>862</v>
      </c>
      <c r="H16" s="180" t="s">
        <v>860</v>
      </c>
      <c r="I16" s="180"/>
      <c r="J16" s="180"/>
      <c r="K16" s="180"/>
      <c r="L16" s="180"/>
      <c r="M16" s="180"/>
      <c r="N16" s="180"/>
      <c r="O16" s="180"/>
      <c r="P16" s="180"/>
      <c r="Q16" s="180"/>
      <c r="R16" s="180" t="s">
        <v>965</v>
      </c>
      <c r="S16" s="180"/>
      <c r="T16" s="180" t="s">
        <v>1020</v>
      </c>
      <c r="U16" s="180"/>
      <c r="V16" s="180" t="s">
        <v>1025</v>
      </c>
      <c r="W16" s="180" t="s">
        <v>1020</v>
      </c>
      <c r="X16" s="180" t="s">
        <v>1020</v>
      </c>
      <c r="Y16" s="181" t="s">
        <v>1026</v>
      </c>
      <c r="Z16" s="180" t="s">
        <v>1020</v>
      </c>
      <c r="AA16" s="162">
        <f t="shared" si="1"/>
        <v>1</v>
      </c>
      <c r="AB16" s="310" t="s">
        <v>970</v>
      </c>
      <c r="AC16" s="204"/>
      <c r="AD16" s="132" t="str">
        <f>_xlfn.XLOOKUP(A16, 'Component Masterlist v2'!A:A, 'Component Masterlist v2'!G:G, "Not found")</f>
        <v>Satish Sallakonda</v>
      </c>
      <c r="AE16" s="132" t="str">
        <f>_xlfn.XLOOKUP(A16, 'Component Masterlist v2'!A:A, 'Component Masterlist v2'!E:E, "Not found")</f>
        <v>Satish Sallakonda</v>
      </c>
      <c r="AF16" s="180"/>
      <c r="AG16" s="82" t="s">
        <v>1027</v>
      </c>
      <c r="AH16" s="82" t="s">
        <v>1028</v>
      </c>
      <c r="AI16" s="180"/>
    </row>
    <row r="17" spans="1:35" hidden="1">
      <c r="A17" s="180" t="s">
        <v>62</v>
      </c>
      <c r="B17" s="317" t="s">
        <v>1029</v>
      </c>
      <c r="C17" s="310" t="s">
        <v>858</v>
      </c>
      <c r="D17" s="178">
        <v>30</v>
      </c>
      <c r="E17" s="179">
        <f t="shared" si="2"/>
        <v>60</v>
      </c>
      <c r="F17" s="180" t="s">
        <v>866</v>
      </c>
      <c r="G17" s="180"/>
      <c r="H17" s="180"/>
      <c r="I17" s="180"/>
      <c r="J17" s="180"/>
      <c r="K17" s="180"/>
      <c r="L17" s="180"/>
      <c r="M17" s="180"/>
      <c r="N17" s="180"/>
      <c r="O17" s="180"/>
      <c r="P17" s="180"/>
      <c r="Q17" s="180"/>
      <c r="R17" s="180" t="s">
        <v>965</v>
      </c>
      <c r="S17" s="180"/>
      <c r="T17" s="180" t="s">
        <v>1020</v>
      </c>
      <c r="U17" s="180"/>
      <c r="V17" s="180" t="s">
        <v>1020</v>
      </c>
      <c r="W17" s="180" t="s">
        <v>1020</v>
      </c>
      <c r="X17" s="180" t="s">
        <v>1020</v>
      </c>
      <c r="Y17" s="181" t="s">
        <v>1030</v>
      </c>
      <c r="Z17" s="180" t="s">
        <v>1020</v>
      </c>
      <c r="AA17" s="162">
        <f t="shared" si="1"/>
        <v>1</v>
      </c>
      <c r="AB17" s="310" t="s">
        <v>970</v>
      </c>
      <c r="AC17" s="204"/>
      <c r="AD17" s="132" t="str">
        <f>_xlfn.XLOOKUP(A17, 'Component Masterlist v2'!A:A, 'Component Masterlist v2'!G:G, "Not found")</f>
        <v>Satish Sallakonda</v>
      </c>
      <c r="AE17" s="132" t="str">
        <f>_xlfn.XLOOKUP(A17, 'Component Masterlist v2'!A:A, 'Component Masterlist v2'!E:E, "Not found")</f>
        <v>Satish Sallakonda</v>
      </c>
      <c r="AF17" s="180"/>
      <c r="AG17" s="82" t="s">
        <v>1031</v>
      </c>
      <c r="AH17" s="82" t="s">
        <v>1032</v>
      </c>
      <c r="AI17" s="180"/>
    </row>
    <row r="18" spans="1:35" hidden="1">
      <c r="A18" s="180" t="s">
        <v>62</v>
      </c>
      <c r="B18" s="317" t="s">
        <v>1033</v>
      </c>
      <c r="C18" s="310" t="s">
        <v>858</v>
      </c>
      <c r="D18" s="178">
        <v>60</v>
      </c>
      <c r="E18" s="179">
        <f t="shared" si="2"/>
        <v>120</v>
      </c>
      <c r="F18" s="125" t="s">
        <v>859</v>
      </c>
      <c r="G18" s="27" t="s">
        <v>856</v>
      </c>
      <c r="H18" s="180" t="s">
        <v>867</v>
      </c>
      <c r="I18" s="180"/>
      <c r="J18" s="180"/>
      <c r="K18" s="180"/>
      <c r="L18" s="180"/>
      <c r="M18" s="180"/>
      <c r="N18" s="180"/>
      <c r="O18" s="180"/>
      <c r="P18" s="180"/>
      <c r="Q18" s="180"/>
      <c r="R18" s="180" t="s">
        <v>965</v>
      </c>
      <c r="S18" s="180"/>
      <c r="T18" s="180" t="s">
        <v>1020</v>
      </c>
      <c r="U18" s="180"/>
      <c r="V18" s="180" t="s">
        <v>1034</v>
      </c>
      <c r="W18" s="180" t="s">
        <v>1020</v>
      </c>
      <c r="X18" s="180" t="s">
        <v>1035</v>
      </c>
      <c r="Y18" s="181" t="s">
        <v>1036</v>
      </c>
      <c r="Z18" s="180" t="s">
        <v>1020</v>
      </c>
      <c r="AA18" s="162">
        <f t="shared" si="1"/>
        <v>1</v>
      </c>
      <c r="AB18" s="310" t="s">
        <v>970</v>
      </c>
      <c r="AC18" s="204"/>
      <c r="AD18" s="132" t="str">
        <f>_xlfn.XLOOKUP(A18, 'Component Masterlist v2'!A:A, 'Component Masterlist v2'!G:G, "Not found")</f>
        <v>Satish Sallakonda</v>
      </c>
      <c r="AE18" s="132" t="str">
        <f>_xlfn.XLOOKUP(A18, 'Component Masterlist v2'!A:A, 'Component Masterlist v2'!E:E, "Not found")</f>
        <v>Satish Sallakonda</v>
      </c>
      <c r="AF18" s="180"/>
      <c r="AG18" s="82" t="s">
        <v>1037</v>
      </c>
      <c r="AH18" s="82" t="s">
        <v>1038</v>
      </c>
      <c r="AI18" s="180"/>
    </row>
    <row r="19" spans="1:35" hidden="1">
      <c r="A19" s="180" t="s">
        <v>90</v>
      </c>
      <c r="B19" s="317" t="s">
        <v>90</v>
      </c>
      <c r="C19" s="310" t="s">
        <v>155</v>
      </c>
      <c r="D19" s="318">
        <f>8*10+1*7.5</f>
        <v>87.5</v>
      </c>
      <c r="E19" s="319">
        <f t="shared" si="2"/>
        <v>175</v>
      </c>
      <c r="F19" s="180" t="s">
        <v>654</v>
      </c>
      <c r="G19" s="180" t="s">
        <v>657</v>
      </c>
      <c r="H19" s="29" t="s">
        <v>658</v>
      </c>
      <c r="I19" s="180" t="s">
        <v>659</v>
      </c>
      <c r="J19" s="180" t="s">
        <v>661</v>
      </c>
      <c r="K19" s="180"/>
      <c r="L19" s="180"/>
      <c r="M19" s="180"/>
      <c r="N19" s="180"/>
      <c r="O19" s="180"/>
      <c r="P19" s="180"/>
      <c r="Q19" s="180"/>
      <c r="R19" s="180"/>
      <c r="S19" s="180"/>
      <c r="T19" s="180" t="s">
        <v>655</v>
      </c>
      <c r="U19" s="180"/>
      <c r="V19" s="180" t="s">
        <v>249</v>
      </c>
      <c r="W19" s="180" t="s">
        <v>1004</v>
      </c>
      <c r="X19" s="180" t="s">
        <v>1039</v>
      </c>
      <c r="Y19" s="181" t="s">
        <v>1040</v>
      </c>
      <c r="Z19" s="180" t="s">
        <v>1041</v>
      </c>
      <c r="AA19" s="312">
        <f t="shared" si="1"/>
        <v>1</v>
      </c>
      <c r="AB19" s="310" t="s">
        <v>970</v>
      </c>
      <c r="AC19" s="204"/>
      <c r="AD19" s="314" t="str">
        <f>_xlfn.XLOOKUP(A19, 'Component Masterlist v2'!A:A, 'Component Masterlist v2'!G:G, "Not found")</f>
        <v>Ved Singh</v>
      </c>
      <c r="AE19" s="314" t="str">
        <f>_xlfn.XLOOKUP(A19, 'Component Masterlist v2'!A:A, 'Component Masterlist v2'!E:E, "Not found")</f>
        <v>Ketan Dikshit</v>
      </c>
      <c r="AF19" s="180"/>
      <c r="AG19" s="82" t="s">
        <v>1042</v>
      </c>
      <c r="AH19" s="82" t="s">
        <v>1043</v>
      </c>
      <c r="AI19" s="180"/>
    </row>
    <row r="20" spans="1:35" hidden="1">
      <c r="A20" s="180" t="s">
        <v>67</v>
      </c>
      <c r="B20" s="317" t="s">
        <v>1044</v>
      </c>
      <c r="C20" s="310" t="s">
        <v>780</v>
      </c>
      <c r="D20" s="311">
        <v>22.5</v>
      </c>
      <c r="E20" s="320">
        <f t="shared" si="2"/>
        <v>45</v>
      </c>
      <c r="F20" s="125" t="s">
        <v>848</v>
      </c>
      <c r="G20" s="27" t="s">
        <v>849</v>
      </c>
      <c r="H20" s="180" t="s">
        <v>852</v>
      </c>
      <c r="I20" s="180" t="s">
        <v>853</v>
      </c>
      <c r="J20" s="180"/>
      <c r="K20" s="180"/>
      <c r="L20" s="180"/>
      <c r="M20" s="180"/>
      <c r="N20" s="180"/>
      <c r="O20" s="180"/>
      <c r="P20" s="180"/>
      <c r="Q20" s="180"/>
      <c r="R20" s="180" t="s">
        <v>965</v>
      </c>
      <c r="S20" s="180"/>
      <c r="T20" s="180" t="s">
        <v>66</v>
      </c>
      <c r="U20" s="180"/>
      <c r="V20" s="180"/>
      <c r="W20" s="180"/>
      <c r="X20" s="180"/>
      <c r="Y20" s="181"/>
      <c r="Z20" s="180"/>
      <c r="AA20" s="312">
        <f t="shared" si="1"/>
        <v>0.2857142857142857</v>
      </c>
      <c r="AB20" s="310" t="s">
        <v>970</v>
      </c>
      <c r="AC20" s="204"/>
      <c r="AD20" s="314" t="str">
        <f>_xlfn.XLOOKUP(A20, 'Component Masterlist v2'!A:A, 'Component Masterlist v2'!G:G, "Not found")</f>
        <v>Satish Sallakonda</v>
      </c>
      <c r="AE20" s="314" t="str">
        <f>_xlfn.XLOOKUP(A20, 'Component Masterlist v2'!A:A, 'Component Masterlist v2'!E:E, "Not found")</f>
        <v>Satyajeet Singh</v>
      </c>
      <c r="AF20" s="180"/>
      <c r="AG20" s="82" t="s">
        <v>1045</v>
      </c>
      <c r="AH20" s="82" t="s">
        <v>1046</v>
      </c>
      <c r="AI20" s="82"/>
    </row>
    <row r="21" spans="1:35" hidden="1">
      <c r="A21" s="180" t="s">
        <v>67</v>
      </c>
      <c r="B21" s="317" t="s">
        <v>1047</v>
      </c>
      <c r="C21" s="310" t="s">
        <v>780</v>
      </c>
      <c r="D21" s="321">
        <f>3*7.5</f>
        <v>22.5</v>
      </c>
      <c r="E21" s="320">
        <f t="shared" si="2"/>
        <v>45</v>
      </c>
      <c r="F21" s="125" t="s">
        <v>845</v>
      </c>
      <c r="G21" s="27" t="s">
        <v>846</v>
      </c>
      <c r="H21" s="180" t="s">
        <v>847</v>
      </c>
      <c r="I21" s="180"/>
      <c r="J21" s="180"/>
      <c r="K21" s="180"/>
      <c r="L21" s="180"/>
      <c r="M21" s="180"/>
      <c r="N21" s="180"/>
      <c r="O21" s="180"/>
      <c r="P21" s="180"/>
      <c r="Q21" s="180"/>
      <c r="R21" s="180" t="s">
        <v>965</v>
      </c>
      <c r="S21" s="180"/>
      <c r="T21" s="180" t="s">
        <v>66</v>
      </c>
      <c r="U21" s="180"/>
      <c r="V21" s="180"/>
      <c r="W21" s="180"/>
      <c r="X21" s="180"/>
      <c r="Y21" s="181"/>
      <c r="Z21" s="180"/>
      <c r="AA21" s="312">
        <f t="shared" si="1"/>
        <v>0.2857142857142857</v>
      </c>
      <c r="AB21" s="310" t="s">
        <v>970</v>
      </c>
      <c r="AC21" s="204"/>
      <c r="AD21" s="314" t="str">
        <f>_xlfn.XLOOKUP(A21, 'Component Masterlist v2'!A:A, 'Component Masterlist v2'!G:G, "Not found")</f>
        <v>Satish Sallakonda</v>
      </c>
      <c r="AE21" s="314" t="str">
        <f>_xlfn.XLOOKUP(A21, 'Component Masterlist v2'!A:A, 'Component Masterlist v2'!E:E, "Not found")</f>
        <v>Satyajeet Singh</v>
      </c>
      <c r="AF21" s="180"/>
      <c r="AG21" s="82" t="s">
        <v>1048</v>
      </c>
      <c r="AH21" s="82" t="s">
        <v>1049</v>
      </c>
      <c r="AI21" s="82"/>
    </row>
    <row r="22" spans="1:35" hidden="1">
      <c r="A22" s="180" t="s">
        <v>67</v>
      </c>
      <c r="B22" s="317" t="s">
        <v>1050</v>
      </c>
      <c r="C22" s="310" t="s">
        <v>780</v>
      </c>
      <c r="D22" s="321">
        <f>3*7.5</f>
        <v>22.5</v>
      </c>
      <c r="E22" s="320">
        <f t="shared" si="2"/>
        <v>45</v>
      </c>
      <c r="F22" s="125" t="s">
        <v>843</v>
      </c>
      <c r="G22" s="27" t="s">
        <v>844</v>
      </c>
      <c r="H22" t="s">
        <v>850</v>
      </c>
      <c r="I22" s="180"/>
      <c r="J22" s="180"/>
      <c r="K22" s="180"/>
      <c r="L22" s="180"/>
      <c r="M22" s="180"/>
      <c r="N22" s="180"/>
      <c r="O22" s="180"/>
      <c r="P22" s="180"/>
      <c r="Q22" s="180"/>
      <c r="R22" s="180" t="s">
        <v>965</v>
      </c>
      <c r="S22" s="180"/>
      <c r="T22" s="180" t="s">
        <v>66</v>
      </c>
      <c r="U22" s="180"/>
      <c r="V22" s="180" t="s">
        <v>783</v>
      </c>
      <c r="W22" s="180"/>
      <c r="X22" s="180"/>
      <c r="Y22" s="180" t="s">
        <v>1051</v>
      </c>
      <c r="Z22" s="180"/>
      <c r="AA22" s="312">
        <f t="shared" si="1"/>
        <v>0.5714285714285714</v>
      </c>
      <c r="AB22" s="310" t="s">
        <v>970</v>
      </c>
      <c r="AC22" s="204"/>
      <c r="AD22" s="314" t="str">
        <f>_xlfn.XLOOKUP(A22, 'Component Masterlist v2'!A:A, 'Component Masterlist v2'!G:G, "Not found")</f>
        <v>Satish Sallakonda</v>
      </c>
      <c r="AE22" s="314" t="str">
        <f>_xlfn.XLOOKUP(A22, 'Component Masterlist v2'!A:A, 'Component Masterlist v2'!E:E, "Not found")</f>
        <v>Satyajeet Singh</v>
      </c>
      <c r="AF22" s="180"/>
      <c r="AG22" s="82" t="s">
        <v>1052</v>
      </c>
      <c r="AH22" s="82" t="s">
        <v>1053</v>
      </c>
      <c r="AI22" s="82"/>
    </row>
    <row r="23" spans="1:35" hidden="1">
      <c r="A23" s="180" t="s">
        <v>68</v>
      </c>
      <c r="B23" s="317" t="s">
        <v>68</v>
      </c>
      <c r="C23" s="310" t="s">
        <v>780</v>
      </c>
      <c r="D23" s="321">
        <v>45</v>
      </c>
      <c r="E23" s="97">
        <f t="shared" si="2"/>
        <v>90</v>
      </c>
      <c r="F23" s="125" t="s">
        <v>782</v>
      </c>
      <c r="G23" s="27" t="s">
        <v>784</v>
      </c>
      <c r="H23" s="125" t="s">
        <v>785</v>
      </c>
      <c r="I23" s="27" t="s">
        <v>786</v>
      </c>
      <c r="J23" s="125" t="s">
        <v>778</v>
      </c>
      <c r="K23" s="27" t="s">
        <v>781</v>
      </c>
      <c r="L23" s="180" t="s">
        <v>788</v>
      </c>
      <c r="M23" s="125" t="s">
        <v>790</v>
      </c>
      <c r="N23" s="180" t="s">
        <v>787</v>
      </c>
      <c r="O23" s="27" t="s">
        <v>789</v>
      </c>
      <c r="P23" s="27"/>
      <c r="Q23" s="180"/>
      <c r="R23" s="180" t="s">
        <v>965</v>
      </c>
      <c r="S23" s="180"/>
      <c r="T23" s="180" t="s">
        <v>66</v>
      </c>
      <c r="U23" s="180"/>
      <c r="V23" s="180" t="s">
        <v>249</v>
      </c>
      <c r="W23" s="180"/>
      <c r="X23" s="180"/>
      <c r="Y23" s="181" t="s">
        <v>1054</v>
      </c>
      <c r="Z23" s="180"/>
      <c r="AA23" s="312">
        <f t="shared" si="1"/>
        <v>0.5714285714285714</v>
      </c>
      <c r="AB23" s="310" t="s">
        <v>970</v>
      </c>
      <c r="AC23" s="204"/>
      <c r="AD23" s="314" t="str">
        <f>_xlfn.XLOOKUP(A23, 'Component Masterlist v2'!A:A, 'Component Masterlist v2'!G:G, "Not found")</f>
        <v>Satish Sallakonda</v>
      </c>
      <c r="AE23" s="314" t="str">
        <f>_xlfn.XLOOKUP(A23, 'Component Masterlist v2'!A:A, 'Component Masterlist v2'!E:E, "Not found")</f>
        <v>Satyajeet Singh</v>
      </c>
      <c r="AF23" s="180"/>
      <c r="AG23" s="82" t="s">
        <v>1055</v>
      </c>
      <c r="AH23" s="82" t="s">
        <v>1056</v>
      </c>
      <c r="AI23" s="82"/>
    </row>
    <row r="24" spans="1:35" hidden="1">
      <c r="A24" s="180" t="s">
        <v>33</v>
      </c>
      <c r="B24" s="317" t="s">
        <v>33</v>
      </c>
      <c r="C24" s="310" t="s">
        <v>33</v>
      </c>
      <c r="D24" s="321"/>
      <c r="E24" s="97"/>
      <c r="F24" s="125" t="s">
        <v>901</v>
      </c>
      <c r="G24" s="27"/>
      <c r="H24" s="125"/>
      <c r="I24" s="27"/>
      <c r="J24" s="125"/>
      <c r="K24" s="27"/>
      <c r="L24" s="180"/>
      <c r="M24" s="125"/>
      <c r="N24" s="180"/>
      <c r="O24" s="180"/>
      <c r="P24" s="180"/>
      <c r="Q24" s="180"/>
      <c r="R24" s="180"/>
      <c r="S24" s="180"/>
      <c r="T24" s="180"/>
      <c r="U24" s="180"/>
      <c r="V24" s="180"/>
      <c r="W24" s="180"/>
      <c r="X24" s="180"/>
      <c r="Y24" s="214"/>
      <c r="Z24" s="180"/>
      <c r="AA24" s="312">
        <f t="shared" si="1"/>
        <v>0.14285714285714285</v>
      </c>
      <c r="AB24" s="310"/>
      <c r="AC24" s="204"/>
      <c r="AD24" s="314" t="str">
        <f>_xlfn.XLOOKUP(A24, 'Component Masterlist v2'!A:A, 'Component Masterlist v2'!G:G, "Not found")</f>
        <v>Santosh Golecha</v>
      </c>
      <c r="AE24" s="314" t="str">
        <f>_xlfn.XLOOKUP(A24, 'Component Masterlist v2'!A:A, 'Component Masterlist v2'!E:E, "Not found")</f>
        <v>Aditya Kolli</v>
      </c>
      <c r="AF24" s="180"/>
      <c r="AG24" s="82"/>
      <c r="AH24" s="82"/>
      <c r="AI24" s="82"/>
    </row>
    <row r="25" spans="1:35" hidden="1">
      <c r="A25" s="180" t="s">
        <v>57</v>
      </c>
      <c r="B25" s="317" t="s">
        <v>1057</v>
      </c>
      <c r="C25" s="310" t="s">
        <v>533</v>
      </c>
      <c r="D25" s="321">
        <v>112.5</v>
      </c>
      <c r="E25" s="320">
        <f t="shared" si="2"/>
        <v>225</v>
      </c>
      <c r="F25" s="180" t="s">
        <v>531</v>
      </c>
      <c r="G25" s="180" t="s">
        <v>534</v>
      </c>
      <c r="H25" s="180" t="s">
        <v>535</v>
      </c>
      <c r="I25" s="180" t="s">
        <v>536</v>
      </c>
      <c r="J25" s="180" t="s">
        <v>537</v>
      </c>
      <c r="K25" s="180"/>
      <c r="L25" s="180"/>
      <c r="M25" s="180"/>
      <c r="N25" s="180"/>
      <c r="O25" s="180"/>
      <c r="P25" s="180"/>
      <c r="Q25" s="180"/>
      <c r="R25" s="180" t="s">
        <v>965</v>
      </c>
      <c r="S25" s="180"/>
      <c r="T25" s="180" t="s">
        <v>1058</v>
      </c>
      <c r="U25" s="180"/>
      <c r="V25" s="180" t="s">
        <v>510</v>
      </c>
      <c r="W25" s="180" t="s">
        <v>1059</v>
      </c>
      <c r="X25" s="180" t="s">
        <v>1020</v>
      </c>
      <c r="Y25" s="214" t="s">
        <v>1060</v>
      </c>
      <c r="Z25" s="180" t="s">
        <v>1020</v>
      </c>
      <c r="AA25" s="162">
        <f t="shared" si="1"/>
        <v>1</v>
      </c>
      <c r="AB25" s="310" t="s">
        <v>970</v>
      </c>
      <c r="AC25" s="204"/>
      <c r="AD25" s="132" t="s">
        <v>55</v>
      </c>
      <c r="AE25" s="132" t="s">
        <v>1061</v>
      </c>
      <c r="AF25" s="180"/>
      <c r="AG25" s="180"/>
      <c r="AH25" s="180"/>
      <c r="AI25" s="82"/>
    </row>
    <row r="26" spans="1:35" ht="18.75" customHeight="1">
      <c r="A26" s="180" t="s">
        <v>11</v>
      </c>
      <c r="B26" s="317" t="s">
        <v>1062</v>
      </c>
      <c r="C26" s="310" t="s">
        <v>11</v>
      </c>
      <c r="D26" s="318">
        <f>5.5*9</f>
        <v>49.5</v>
      </c>
      <c r="E26" s="97">
        <f t="shared" si="2"/>
        <v>99</v>
      </c>
      <c r="F26" s="180" t="s">
        <v>502</v>
      </c>
      <c r="G26" s="180"/>
      <c r="H26" s="180"/>
      <c r="I26" s="180"/>
      <c r="J26" s="180"/>
      <c r="K26" s="180"/>
      <c r="L26" s="180"/>
      <c r="M26" s="180"/>
      <c r="N26" s="180"/>
      <c r="O26" s="180"/>
      <c r="P26" s="180"/>
      <c r="Q26" s="180"/>
      <c r="R26" s="180" t="s">
        <v>965</v>
      </c>
      <c r="S26" s="87"/>
      <c r="T26" s="87" t="s">
        <v>1063</v>
      </c>
      <c r="U26" s="87"/>
      <c r="V26" s="87" t="s">
        <v>1064</v>
      </c>
      <c r="W26" s="87" t="s">
        <v>1065</v>
      </c>
      <c r="X26" s="87" t="s">
        <v>1066</v>
      </c>
      <c r="Y26" s="87" t="s">
        <v>1067</v>
      </c>
      <c r="Z26" s="87" t="s">
        <v>1068</v>
      </c>
      <c r="AA26" s="312">
        <f t="shared" si="1"/>
        <v>1</v>
      </c>
      <c r="AB26" s="310" t="s">
        <v>970</v>
      </c>
      <c r="AC26" s="204"/>
      <c r="AD26" s="314" t="str">
        <f>_xlfn.XLOOKUP(A26, 'Component Masterlist v2'!A:A, 'Component Masterlist v2'!G:G, "Not found")</f>
        <v>Keith Wiseman</v>
      </c>
      <c r="AE26" s="314" t="str">
        <f>_xlfn.XLOOKUP(A26, 'Component Masterlist v2'!A:A, 'Component Masterlist v2'!E:E, "Not found")</f>
        <v>Vaibhav Saini</v>
      </c>
      <c r="AF26" s="180"/>
      <c r="AG26" s="82" t="s">
        <v>1069</v>
      </c>
      <c r="AH26" s="82" t="s">
        <v>1070</v>
      </c>
      <c r="AI26" s="82"/>
    </row>
    <row r="27" spans="1:35" ht="19.5" customHeight="1">
      <c r="A27" s="180" t="s">
        <v>11</v>
      </c>
      <c r="B27" s="317" t="s">
        <v>1071</v>
      </c>
      <c r="C27" s="310" t="s">
        <v>11</v>
      </c>
      <c r="D27" s="310">
        <f>6.5*9</f>
        <v>58.5</v>
      </c>
      <c r="E27" s="97">
        <f t="shared" si="2"/>
        <v>117</v>
      </c>
      <c r="F27" s="180" t="s">
        <v>507</v>
      </c>
      <c r="G27" s="180"/>
      <c r="H27" s="180"/>
      <c r="I27" s="180"/>
      <c r="J27" s="180"/>
      <c r="K27" s="180"/>
      <c r="L27" s="180"/>
      <c r="M27" s="180"/>
      <c r="N27" s="180"/>
      <c r="O27" s="180"/>
      <c r="P27" s="180"/>
      <c r="Q27" s="180"/>
      <c r="R27" s="180" t="s">
        <v>965</v>
      </c>
      <c r="S27" s="87"/>
      <c r="T27" s="87" t="s">
        <v>1063</v>
      </c>
      <c r="U27" s="87"/>
      <c r="V27" s="87" t="s">
        <v>1064</v>
      </c>
      <c r="W27" s="87" t="s">
        <v>1072</v>
      </c>
      <c r="X27" s="87" t="s">
        <v>1066</v>
      </c>
      <c r="Y27" s="87" t="s">
        <v>1073</v>
      </c>
      <c r="Z27" s="87" t="s">
        <v>1068</v>
      </c>
      <c r="AA27" s="312">
        <f t="shared" si="1"/>
        <v>1</v>
      </c>
      <c r="AB27" s="310" t="s">
        <v>970</v>
      </c>
      <c r="AC27" s="204"/>
      <c r="AD27" s="314" t="str">
        <f>_xlfn.XLOOKUP(A27, 'Component Masterlist v2'!A:A, 'Component Masterlist v2'!G:G, "Not found")</f>
        <v>Keith Wiseman</v>
      </c>
      <c r="AE27" s="314" t="str">
        <f>_xlfn.XLOOKUP(A27, 'Component Masterlist v2'!A:A, 'Component Masterlist v2'!E:E, "Not found")</f>
        <v>Vaibhav Saini</v>
      </c>
      <c r="AF27" s="180"/>
      <c r="AG27" s="82" t="s">
        <v>1074</v>
      </c>
      <c r="AH27" s="82" t="s">
        <v>1075</v>
      </c>
      <c r="AI27" s="180"/>
    </row>
    <row r="28" spans="1:35" ht="19.5" customHeight="1">
      <c r="A28" s="180" t="s">
        <v>11</v>
      </c>
      <c r="B28" s="317" t="s">
        <v>1076</v>
      </c>
      <c r="C28" s="310" t="s">
        <v>11</v>
      </c>
      <c r="D28" s="310">
        <f>7.5*9</f>
        <v>67.5</v>
      </c>
      <c r="E28" s="97">
        <f>D28*2</f>
        <v>135</v>
      </c>
      <c r="F28" s="180" t="s">
        <v>506</v>
      </c>
      <c r="G28" s="180"/>
      <c r="H28" s="180"/>
      <c r="I28" s="180"/>
      <c r="J28" s="180"/>
      <c r="K28" s="180"/>
      <c r="L28" s="180"/>
      <c r="M28" s="180"/>
      <c r="N28" s="180"/>
      <c r="O28" s="180"/>
      <c r="P28" s="180"/>
      <c r="Q28" s="180"/>
      <c r="R28" s="180"/>
      <c r="S28" s="87"/>
      <c r="T28" s="87" t="s">
        <v>1063</v>
      </c>
      <c r="U28" s="87"/>
      <c r="V28" s="87" t="s">
        <v>1064</v>
      </c>
      <c r="W28" s="87"/>
      <c r="X28" s="87"/>
      <c r="Y28" s="87" t="s">
        <v>1077</v>
      </c>
      <c r="Z28" s="87" t="s">
        <v>1068</v>
      </c>
      <c r="AA28" s="312">
        <f t="shared" si="1"/>
        <v>0.7142857142857143</v>
      </c>
      <c r="AB28" s="310" t="s">
        <v>970</v>
      </c>
      <c r="AC28" s="204"/>
      <c r="AD28" s="314" t="str">
        <f>_xlfn.XLOOKUP(A28, 'Component Masterlist v2'!A:A, 'Component Masterlist v2'!G:G, "Not found")</f>
        <v>Keith Wiseman</v>
      </c>
      <c r="AE28" s="314" t="str">
        <f>_xlfn.XLOOKUP(A28, 'Component Masterlist v2'!A:A, 'Component Masterlist v2'!E:E, "Not found")</f>
        <v>Vaibhav Saini</v>
      </c>
      <c r="AF28" s="180"/>
      <c r="AG28" s="82" t="s">
        <v>1078</v>
      </c>
      <c r="AH28" s="82" t="s">
        <v>1070</v>
      </c>
      <c r="AI28" s="180"/>
    </row>
    <row r="29" spans="1:35" hidden="1">
      <c r="A29" s="27" t="s">
        <v>63</v>
      </c>
      <c r="B29" s="317" t="s">
        <v>1079</v>
      </c>
      <c r="C29" s="310" t="s">
        <v>63</v>
      </c>
      <c r="D29" s="310">
        <v>50</v>
      </c>
      <c r="E29" s="97">
        <f t="shared" si="2"/>
        <v>100</v>
      </c>
      <c r="F29" s="180" t="s">
        <v>686</v>
      </c>
      <c r="G29" s="180" t="s">
        <v>687</v>
      </c>
      <c r="H29" s="180" t="s">
        <v>683</v>
      </c>
      <c r="I29" s="180"/>
      <c r="J29" s="180"/>
      <c r="K29" s="180"/>
      <c r="L29" s="180"/>
      <c r="M29" s="180"/>
      <c r="N29" s="180"/>
      <c r="O29" s="180"/>
      <c r="P29" s="180"/>
      <c r="Q29" s="180"/>
      <c r="R29" s="180" t="s">
        <v>965</v>
      </c>
      <c r="S29" s="180"/>
      <c r="T29" s="180" t="s">
        <v>1080</v>
      </c>
      <c r="U29" s="180"/>
      <c r="V29" s="180" t="s">
        <v>1081</v>
      </c>
      <c r="W29" s="180" t="s">
        <v>682</v>
      </c>
      <c r="X29" s="180" t="s">
        <v>1082</v>
      </c>
      <c r="Y29" s="181" t="s">
        <v>1083</v>
      </c>
      <c r="Z29" s="180" t="s">
        <v>1020</v>
      </c>
      <c r="AA29" s="312">
        <f t="shared" si="1"/>
        <v>1</v>
      </c>
      <c r="AB29" s="310" t="s">
        <v>970</v>
      </c>
      <c r="AC29" s="204"/>
      <c r="AD29" s="314" t="str">
        <f>_xlfn.XLOOKUP(A29, 'Component Masterlist v2'!A:A, 'Component Masterlist v2'!G:G, "Not found")</f>
        <v>Satish Sallakonda</v>
      </c>
      <c r="AE29" s="314" t="str">
        <f>_xlfn.XLOOKUP(A29, 'Component Masterlist v2'!A:A, 'Component Masterlist v2'!E:E, "Not found")</f>
        <v>Satish Sallakonda</v>
      </c>
      <c r="AF29" s="180"/>
      <c r="AG29" s="82" t="s">
        <v>1084</v>
      </c>
      <c r="AH29" s="82" t="s">
        <v>1085</v>
      </c>
      <c r="AI29" s="180"/>
    </row>
    <row r="30" spans="1:35" hidden="1">
      <c r="A30" s="27" t="s">
        <v>63</v>
      </c>
      <c r="B30" s="317" t="s">
        <v>1086</v>
      </c>
      <c r="C30" s="310" t="s">
        <v>63</v>
      </c>
      <c r="D30" s="310">
        <v>30</v>
      </c>
      <c r="E30" s="97">
        <f t="shared" si="2"/>
        <v>60</v>
      </c>
      <c r="F30" s="180" t="s">
        <v>690</v>
      </c>
      <c r="G30" s="180"/>
      <c r="H30" s="180"/>
      <c r="I30" s="180"/>
      <c r="J30" s="180"/>
      <c r="K30" s="180"/>
      <c r="L30" s="180"/>
      <c r="M30" s="180"/>
      <c r="N30" s="180"/>
      <c r="O30" s="180"/>
      <c r="P30" s="180"/>
      <c r="Q30" s="180"/>
      <c r="R30" s="180" t="s">
        <v>965</v>
      </c>
      <c r="S30" s="180"/>
      <c r="T30" s="180" t="s">
        <v>691</v>
      </c>
      <c r="U30" s="180"/>
      <c r="V30" s="180" t="s">
        <v>420</v>
      </c>
      <c r="W30" s="180" t="s">
        <v>682</v>
      </c>
      <c r="X30" s="180" t="s">
        <v>1020</v>
      </c>
      <c r="Y30" s="181" t="s">
        <v>1087</v>
      </c>
      <c r="Z30" s="180" t="s">
        <v>1020</v>
      </c>
      <c r="AA30" s="312">
        <f t="shared" si="1"/>
        <v>1</v>
      </c>
      <c r="AB30" s="310" t="s">
        <v>970</v>
      </c>
      <c r="AC30" s="204"/>
      <c r="AD30" s="314" t="str">
        <f>_xlfn.XLOOKUP(A30, 'Component Masterlist v2'!A:A, 'Component Masterlist v2'!G:G, "Not found")</f>
        <v>Satish Sallakonda</v>
      </c>
      <c r="AE30" s="314" t="str">
        <f>_xlfn.XLOOKUP(A30, 'Component Masterlist v2'!A:A, 'Component Masterlist v2'!E:E, "Not found")</f>
        <v>Satish Sallakonda</v>
      </c>
      <c r="AF30" s="180"/>
      <c r="AG30" s="82" t="s">
        <v>1088</v>
      </c>
      <c r="AH30" s="82" t="s">
        <v>1089</v>
      </c>
      <c r="AI30" s="180"/>
    </row>
    <row r="31" spans="1:35" hidden="1">
      <c r="A31" s="27" t="s">
        <v>63</v>
      </c>
      <c r="B31" s="317" t="s">
        <v>1090</v>
      </c>
      <c r="C31" s="310" t="s">
        <v>63</v>
      </c>
      <c r="D31" s="310">
        <v>30</v>
      </c>
      <c r="E31" s="97">
        <f t="shared" si="2"/>
        <v>60</v>
      </c>
      <c r="F31" s="180" t="s">
        <v>685</v>
      </c>
      <c r="G31" s="180" t="s">
        <v>684</v>
      </c>
      <c r="H31" s="180"/>
      <c r="I31" s="180"/>
      <c r="J31" s="180"/>
      <c r="K31" s="180"/>
      <c r="L31" s="180"/>
      <c r="M31" s="180"/>
      <c r="N31" s="180"/>
      <c r="O31" s="180"/>
      <c r="P31" s="180"/>
      <c r="Q31" s="180"/>
      <c r="R31" s="180" t="s">
        <v>965</v>
      </c>
      <c r="S31" s="180"/>
      <c r="T31" s="180" t="s">
        <v>1091</v>
      </c>
      <c r="U31" s="180"/>
      <c r="V31" s="180" t="s">
        <v>1092</v>
      </c>
      <c r="W31" s="180" t="s">
        <v>1093</v>
      </c>
      <c r="X31" s="180" t="s">
        <v>1082</v>
      </c>
      <c r="Y31" s="181" t="s">
        <v>1094</v>
      </c>
      <c r="Z31" s="180" t="s">
        <v>1020</v>
      </c>
      <c r="AA31" s="312">
        <f t="shared" si="1"/>
        <v>1</v>
      </c>
      <c r="AB31" s="310" t="s">
        <v>970</v>
      </c>
      <c r="AC31" s="204"/>
      <c r="AD31" s="314" t="str">
        <f>_xlfn.XLOOKUP(A31, 'Component Masterlist v2'!A:A, 'Component Masterlist v2'!G:G, "Not found")</f>
        <v>Satish Sallakonda</v>
      </c>
      <c r="AE31" s="314" t="str">
        <f>_xlfn.XLOOKUP(A31, 'Component Masterlist v2'!A:A, 'Component Masterlist v2'!E:E, "Not found")</f>
        <v>Satish Sallakonda</v>
      </c>
      <c r="AF31" s="180"/>
      <c r="AG31" s="82" t="s">
        <v>1095</v>
      </c>
      <c r="AH31" s="82" t="s">
        <v>1096</v>
      </c>
      <c r="AI31" s="180"/>
    </row>
    <row r="32" spans="1:35" hidden="1">
      <c r="A32" s="27" t="s">
        <v>63</v>
      </c>
      <c r="B32" s="317" t="s">
        <v>1097</v>
      </c>
      <c r="C32" s="310" t="s">
        <v>63</v>
      </c>
      <c r="D32" s="310">
        <v>60</v>
      </c>
      <c r="E32" s="97">
        <f t="shared" si="2"/>
        <v>120</v>
      </c>
      <c r="F32" s="180" t="s">
        <v>676</v>
      </c>
      <c r="G32" s="180" t="s">
        <v>680</v>
      </c>
      <c r="H32" s="180"/>
      <c r="I32" s="180"/>
      <c r="J32" s="180"/>
      <c r="K32" s="180"/>
      <c r="L32" s="180"/>
      <c r="M32" s="180"/>
      <c r="N32" s="180"/>
      <c r="O32" s="180"/>
      <c r="P32" s="180"/>
      <c r="Q32" s="180"/>
      <c r="R32" s="180" t="s">
        <v>965</v>
      </c>
      <c r="S32" s="180"/>
      <c r="T32" s="180" t="s">
        <v>1098</v>
      </c>
      <c r="U32" s="180"/>
      <c r="V32" s="180" t="s">
        <v>1099</v>
      </c>
      <c r="W32" s="180" t="s">
        <v>1100</v>
      </c>
      <c r="X32" s="180" t="s">
        <v>1082</v>
      </c>
      <c r="Y32" s="181" t="s">
        <v>1101</v>
      </c>
      <c r="Z32" s="180" t="s">
        <v>1020</v>
      </c>
      <c r="AA32" s="312">
        <f t="shared" si="1"/>
        <v>1</v>
      </c>
      <c r="AB32" s="310" t="s">
        <v>970</v>
      </c>
      <c r="AC32" s="204"/>
      <c r="AD32" s="314" t="str">
        <f>_xlfn.XLOOKUP(A32, 'Component Masterlist v2'!A:A, 'Component Masterlist v2'!G:G, "Not found")</f>
        <v>Satish Sallakonda</v>
      </c>
      <c r="AE32" s="314" t="str">
        <f>_xlfn.XLOOKUP(A32, 'Component Masterlist v2'!A:A, 'Component Masterlist v2'!E:E, "Not found")</f>
        <v>Satish Sallakonda</v>
      </c>
      <c r="AF32" s="180"/>
      <c r="AG32" s="82" t="s">
        <v>1102</v>
      </c>
      <c r="AH32" s="82" t="s">
        <v>1103</v>
      </c>
      <c r="AI32" s="180"/>
    </row>
    <row r="33" spans="1:35">
      <c r="A33" s="180" t="s">
        <v>13</v>
      </c>
      <c r="B33" s="75" t="s">
        <v>1104</v>
      </c>
      <c r="C33" s="310" t="s">
        <v>274</v>
      </c>
      <c r="D33" s="310">
        <f>4*11</f>
        <v>44</v>
      </c>
      <c r="E33" s="97">
        <f t="shared" si="2"/>
        <v>88</v>
      </c>
      <c r="F33" s="128" t="s">
        <v>293</v>
      </c>
      <c r="G33" s="180"/>
      <c r="H33" s="180"/>
      <c r="I33" s="180"/>
      <c r="J33" s="180"/>
      <c r="K33" s="180"/>
      <c r="L33" s="180"/>
      <c r="M33" s="180"/>
      <c r="N33" s="180"/>
      <c r="O33" s="180"/>
      <c r="P33" s="180"/>
      <c r="Q33" s="180"/>
      <c r="R33" s="180" t="s">
        <v>965</v>
      </c>
      <c r="S33" s="75"/>
      <c r="T33" s="75" t="s">
        <v>281</v>
      </c>
      <c r="U33" s="75"/>
      <c r="V33" s="75" t="s">
        <v>1105</v>
      </c>
      <c r="W33" s="75" t="s">
        <v>1106</v>
      </c>
      <c r="X33" s="75"/>
      <c r="Y33" s="87" t="s">
        <v>1107</v>
      </c>
      <c r="Z33" s="87" t="s">
        <v>1108</v>
      </c>
      <c r="AA33" s="312">
        <f t="shared" si="1"/>
        <v>0.8571428571428571</v>
      </c>
      <c r="AB33" s="89" t="s">
        <v>970</v>
      </c>
      <c r="AC33" s="204"/>
      <c r="AD33" s="314" t="str">
        <f>_xlfn.XLOOKUP(A33, 'Component Masterlist v2'!A:A, 'Component Masterlist v2'!G:G, "Not found")</f>
        <v>Keith Wiseman</v>
      </c>
      <c r="AE33" s="314" t="str">
        <f>_xlfn.XLOOKUP(A33, 'Component Masterlist v2'!A:A, 'Component Masterlist v2'!E:E, "Not found")</f>
        <v>Vaibhav Saini</v>
      </c>
      <c r="AF33" s="180"/>
      <c r="AG33" s="82" t="s">
        <v>1109</v>
      </c>
      <c r="AH33" s="82" t="s">
        <v>1110</v>
      </c>
      <c r="AI33" s="180"/>
    </row>
    <row r="34" spans="1:35">
      <c r="A34" s="180" t="s">
        <v>13</v>
      </c>
      <c r="B34" s="75" t="s">
        <v>1111</v>
      </c>
      <c r="C34" s="310" t="s">
        <v>274</v>
      </c>
      <c r="D34" s="310">
        <f>3*11</f>
        <v>33</v>
      </c>
      <c r="E34" s="97">
        <f t="shared" si="2"/>
        <v>66</v>
      </c>
      <c r="F34" s="75" t="s">
        <v>268</v>
      </c>
      <c r="G34" s="125"/>
      <c r="H34" s="180"/>
      <c r="I34" s="180"/>
      <c r="J34" s="180"/>
      <c r="K34" s="180"/>
      <c r="L34" s="180"/>
      <c r="M34" s="180"/>
      <c r="N34" s="180"/>
      <c r="O34" s="180"/>
      <c r="P34" s="180"/>
      <c r="Q34" s="180"/>
      <c r="R34" s="180" t="s">
        <v>965</v>
      </c>
      <c r="S34" s="87"/>
      <c r="T34" s="87" t="s">
        <v>1112</v>
      </c>
      <c r="U34" s="87"/>
      <c r="V34" s="75" t="s">
        <v>1113</v>
      </c>
      <c r="W34" s="75" t="s">
        <v>1114</v>
      </c>
      <c r="X34" s="75"/>
      <c r="Y34" s="87" t="s">
        <v>1115</v>
      </c>
      <c r="Z34" s="87" t="s">
        <v>1108</v>
      </c>
      <c r="AA34" s="312">
        <f t="shared" si="1"/>
        <v>0.8571428571428571</v>
      </c>
      <c r="AB34" s="89" t="s">
        <v>970</v>
      </c>
      <c r="AC34" s="204"/>
      <c r="AD34" s="314" t="str">
        <f>_xlfn.XLOOKUP(A34, 'Component Masterlist v2'!A:A, 'Component Masterlist v2'!G:G, "Not found")</f>
        <v>Keith Wiseman</v>
      </c>
      <c r="AE34" s="314" t="str">
        <f>_xlfn.XLOOKUP(A34, 'Component Masterlist v2'!A:A, 'Component Masterlist v2'!E:E, "Not found")</f>
        <v>Vaibhav Saini</v>
      </c>
      <c r="AF34" s="180"/>
      <c r="AG34" s="82" t="s">
        <v>1116</v>
      </c>
      <c r="AH34" s="82" t="s">
        <v>1117</v>
      </c>
      <c r="AI34" s="180"/>
    </row>
    <row r="35" spans="1:35">
      <c r="A35" s="180" t="s">
        <v>13</v>
      </c>
      <c r="B35" s="75" t="s">
        <v>1118</v>
      </c>
      <c r="C35" s="310" t="s">
        <v>274</v>
      </c>
      <c r="D35" s="310">
        <f>5*11</f>
        <v>55</v>
      </c>
      <c r="E35" s="97">
        <f t="shared" si="2"/>
        <v>110</v>
      </c>
      <c r="F35" s="75" t="s">
        <v>284</v>
      </c>
      <c r="G35" s="180"/>
      <c r="H35" s="180"/>
      <c r="I35" s="180"/>
      <c r="J35" s="180"/>
      <c r="K35" s="180"/>
      <c r="L35" s="180"/>
      <c r="M35" s="180"/>
      <c r="N35" s="180"/>
      <c r="O35" s="180"/>
      <c r="P35" s="180"/>
      <c r="Q35" s="180"/>
      <c r="R35" s="180" t="s">
        <v>965</v>
      </c>
      <c r="S35" s="200"/>
      <c r="T35" s="75" t="s">
        <v>1119</v>
      </c>
      <c r="U35" s="75"/>
      <c r="V35" s="75" t="s">
        <v>1120</v>
      </c>
      <c r="W35" s="200" t="s">
        <v>1121</v>
      </c>
      <c r="X35" s="75"/>
      <c r="Y35" s="87" t="s">
        <v>1122</v>
      </c>
      <c r="Z35" s="87" t="s">
        <v>1108</v>
      </c>
      <c r="AA35" s="312">
        <f t="shared" si="1"/>
        <v>0.8571428571428571</v>
      </c>
      <c r="AB35" s="89" t="s">
        <v>970</v>
      </c>
      <c r="AC35" s="204"/>
      <c r="AD35" s="314" t="str">
        <f>_xlfn.XLOOKUP(A35, 'Component Masterlist v2'!A:A, 'Component Masterlist v2'!G:G, "Not found")</f>
        <v>Keith Wiseman</v>
      </c>
      <c r="AE35" s="314" t="str">
        <f>_xlfn.XLOOKUP(A35, 'Component Masterlist v2'!A:A, 'Component Masterlist v2'!E:E, "Not found")</f>
        <v>Vaibhav Saini</v>
      </c>
      <c r="AF35" s="180"/>
      <c r="AG35" s="82" t="s">
        <v>1123</v>
      </c>
      <c r="AH35" s="82" t="s">
        <v>1124</v>
      </c>
      <c r="AI35" s="180"/>
    </row>
    <row r="36" spans="1:35">
      <c r="A36" s="180" t="s">
        <v>13</v>
      </c>
      <c r="B36" s="75" t="s">
        <v>1125</v>
      </c>
      <c r="C36" s="310" t="s">
        <v>274</v>
      </c>
      <c r="D36" s="310">
        <f>7.5*11</f>
        <v>82.5</v>
      </c>
      <c r="E36" s="109">
        <f t="shared" si="2"/>
        <v>165</v>
      </c>
      <c r="F36" s="87" t="s">
        <v>280</v>
      </c>
      <c r="G36" s="180"/>
      <c r="H36" s="180"/>
      <c r="I36" s="180"/>
      <c r="J36" s="180"/>
      <c r="K36" s="180"/>
      <c r="L36" s="180"/>
      <c r="M36" s="180"/>
      <c r="N36" s="180"/>
      <c r="O36" s="180"/>
      <c r="P36" s="180"/>
      <c r="Q36" s="180"/>
      <c r="R36" s="180" t="s">
        <v>965</v>
      </c>
      <c r="S36" s="75"/>
      <c r="T36" s="75" t="s">
        <v>281</v>
      </c>
      <c r="U36" s="75"/>
      <c r="V36" s="75" t="s">
        <v>1126</v>
      </c>
      <c r="W36" s="75" t="s">
        <v>1127</v>
      </c>
      <c r="X36" s="75"/>
      <c r="Y36" s="87" t="s">
        <v>1128</v>
      </c>
      <c r="Z36" s="128" t="s">
        <v>1108</v>
      </c>
      <c r="AA36" s="312">
        <f t="shared" si="1"/>
        <v>0.8571428571428571</v>
      </c>
      <c r="AB36" s="89" t="s">
        <v>970</v>
      </c>
      <c r="AC36" s="204"/>
      <c r="AD36" s="314" t="str">
        <f>_xlfn.XLOOKUP(A36, 'Component Masterlist v2'!A:A, 'Component Masterlist v2'!G:G, "Not found")</f>
        <v>Keith Wiseman</v>
      </c>
      <c r="AE36" s="314" t="str">
        <f>_xlfn.XLOOKUP(A36, 'Component Masterlist v2'!A:A, 'Component Masterlist v2'!E:E, "Not found")</f>
        <v>Vaibhav Saini</v>
      </c>
      <c r="AF36" s="180"/>
      <c r="AG36" s="82" t="s">
        <v>1129</v>
      </c>
      <c r="AH36" s="82" t="s">
        <v>1130</v>
      </c>
      <c r="AI36" s="180"/>
    </row>
    <row r="37" spans="1:35">
      <c r="A37" s="180" t="s">
        <v>13</v>
      </c>
      <c r="B37" s="74" t="s">
        <v>1131</v>
      </c>
      <c r="C37" s="310" t="s">
        <v>274</v>
      </c>
      <c r="D37" s="316">
        <f>4*11</f>
        <v>44</v>
      </c>
      <c r="E37" s="320">
        <f t="shared" si="2"/>
        <v>88</v>
      </c>
      <c r="F37" s="212" t="s">
        <v>290</v>
      </c>
      <c r="G37" s="180"/>
      <c r="H37" s="180"/>
      <c r="I37" s="180"/>
      <c r="J37" s="180"/>
      <c r="K37" s="180"/>
      <c r="L37" s="180"/>
      <c r="M37" s="180"/>
      <c r="N37" s="180"/>
      <c r="O37" s="180"/>
      <c r="P37" s="180"/>
      <c r="Q37" s="180"/>
      <c r="R37" s="180" t="s">
        <v>965</v>
      </c>
      <c r="S37" s="23"/>
      <c r="T37" s="87" t="s">
        <v>1112</v>
      </c>
      <c r="U37" s="23"/>
      <c r="V37" s="180" t="s">
        <v>1126</v>
      </c>
      <c r="W37" s="75" t="s">
        <v>1132</v>
      </c>
      <c r="X37" s="180" t="s">
        <v>1133</v>
      </c>
      <c r="Y37" s="181" t="s">
        <v>1134</v>
      </c>
      <c r="Z37" s="128" t="s">
        <v>1108</v>
      </c>
      <c r="AA37" s="162">
        <f t="shared" si="1"/>
        <v>1</v>
      </c>
      <c r="AB37" s="89" t="s">
        <v>970</v>
      </c>
      <c r="AC37" s="204"/>
      <c r="AD37" s="132" t="str">
        <f>_xlfn.XLOOKUP(A37, 'Component Masterlist v2'!A:A, 'Component Masterlist v2'!G:G, "Not found")</f>
        <v>Keith Wiseman</v>
      </c>
      <c r="AE37" s="132" t="str">
        <f>_xlfn.XLOOKUP(A37, 'Component Masterlist v2'!A:A, 'Component Masterlist v2'!E:E, "Not found")</f>
        <v>Vaibhav Saini</v>
      </c>
      <c r="AF37" s="180"/>
      <c r="AG37" s="82" t="s">
        <v>1135</v>
      </c>
      <c r="AH37" s="82" t="s">
        <v>1136</v>
      </c>
      <c r="AI37" s="180"/>
    </row>
    <row r="38" spans="1:35">
      <c r="A38" s="180" t="s">
        <v>13</v>
      </c>
      <c r="B38" s="75" t="s">
        <v>1137</v>
      </c>
      <c r="C38" s="310" t="s">
        <v>274</v>
      </c>
      <c r="D38" s="316">
        <f>3.5*11</f>
        <v>38.5</v>
      </c>
      <c r="E38" s="97">
        <f t="shared" si="2"/>
        <v>77</v>
      </c>
      <c r="F38" s="163" t="s">
        <v>1138</v>
      </c>
      <c r="G38" s="180"/>
      <c r="H38" s="180"/>
      <c r="I38" s="180"/>
      <c r="J38" s="180"/>
      <c r="K38" s="180"/>
      <c r="L38" s="180"/>
      <c r="M38" s="180"/>
      <c r="N38" s="180"/>
      <c r="O38" s="180"/>
      <c r="P38" s="180"/>
      <c r="Q38" s="180"/>
      <c r="R38" s="180" t="s">
        <v>965</v>
      </c>
      <c r="S38" s="75"/>
      <c r="T38" s="75" t="s">
        <v>278</v>
      </c>
      <c r="U38" s="75"/>
      <c r="V38" s="75" t="s">
        <v>1139</v>
      </c>
      <c r="W38" s="200" t="s">
        <v>1121</v>
      </c>
      <c r="X38" s="75"/>
      <c r="Y38" s="87" t="s">
        <v>1140</v>
      </c>
      <c r="Z38" s="87" t="s">
        <v>1108</v>
      </c>
      <c r="AA38" s="312">
        <f t="shared" si="1"/>
        <v>0.8571428571428571</v>
      </c>
      <c r="AB38" s="89" t="s">
        <v>970</v>
      </c>
      <c r="AC38" s="204"/>
      <c r="AD38" s="314" t="str">
        <f>_xlfn.XLOOKUP(A38, 'Component Masterlist v2'!A:A, 'Component Masterlist v2'!G:G, "Not found")</f>
        <v>Keith Wiseman</v>
      </c>
      <c r="AE38" s="314" t="str">
        <f>_xlfn.XLOOKUP(A38, 'Component Masterlist v2'!A:A, 'Component Masterlist v2'!E:E, "Not found")</f>
        <v>Vaibhav Saini</v>
      </c>
      <c r="AF38" s="180"/>
      <c r="AG38" s="82" t="s">
        <v>1141</v>
      </c>
      <c r="AH38" s="82" t="s">
        <v>1142</v>
      </c>
      <c r="AI38" s="180"/>
    </row>
    <row r="39" spans="1:35">
      <c r="A39" s="180" t="s">
        <v>13</v>
      </c>
      <c r="B39" s="75" t="s">
        <v>1143</v>
      </c>
      <c r="C39" s="310" t="s">
        <v>274</v>
      </c>
      <c r="D39" s="316">
        <f>5*11</f>
        <v>55</v>
      </c>
      <c r="E39" s="97">
        <f t="shared" si="2"/>
        <v>110</v>
      </c>
      <c r="F39" s="163" t="s">
        <v>287</v>
      </c>
      <c r="G39" s="161"/>
      <c r="H39" s="180"/>
      <c r="I39" s="180"/>
      <c r="J39" s="180"/>
      <c r="K39" s="180"/>
      <c r="L39" s="180"/>
      <c r="M39" s="180"/>
      <c r="N39" s="180"/>
      <c r="O39" s="180"/>
      <c r="P39" s="180"/>
      <c r="Q39" s="180"/>
      <c r="R39" s="180" t="s">
        <v>965</v>
      </c>
      <c r="S39" s="75"/>
      <c r="T39" s="75" t="s">
        <v>278</v>
      </c>
      <c r="U39" s="75"/>
      <c r="V39" s="75" t="s">
        <v>1144</v>
      </c>
      <c r="W39" s="75" t="s">
        <v>1145</v>
      </c>
      <c r="X39" s="75"/>
      <c r="Y39" s="87" t="s">
        <v>1146</v>
      </c>
      <c r="Z39" s="87" t="s">
        <v>1108</v>
      </c>
      <c r="AA39" s="312">
        <f t="shared" si="1"/>
        <v>0.8571428571428571</v>
      </c>
      <c r="AB39" s="89" t="s">
        <v>970</v>
      </c>
      <c r="AC39" s="204"/>
      <c r="AD39" s="314" t="str">
        <f>_xlfn.XLOOKUP(A39, 'Component Masterlist v2'!A:A, 'Component Masterlist v2'!G:G, "Not found")</f>
        <v>Keith Wiseman</v>
      </c>
      <c r="AE39" s="314" t="str">
        <f>_xlfn.XLOOKUP(A39, 'Component Masterlist v2'!A:A, 'Component Masterlist v2'!E:E, "Not found")</f>
        <v>Vaibhav Saini</v>
      </c>
      <c r="AF39" s="180"/>
      <c r="AG39" s="82" t="s">
        <v>1147</v>
      </c>
      <c r="AH39" s="82" t="s">
        <v>1148</v>
      </c>
      <c r="AI39" s="180"/>
    </row>
    <row r="40" spans="1:35" hidden="1">
      <c r="A40" s="180" t="s">
        <v>61</v>
      </c>
      <c r="B40" s="180" t="s">
        <v>1149</v>
      </c>
      <c r="C40" s="310" t="s">
        <v>306</v>
      </c>
      <c r="D40" s="316">
        <v>45</v>
      </c>
      <c r="E40" s="320">
        <f t="shared" si="2"/>
        <v>90</v>
      </c>
      <c r="F40" s="212" t="s">
        <v>301</v>
      </c>
      <c r="G40" s="180" t="s">
        <v>308</v>
      </c>
      <c r="H40" s="180" t="s">
        <v>319</v>
      </c>
      <c r="I40" s="180" t="s">
        <v>332</v>
      </c>
      <c r="J40" s="180" t="s">
        <v>310</v>
      </c>
      <c r="K40" s="180"/>
      <c r="L40" s="180"/>
      <c r="M40" s="180"/>
      <c r="N40" s="180"/>
      <c r="O40" s="180"/>
      <c r="P40" s="180"/>
      <c r="Q40" s="180"/>
      <c r="R40" s="180" t="s">
        <v>965</v>
      </c>
      <c r="S40" s="180"/>
      <c r="T40" s="180" t="s">
        <v>1150</v>
      </c>
      <c r="U40" s="180"/>
      <c r="V40" s="180" t="s">
        <v>1151</v>
      </c>
      <c r="W40" s="180" t="s">
        <v>1152</v>
      </c>
      <c r="X40" s="180" t="s">
        <v>1020</v>
      </c>
      <c r="Y40" s="181" t="s">
        <v>1153</v>
      </c>
      <c r="Z40" s="180" t="s">
        <v>1020</v>
      </c>
      <c r="AA40" s="312">
        <f t="shared" si="1"/>
        <v>1</v>
      </c>
      <c r="AB40" s="310" t="s">
        <v>970</v>
      </c>
      <c r="AC40" s="204"/>
      <c r="AD40" s="314" t="str">
        <f>_xlfn.XLOOKUP(A40, 'Component Masterlist v2'!A:A, 'Component Masterlist v2'!G:G, "Not found")</f>
        <v>Turker Coskun</v>
      </c>
      <c r="AE40" s="314" t="str">
        <f>_xlfn.XLOOKUP(A40, 'Component Masterlist v2'!A:A, 'Component Masterlist v2'!E:E, "Not found")</f>
        <v>Prakash Mohan</v>
      </c>
      <c r="AF40" s="180"/>
      <c r="AG40" s="82" t="s">
        <v>1154</v>
      </c>
      <c r="AH40" s="82" t="s">
        <v>1155</v>
      </c>
      <c r="AI40" s="180"/>
    </row>
    <row r="41" spans="1:35" hidden="1">
      <c r="A41" s="180" t="s">
        <v>61</v>
      </c>
      <c r="B41" s="180" t="s">
        <v>1156</v>
      </c>
      <c r="C41" s="310" t="s">
        <v>306</v>
      </c>
      <c r="D41" s="316">
        <v>45</v>
      </c>
      <c r="E41" s="320">
        <f t="shared" si="2"/>
        <v>90</v>
      </c>
      <c r="F41" s="212" t="s">
        <v>330</v>
      </c>
      <c r="G41" s="180"/>
      <c r="H41" s="180"/>
      <c r="I41" s="180"/>
      <c r="J41" s="180"/>
      <c r="K41" s="180"/>
      <c r="L41" s="180"/>
      <c r="M41" s="180"/>
      <c r="N41" s="180"/>
      <c r="O41" s="180"/>
      <c r="P41" s="180"/>
      <c r="Q41" s="180"/>
      <c r="R41" s="180" t="s">
        <v>1157</v>
      </c>
      <c r="S41" s="180"/>
      <c r="T41" s="180" t="s">
        <v>1158</v>
      </c>
      <c r="U41" s="180"/>
      <c r="V41" s="180" t="s">
        <v>406</v>
      </c>
      <c r="W41" s="180" t="s">
        <v>1159</v>
      </c>
      <c r="X41" s="180" t="s">
        <v>1020</v>
      </c>
      <c r="Y41" s="181" t="s">
        <v>1160</v>
      </c>
      <c r="Z41" s="180" t="s">
        <v>1020</v>
      </c>
      <c r="AA41" s="312">
        <f t="shared" si="1"/>
        <v>1</v>
      </c>
      <c r="AB41" s="310" t="s">
        <v>970</v>
      </c>
      <c r="AC41" s="204"/>
      <c r="AD41" s="314" t="str">
        <f>_xlfn.XLOOKUP(A41, 'Component Masterlist v2'!A:A, 'Component Masterlist v2'!G:G, "Not found")</f>
        <v>Turker Coskun</v>
      </c>
      <c r="AE41" s="314" t="str">
        <f>_xlfn.XLOOKUP(A41, 'Component Masterlist v2'!A:A, 'Component Masterlist v2'!E:E, "Not found")</f>
        <v>Prakash Mohan</v>
      </c>
      <c r="AF41" s="180"/>
      <c r="AG41" s="82" t="s">
        <v>1161</v>
      </c>
      <c r="AH41" s="82" t="s">
        <v>1162</v>
      </c>
      <c r="AI41" s="180"/>
    </row>
    <row r="42" spans="1:35" hidden="1">
      <c r="A42" s="180" t="s">
        <v>61</v>
      </c>
      <c r="B42" s="180" t="s">
        <v>1163</v>
      </c>
      <c r="C42" s="310" t="s">
        <v>306</v>
      </c>
      <c r="D42" s="310">
        <v>30</v>
      </c>
      <c r="E42" s="320">
        <f t="shared" si="2"/>
        <v>60</v>
      </c>
      <c r="F42" s="180" t="s">
        <v>330</v>
      </c>
      <c r="G42" s="180"/>
      <c r="H42" s="180"/>
      <c r="I42" s="180"/>
      <c r="J42" s="180"/>
      <c r="K42" s="180"/>
      <c r="L42" s="180"/>
      <c r="M42" s="180"/>
      <c r="N42" s="180"/>
      <c r="O42" s="180"/>
      <c r="P42" s="180"/>
      <c r="Q42" s="180"/>
      <c r="R42" s="180" t="s">
        <v>1164</v>
      </c>
      <c r="S42" s="180"/>
      <c r="T42" s="180" t="s">
        <v>1158</v>
      </c>
      <c r="U42" s="180"/>
      <c r="V42" s="180" t="s">
        <v>406</v>
      </c>
      <c r="W42" s="180" t="s">
        <v>1165</v>
      </c>
      <c r="X42" s="180" t="s">
        <v>1020</v>
      </c>
      <c r="Y42" s="181" t="s">
        <v>1166</v>
      </c>
      <c r="Z42" s="180" t="s">
        <v>1020</v>
      </c>
      <c r="AA42" s="312">
        <f t="shared" si="1"/>
        <v>1</v>
      </c>
      <c r="AB42" s="310" t="s">
        <v>970</v>
      </c>
      <c r="AC42" s="204"/>
      <c r="AD42" s="314" t="str">
        <f>_xlfn.XLOOKUP(A42, 'Component Masterlist v2'!A:A, 'Component Masterlist v2'!G:G, "Not found")</f>
        <v>Turker Coskun</v>
      </c>
      <c r="AE42" s="314" t="str">
        <f>_xlfn.XLOOKUP(A42, 'Component Masterlist v2'!A:A, 'Component Masterlist v2'!E:E, "Not found")</f>
        <v>Prakash Mohan</v>
      </c>
      <c r="AF42" s="180"/>
      <c r="AG42" s="82" t="s">
        <v>1167</v>
      </c>
      <c r="AH42" s="82" t="s">
        <v>1168</v>
      </c>
      <c r="AI42" s="180"/>
    </row>
    <row r="43" spans="1:35" hidden="1">
      <c r="A43" s="180" t="s">
        <v>61</v>
      </c>
      <c r="B43" s="180" t="s">
        <v>1169</v>
      </c>
      <c r="C43" s="310" t="s">
        <v>306</v>
      </c>
      <c r="D43" s="311">
        <v>30</v>
      </c>
      <c r="E43" s="322">
        <f t="shared" si="2"/>
        <v>60</v>
      </c>
      <c r="F43" s="180" t="s">
        <v>321</v>
      </c>
      <c r="G43" s="180"/>
      <c r="H43" s="180"/>
      <c r="I43" s="180"/>
      <c r="J43" s="180"/>
      <c r="K43" s="180"/>
      <c r="L43" s="180"/>
      <c r="M43" s="180"/>
      <c r="N43" s="180"/>
      <c r="O43" s="180"/>
      <c r="P43" s="180"/>
      <c r="Q43" s="180"/>
      <c r="R43" s="180" t="s">
        <v>965</v>
      </c>
      <c r="S43" s="180"/>
      <c r="T43" s="180" t="s">
        <v>1170</v>
      </c>
      <c r="U43" s="180"/>
      <c r="V43" s="180" t="s">
        <v>1171</v>
      </c>
      <c r="W43" s="180" t="s">
        <v>1172</v>
      </c>
      <c r="X43" s="180" t="s">
        <v>1020</v>
      </c>
      <c r="Y43" s="181" t="s">
        <v>1173</v>
      </c>
      <c r="Z43" s="180" t="s">
        <v>1020</v>
      </c>
      <c r="AA43" s="312">
        <f t="shared" si="1"/>
        <v>1</v>
      </c>
      <c r="AB43" s="310" t="s">
        <v>970</v>
      </c>
      <c r="AC43" s="204"/>
      <c r="AD43" s="314" t="str">
        <f>_xlfn.XLOOKUP(A43, 'Component Masterlist v2'!A:A, 'Component Masterlist v2'!G:G, "Not found")</f>
        <v>Turker Coskun</v>
      </c>
      <c r="AE43" s="314" t="str">
        <f>_xlfn.XLOOKUP(A43, 'Component Masterlist v2'!A:A, 'Component Masterlist v2'!E:E, "Not found")</f>
        <v>Prakash Mohan</v>
      </c>
      <c r="AF43" s="180"/>
      <c r="AG43" s="82" t="s">
        <v>1174</v>
      </c>
      <c r="AH43" s="82" t="s">
        <v>1175</v>
      </c>
      <c r="AI43" s="180"/>
    </row>
    <row r="44" spans="1:35" hidden="1">
      <c r="A44" s="180" t="s">
        <v>61</v>
      </c>
      <c r="B44" s="180" t="s">
        <v>1176</v>
      </c>
      <c r="C44" s="310" t="s">
        <v>306</v>
      </c>
      <c r="D44" s="318">
        <v>60</v>
      </c>
      <c r="E44" s="322">
        <f t="shared" si="2"/>
        <v>120</v>
      </c>
      <c r="F44" s="180" t="s">
        <v>325</v>
      </c>
      <c r="G44" s="180" t="s">
        <v>1177</v>
      </c>
      <c r="H44" s="180"/>
      <c r="I44" s="180"/>
      <c r="J44" s="180"/>
      <c r="K44" s="180"/>
      <c r="L44" s="180"/>
      <c r="M44" s="180"/>
      <c r="N44" s="180"/>
      <c r="O44" s="180"/>
      <c r="P44" s="180"/>
      <c r="Q44" s="180"/>
      <c r="R44" s="180" t="s">
        <v>965</v>
      </c>
      <c r="S44" s="180"/>
      <c r="T44" s="180" t="s">
        <v>1178</v>
      </c>
      <c r="U44" s="180"/>
      <c r="V44" s="180" t="s">
        <v>324</v>
      </c>
      <c r="W44" s="180" t="s">
        <v>1179</v>
      </c>
      <c r="X44" s="180" t="s">
        <v>1020</v>
      </c>
      <c r="Y44" s="181" t="s">
        <v>1180</v>
      </c>
      <c r="Z44" s="180" t="s">
        <v>1020</v>
      </c>
      <c r="AA44" s="312">
        <f t="shared" si="1"/>
        <v>1</v>
      </c>
      <c r="AB44" s="310" t="s">
        <v>970</v>
      </c>
      <c r="AC44" s="204"/>
      <c r="AD44" s="314" t="str">
        <f>_xlfn.XLOOKUP(A44, 'Component Masterlist v2'!A:A, 'Component Masterlist v2'!G:G, "Not found")</f>
        <v>Turker Coskun</v>
      </c>
      <c r="AE44" s="314" t="str">
        <f>_xlfn.XLOOKUP(A44, 'Component Masterlist v2'!A:A, 'Component Masterlist v2'!E:E, "Not found")</f>
        <v>Prakash Mohan</v>
      </c>
      <c r="AF44" s="180"/>
      <c r="AG44" s="82" t="s">
        <v>1181</v>
      </c>
      <c r="AH44" s="82" t="s">
        <v>1182</v>
      </c>
      <c r="AI44" s="180"/>
    </row>
    <row r="45" spans="1:35" hidden="1">
      <c r="A45" s="180" t="s">
        <v>61</v>
      </c>
      <c r="B45" s="180" t="s">
        <v>1183</v>
      </c>
      <c r="C45" s="310" t="s">
        <v>306</v>
      </c>
      <c r="D45" s="321">
        <v>45</v>
      </c>
      <c r="E45" s="322">
        <f t="shared" si="2"/>
        <v>90</v>
      </c>
      <c r="F45" s="180" t="s">
        <v>328</v>
      </c>
      <c r="G45" s="180"/>
      <c r="H45" s="180"/>
      <c r="I45" s="180"/>
      <c r="J45" s="180"/>
      <c r="K45" s="180"/>
      <c r="L45" s="180"/>
      <c r="M45" s="180"/>
      <c r="N45" s="180"/>
      <c r="O45" s="180"/>
      <c r="P45" s="180"/>
      <c r="Q45" s="180"/>
      <c r="R45" s="180" t="s">
        <v>965</v>
      </c>
      <c r="S45" s="180"/>
      <c r="T45" s="180" t="s">
        <v>1184</v>
      </c>
      <c r="U45" s="204"/>
      <c r="V45" s="204" t="s">
        <v>1185</v>
      </c>
      <c r="W45" s="180" t="s">
        <v>1186</v>
      </c>
      <c r="X45" s="180" t="s">
        <v>1020</v>
      </c>
      <c r="Y45" s="181" t="s">
        <v>1187</v>
      </c>
      <c r="Z45" s="180" t="s">
        <v>1020</v>
      </c>
      <c r="AA45" s="312">
        <f t="shared" si="1"/>
        <v>1</v>
      </c>
      <c r="AB45" s="310" t="s">
        <v>970</v>
      </c>
      <c r="AC45" s="204"/>
      <c r="AD45" s="314" t="str">
        <f>_xlfn.XLOOKUP(A45, 'Component Masterlist v2'!A:A, 'Component Masterlist v2'!G:G, "Not found")</f>
        <v>Turker Coskun</v>
      </c>
      <c r="AE45" s="314" t="str">
        <f>_xlfn.XLOOKUP(A45, 'Component Masterlist v2'!A:A, 'Component Masterlist v2'!E:E, "Not found")</f>
        <v>Prakash Mohan</v>
      </c>
      <c r="AF45" s="180"/>
      <c r="AG45" s="82" t="s">
        <v>1188</v>
      </c>
      <c r="AH45" s="82" t="s">
        <v>1189</v>
      </c>
      <c r="AI45" s="180"/>
    </row>
    <row r="46" spans="1:35" hidden="1">
      <c r="A46" s="180" t="s">
        <v>61</v>
      </c>
      <c r="B46" s="180" t="s">
        <v>1190</v>
      </c>
      <c r="C46" s="310" t="s">
        <v>306</v>
      </c>
      <c r="D46" s="311">
        <v>30</v>
      </c>
      <c r="E46" s="320">
        <f t="shared" si="2"/>
        <v>60</v>
      </c>
      <c r="F46" s="180" t="s">
        <v>314</v>
      </c>
      <c r="G46" s="180" t="s">
        <v>316</v>
      </c>
      <c r="H46" s="180" t="s">
        <v>335</v>
      </c>
      <c r="I46" s="180"/>
      <c r="J46" s="180"/>
      <c r="K46" s="180"/>
      <c r="L46" s="180"/>
      <c r="M46" s="180"/>
      <c r="N46" s="180"/>
      <c r="O46" s="180"/>
      <c r="P46" s="180"/>
      <c r="Q46" s="180"/>
      <c r="R46" s="180" t="s">
        <v>965</v>
      </c>
      <c r="S46" s="180"/>
      <c r="T46" s="180" t="s">
        <v>1184</v>
      </c>
      <c r="U46" s="180"/>
      <c r="V46" s="180" t="s">
        <v>315</v>
      </c>
      <c r="W46" s="180" t="s">
        <v>1191</v>
      </c>
      <c r="X46" s="180" t="s">
        <v>1020</v>
      </c>
      <c r="Y46" s="181" t="s">
        <v>1192</v>
      </c>
      <c r="Z46" s="180" t="s">
        <v>1020</v>
      </c>
      <c r="AA46" s="312">
        <f t="shared" si="1"/>
        <v>1</v>
      </c>
      <c r="AB46" s="310" t="s">
        <v>970</v>
      </c>
      <c r="AC46" s="204"/>
      <c r="AD46" s="314" t="str">
        <f>_xlfn.XLOOKUP(A46, 'Component Masterlist v2'!A:A, 'Component Masterlist v2'!G:G, "Not found")</f>
        <v>Turker Coskun</v>
      </c>
      <c r="AE46" s="314" t="str">
        <f>_xlfn.XLOOKUP(A46, 'Component Masterlist v2'!A:A, 'Component Masterlist v2'!E:E, "Not found")</f>
        <v>Prakash Mohan</v>
      </c>
      <c r="AF46" s="180"/>
      <c r="AG46" s="82" t="s">
        <v>1193</v>
      </c>
      <c r="AH46" s="82" t="s">
        <v>1194</v>
      </c>
      <c r="AI46" s="180"/>
    </row>
    <row r="47" spans="1:35" hidden="1">
      <c r="A47" s="180" t="s">
        <v>81</v>
      </c>
      <c r="B47" s="317" t="s">
        <v>1195</v>
      </c>
      <c r="C47" s="310" t="s">
        <v>82</v>
      </c>
      <c r="D47" s="177">
        <f>(7*10) + (1*7.5)</f>
        <v>77.5</v>
      </c>
      <c r="E47" s="97">
        <f t="shared" si="2"/>
        <v>155</v>
      </c>
      <c r="F47" s="180" t="s">
        <v>255</v>
      </c>
      <c r="G47" s="180" t="s">
        <v>236</v>
      </c>
      <c r="H47" s="180" t="s">
        <v>238</v>
      </c>
      <c r="I47" s="180"/>
      <c r="J47" s="180"/>
      <c r="K47" s="180"/>
      <c r="L47" s="180"/>
      <c r="M47" s="180"/>
      <c r="N47" s="180"/>
      <c r="O47" s="180"/>
      <c r="P47" s="180"/>
      <c r="Q47" s="180"/>
      <c r="R47" s="180" t="s">
        <v>965</v>
      </c>
      <c r="S47" s="180"/>
      <c r="T47" s="3" t="s">
        <v>237</v>
      </c>
      <c r="U47" s="180"/>
      <c r="V47" s="180" t="s">
        <v>223</v>
      </c>
      <c r="W47" s="180" t="s">
        <v>226</v>
      </c>
      <c r="X47" s="180" t="s">
        <v>1196</v>
      </c>
      <c r="Y47" s="181"/>
      <c r="Z47" s="180" t="s">
        <v>1197</v>
      </c>
      <c r="AA47" s="312">
        <f t="shared" si="1"/>
        <v>0.8571428571428571</v>
      </c>
      <c r="AB47" s="323" t="s">
        <v>970</v>
      </c>
      <c r="AC47" s="204"/>
      <c r="AD47" s="314" t="str">
        <f>_xlfn.XLOOKUP(A47, 'Component Masterlist v2'!A:A, 'Component Masterlist v2'!G:G, "Not found")</f>
        <v>Ved Singh</v>
      </c>
      <c r="AE47" s="314" t="str">
        <f>_xlfn.XLOOKUP(A47, 'Component Masterlist v2'!A:A, 'Component Masterlist v2'!E:E, "Not found")</f>
        <v>Arun Gangadhar</v>
      </c>
      <c r="AF47" s="180"/>
      <c r="AG47" s="82" t="s">
        <v>1198</v>
      </c>
      <c r="AH47" s="82" t="s">
        <v>1199</v>
      </c>
      <c r="AI47" s="180"/>
    </row>
    <row r="48" spans="1:35" hidden="1">
      <c r="A48" s="27" t="s">
        <v>50</v>
      </c>
      <c r="B48" s="88" t="s">
        <v>50</v>
      </c>
      <c r="C48" s="310" t="s">
        <v>402</v>
      </c>
      <c r="D48" s="311">
        <v>34</v>
      </c>
      <c r="E48" s="97">
        <f>D48*2</f>
        <v>68</v>
      </c>
      <c r="F48" s="79" t="s">
        <v>50</v>
      </c>
      <c r="G48" s="79"/>
      <c r="H48" s="180"/>
      <c r="I48" s="180"/>
      <c r="J48" s="180"/>
      <c r="K48" s="180"/>
      <c r="L48" s="180"/>
      <c r="M48" s="180"/>
      <c r="N48" s="180"/>
      <c r="O48" s="180"/>
      <c r="P48" s="180"/>
      <c r="Q48" s="180"/>
      <c r="R48" s="27" t="s">
        <v>965</v>
      </c>
      <c r="S48" s="201"/>
      <c r="T48" s="201" t="s">
        <v>1200</v>
      </c>
      <c r="U48" s="201"/>
      <c r="V48" s="201" t="s">
        <v>1201</v>
      </c>
      <c r="W48" s="87" t="s">
        <v>1202</v>
      </c>
      <c r="X48" s="87" t="s">
        <v>1203</v>
      </c>
      <c r="Y48" s="87" t="s">
        <v>1204</v>
      </c>
      <c r="Z48" s="205" t="s">
        <v>969</v>
      </c>
      <c r="AA48" s="312">
        <f t="shared" si="1"/>
        <v>1</v>
      </c>
      <c r="AB48" s="78" t="s">
        <v>970</v>
      </c>
      <c r="AC48" s="204"/>
      <c r="AD48" s="314" t="str">
        <f>_xlfn.XLOOKUP(A48, 'Component Masterlist v2'!A:A, 'Component Masterlist v2'!G:G, "Not found")</f>
        <v>Sanyam Agrawal</v>
      </c>
      <c r="AE48" s="314" t="str">
        <f>_xlfn.XLOOKUP(A48, 'Component Masterlist v2'!A:A, 'Component Masterlist v2'!E:E, "Not found")</f>
        <v>Fahad Tasleem</v>
      </c>
      <c r="AF48" s="180"/>
      <c r="AG48" s="82" t="s">
        <v>1205</v>
      </c>
      <c r="AH48" s="82" t="s">
        <v>1206</v>
      </c>
      <c r="AI48" s="180"/>
    </row>
    <row r="49" spans="1:35" hidden="1">
      <c r="A49" s="180" t="s">
        <v>91</v>
      </c>
      <c r="B49" s="317" t="s">
        <v>91</v>
      </c>
      <c r="C49" s="310" t="s">
        <v>260</v>
      </c>
      <c r="D49" s="311">
        <f>12*10+2*7.5</f>
        <v>135</v>
      </c>
      <c r="E49" s="320">
        <f t="shared" ref="E49:E79" si="3">D49*2</f>
        <v>270</v>
      </c>
      <c r="F49" s="240" t="s">
        <v>1207</v>
      </c>
      <c r="G49" s="240" t="s">
        <v>267</v>
      </c>
      <c r="H49" s="240" t="s">
        <v>1208</v>
      </c>
      <c r="I49" s="180"/>
      <c r="J49" s="180"/>
      <c r="K49" s="180"/>
      <c r="L49" s="180"/>
      <c r="M49" s="180"/>
      <c r="N49" s="180"/>
      <c r="O49" s="180"/>
      <c r="P49" s="180"/>
      <c r="Q49" s="180"/>
      <c r="R49" s="180"/>
      <c r="S49" s="180"/>
      <c r="T49" s="180" t="s">
        <v>1209</v>
      </c>
      <c r="U49" s="180"/>
      <c r="V49" s="180" t="s">
        <v>248</v>
      </c>
      <c r="W49" s="180" t="s">
        <v>1210</v>
      </c>
      <c r="X49" s="180" t="s">
        <v>1004</v>
      </c>
      <c r="Y49" s="181"/>
      <c r="Z49" s="180"/>
      <c r="AA49" s="162">
        <f t="shared" si="1"/>
        <v>0.7142857142857143</v>
      </c>
      <c r="AB49" s="310" t="s">
        <v>970</v>
      </c>
      <c r="AC49" s="204"/>
      <c r="AD49" s="180" t="s">
        <v>79</v>
      </c>
      <c r="AE49" s="180" t="s">
        <v>1211</v>
      </c>
      <c r="AF49" s="180"/>
      <c r="AG49" s="82" t="s">
        <v>1212</v>
      </c>
      <c r="AH49" s="82" t="s">
        <v>1213</v>
      </c>
      <c r="AI49" s="180"/>
    </row>
    <row r="50" spans="1:35" hidden="1">
      <c r="A50" s="180" t="s">
        <v>82</v>
      </c>
      <c r="B50" s="324" t="s">
        <v>1214</v>
      </c>
      <c r="C50" s="310" t="s">
        <v>82</v>
      </c>
      <c r="D50" s="177">
        <f>(4*10)</f>
        <v>40</v>
      </c>
      <c r="E50" s="320">
        <f t="shared" si="3"/>
        <v>80</v>
      </c>
      <c r="F50" s="180" t="s">
        <v>230</v>
      </c>
      <c r="G50" s="180"/>
      <c r="H50" s="180"/>
      <c r="I50" s="180"/>
      <c r="J50" s="180"/>
      <c r="K50" s="180"/>
      <c r="L50" s="180"/>
      <c r="M50" s="180"/>
      <c r="N50" s="180"/>
      <c r="O50" s="180"/>
      <c r="P50" s="180"/>
      <c r="Q50" s="180"/>
      <c r="R50" s="180" t="s">
        <v>965</v>
      </c>
      <c r="S50" s="180"/>
      <c r="T50" s="180" t="s">
        <v>231</v>
      </c>
      <c r="U50" s="180"/>
      <c r="V50" s="180" t="s">
        <v>223</v>
      </c>
      <c r="W50" s="180" t="s">
        <v>226</v>
      </c>
      <c r="X50" s="180" t="s">
        <v>1196</v>
      </c>
      <c r="Y50" s="181"/>
      <c r="Z50" s="180" t="s">
        <v>1197</v>
      </c>
      <c r="AA50" s="312">
        <f t="shared" si="1"/>
        <v>0.8571428571428571</v>
      </c>
      <c r="AB50" s="323" t="s">
        <v>970</v>
      </c>
      <c r="AC50" s="204"/>
      <c r="AD50" s="314" t="str">
        <f>_xlfn.XLOOKUP(A50, 'Component Masterlist v2'!A:A, 'Component Masterlist v2'!G:G, "Not found")</f>
        <v>Ved Singh</v>
      </c>
      <c r="AE50" s="314" t="str">
        <f>_xlfn.XLOOKUP(A50, 'Component Masterlist v2'!A:A, 'Component Masterlist v2'!E:E, "Not found")</f>
        <v>Arun Gangadhar</v>
      </c>
      <c r="AF50" s="180"/>
      <c r="AG50" s="82" t="s">
        <v>1215</v>
      </c>
      <c r="AH50" s="82" t="s">
        <v>1216</v>
      </c>
      <c r="AI50" s="180"/>
    </row>
    <row r="51" spans="1:35" hidden="1">
      <c r="A51" s="180" t="s">
        <v>82</v>
      </c>
      <c r="B51" s="324" t="s">
        <v>1217</v>
      </c>
      <c r="C51" s="310" t="s">
        <v>82</v>
      </c>
      <c r="D51" s="177">
        <f>(8*10) + (2*7.5)</f>
        <v>95</v>
      </c>
      <c r="E51" s="320">
        <f t="shared" si="3"/>
        <v>190</v>
      </c>
      <c r="F51" s="180" t="s">
        <v>232</v>
      </c>
      <c r="G51" s="180" t="s">
        <v>240</v>
      </c>
      <c r="H51" s="180" t="s">
        <v>239</v>
      </c>
      <c r="I51" s="180" t="s">
        <v>243</v>
      </c>
      <c r="J51" s="180" t="s">
        <v>245</v>
      </c>
      <c r="K51" s="180"/>
      <c r="L51" s="180"/>
      <c r="M51" s="180"/>
      <c r="N51" s="180"/>
      <c r="O51" s="180"/>
      <c r="P51" s="180"/>
      <c r="Q51" s="180"/>
      <c r="R51" s="180" t="s">
        <v>965</v>
      </c>
      <c r="S51" s="180"/>
      <c r="T51" s="180" t="s">
        <v>231</v>
      </c>
      <c r="U51" s="180"/>
      <c r="V51" s="180" t="s">
        <v>223</v>
      </c>
      <c r="W51" s="180" t="s">
        <v>226</v>
      </c>
      <c r="X51" s="180" t="s">
        <v>1196</v>
      </c>
      <c r="Y51" s="181"/>
      <c r="Z51" s="180" t="s">
        <v>1197</v>
      </c>
      <c r="AA51" s="312">
        <f t="shared" si="1"/>
        <v>0.8571428571428571</v>
      </c>
      <c r="AB51" s="323" t="s">
        <v>970</v>
      </c>
      <c r="AC51" s="204"/>
      <c r="AD51" s="314" t="str">
        <f>_xlfn.XLOOKUP(A51, 'Component Masterlist v2'!A:A, 'Component Masterlist v2'!G:G, "Not found")</f>
        <v>Ved Singh</v>
      </c>
      <c r="AE51" s="314" t="str">
        <f>_xlfn.XLOOKUP(A51, 'Component Masterlist v2'!A:A, 'Component Masterlist v2'!E:E, "Not found")</f>
        <v>Arun Gangadhar</v>
      </c>
      <c r="AF51" s="180"/>
      <c r="AG51" s="82" t="s">
        <v>1218</v>
      </c>
      <c r="AH51" s="82" t="s">
        <v>1219</v>
      </c>
      <c r="AI51" s="180"/>
    </row>
    <row r="52" spans="1:35" hidden="1">
      <c r="A52" s="180" t="s">
        <v>82</v>
      </c>
      <c r="B52" s="317" t="s">
        <v>1220</v>
      </c>
      <c r="C52" s="310" t="s">
        <v>82</v>
      </c>
      <c r="D52" s="177">
        <f>(8*10) + (1*7.5)</f>
        <v>87.5</v>
      </c>
      <c r="E52" s="320">
        <f t="shared" si="3"/>
        <v>175</v>
      </c>
      <c r="F52" s="180" t="s">
        <v>246</v>
      </c>
      <c r="G52" s="180" t="s">
        <v>235</v>
      </c>
      <c r="H52" s="180" t="s">
        <v>233</v>
      </c>
      <c r="I52" s="180"/>
      <c r="J52" s="180"/>
      <c r="K52" s="180"/>
      <c r="L52" s="180"/>
      <c r="M52" s="180"/>
      <c r="N52" s="180"/>
      <c r="O52" s="180"/>
      <c r="P52" s="180"/>
      <c r="Q52" s="180"/>
      <c r="R52" s="180" t="s">
        <v>965</v>
      </c>
      <c r="S52" s="180"/>
      <c r="T52" s="180" t="s">
        <v>234</v>
      </c>
      <c r="U52" s="180"/>
      <c r="V52" s="180" t="s">
        <v>223</v>
      </c>
      <c r="W52" s="180" t="s">
        <v>226</v>
      </c>
      <c r="X52" s="180" t="s">
        <v>1196</v>
      </c>
      <c r="Y52" s="181" t="s">
        <v>1221</v>
      </c>
      <c r="Z52" s="180" t="s">
        <v>1197</v>
      </c>
      <c r="AA52" s="312">
        <f t="shared" si="1"/>
        <v>1</v>
      </c>
      <c r="AB52" s="323" t="s">
        <v>970</v>
      </c>
      <c r="AC52" s="204"/>
      <c r="AD52" s="314" t="str">
        <f>_xlfn.XLOOKUP(A52, 'Component Masterlist v2'!A:A, 'Component Masterlist v2'!G:G, "Not found")</f>
        <v>Ved Singh</v>
      </c>
      <c r="AE52" s="314" t="str">
        <f>_xlfn.XLOOKUP(A52, 'Component Masterlist v2'!A:A, 'Component Masterlist v2'!E:E, "Not found")</f>
        <v>Arun Gangadhar</v>
      </c>
      <c r="AF52" s="180"/>
      <c r="AG52" s="82" t="s">
        <v>1222</v>
      </c>
      <c r="AH52" s="82" t="s">
        <v>1223</v>
      </c>
      <c r="AI52" s="180"/>
    </row>
    <row r="53" spans="1:35" hidden="1">
      <c r="A53" s="180" t="s">
        <v>82</v>
      </c>
      <c r="B53" s="324" t="s">
        <v>1224</v>
      </c>
      <c r="C53" s="310" t="s">
        <v>82</v>
      </c>
      <c r="D53" s="78">
        <f>(6*10) + (2*7.5)</f>
        <v>75</v>
      </c>
      <c r="E53" s="320">
        <f t="shared" si="3"/>
        <v>150</v>
      </c>
      <c r="F53" s="204" t="s">
        <v>228</v>
      </c>
      <c r="G53" s="180" t="s">
        <v>219</v>
      </c>
      <c r="H53" s="180"/>
      <c r="I53" s="180"/>
      <c r="J53" s="180"/>
      <c r="K53" s="180"/>
      <c r="L53" s="180"/>
      <c r="M53" s="180"/>
      <c r="N53" s="180"/>
      <c r="O53" s="180"/>
      <c r="P53" s="180"/>
      <c r="Q53" s="180"/>
      <c r="R53" s="180" t="s">
        <v>965</v>
      </c>
      <c r="S53" s="180"/>
      <c r="T53" s="180" t="s">
        <v>220</v>
      </c>
      <c r="U53" s="180"/>
      <c r="V53" s="180" t="s">
        <v>223</v>
      </c>
      <c r="W53" s="180" t="s">
        <v>226</v>
      </c>
      <c r="X53" s="180" t="s">
        <v>1196</v>
      </c>
      <c r="Y53" s="181"/>
      <c r="Z53" s="180" t="s">
        <v>1197</v>
      </c>
      <c r="AA53" s="312">
        <f t="shared" si="1"/>
        <v>0.8571428571428571</v>
      </c>
      <c r="AB53" s="323" t="s">
        <v>970</v>
      </c>
      <c r="AC53" s="204"/>
      <c r="AD53" s="314" t="str">
        <f>_xlfn.XLOOKUP(A53, 'Component Masterlist v2'!A:A, 'Component Masterlist v2'!G:G, "Not found")</f>
        <v>Ved Singh</v>
      </c>
      <c r="AE53" s="314" t="str">
        <f>_xlfn.XLOOKUP(A53, 'Component Masterlist v2'!A:A, 'Component Masterlist v2'!E:E, "Not found")</f>
        <v>Arun Gangadhar</v>
      </c>
      <c r="AF53" s="180"/>
      <c r="AG53" s="82" t="s">
        <v>1225</v>
      </c>
      <c r="AH53" s="82" t="s">
        <v>1226</v>
      </c>
      <c r="AI53" s="180"/>
    </row>
    <row r="54" spans="1:35" hidden="1">
      <c r="A54" s="180" t="s">
        <v>82</v>
      </c>
      <c r="B54" s="80" t="s">
        <v>254</v>
      </c>
      <c r="C54" s="310" t="s">
        <v>82</v>
      </c>
      <c r="D54" s="78">
        <f>(4*10)</f>
        <v>40</v>
      </c>
      <c r="E54" s="320">
        <f t="shared" si="3"/>
        <v>80</v>
      </c>
      <c r="F54" s="324" t="s">
        <v>254</v>
      </c>
      <c r="G54" s="180"/>
      <c r="H54" s="180"/>
      <c r="I54" s="180"/>
      <c r="J54" s="180"/>
      <c r="K54" s="180"/>
      <c r="L54" s="180"/>
      <c r="M54" s="180"/>
      <c r="N54" s="180"/>
      <c r="O54" s="180"/>
      <c r="P54" s="180"/>
      <c r="Q54" s="180"/>
      <c r="R54" s="180"/>
      <c r="S54" s="180"/>
      <c r="T54" s="180" t="s">
        <v>253</v>
      </c>
      <c r="U54" s="180"/>
      <c r="V54" s="180"/>
      <c r="W54" s="180"/>
      <c r="X54" s="180"/>
      <c r="Y54" s="181"/>
      <c r="Z54" s="180"/>
      <c r="AA54" s="312"/>
      <c r="AB54" s="323"/>
      <c r="AC54" s="204"/>
      <c r="AD54" s="314" t="str">
        <f>_xlfn.XLOOKUP(A54, 'Component Masterlist v2'!A:A, 'Component Masterlist v2'!G:G, "Not found")</f>
        <v>Ved Singh</v>
      </c>
      <c r="AE54" s="314" t="str">
        <f>_xlfn.XLOOKUP(A54, 'Component Masterlist v2'!A:A, 'Component Masterlist v2'!E:E, "Not found")</f>
        <v>Arun Gangadhar</v>
      </c>
      <c r="AF54" s="180"/>
      <c r="AG54" s="82"/>
      <c r="AH54" s="82"/>
      <c r="AI54" s="180"/>
    </row>
    <row r="55" spans="1:35" hidden="1">
      <c r="A55" s="180" t="s">
        <v>82</v>
      </c>
      <c r="B55" s="324" t="s">
        <v>252</v>
      </c>
      <c r="C55" s="310" t="s">
        <v>82</v>
      </c>
      <c r="D55" s="78">
        <f>(2*10) + (1*7.5)</f>
        <v>27.5</v>
      </c>
      <c r="E55" s="320">
        <f t="shared" si="3"/>
        <v>55</v>
      </c>
      <c r="F55" s="80" t="s">
        <v>252</v>
      </c>
      <c r="G55" s="180"/>
      <c r="H55" s="180"/>
      <c r="I55" s="180"/>
      <c r="J55" s="180"/>
      <c r="K55" s="180"/>
      <c r="L55" s="180"/>
      <c r="M55" s="180"/>
      <c r="N55" s="180"/>
      <c r="O55" s="180"/>
      <c r="P55" s="180"/>
      <c r="Q55" s="180"/>
      <c r="R55" s="180"/>
      <c r="S55" s="180"/>
      <c r="T55" s="180" t="s">
        <v>253</v>
      </c>
      <c r="U55" s="180"/>
      <c r="V55" s="180"/>
      <c r="W55" s="180"/>
      <c r="X55" s="180"/>
      <c r="Y55" s="181"/>
      <c r="Z55" s="180"/>
      <c r="AA55" s="312"/>
      <c r="AB55" s="323"/>
      <c r="AC55" s="204"/>
      <c r="AD55" s="314" t="str">
        <f>_xlfn.XLOOKUP(A55, 'Component Masterlist v2'!A:A, 'Component Masterlist v2'!G:G, "Not found")</f>
        <v>Ved Singh</v>
      </c>
      <c r="AE55" s="314" t="str">
        <f>_xlfn.XLOOKUP(A55, 'Component Masterlist v2'!A:A, 'Component Masterlist v2'!E:E, "Not found")</f>
        <v>Arun Gangadhar</v>
      </c>
      <c r="AF55" s="180"/>
      <c r="AG55" s="82"/>
      <c r="AH55" s="82"/>
      <c r="AI55" s="180"/>
    </row>
    <row r="56" spans="1:35" hidden="1">
      <c r="A56" s="180" t="s">
        <v>65</v>
      </c>
      <c r="B56" s="317" t="s">
        <v>1227</v>
      </c>
      <c r="C56" s="310" t="s">
        <v>511</v>
      </c>
      <c r="D56" s="310">
        <v>15</v>
      </c>
      <c r="E56" s="320">
        <f t="shared" si="3"/>
        <v>30</v>
      </c>
      <c r="F56" s="180" t="s">
        <v>519</v>
      </c>
      <c r="G56" s="180"/>
      <c r="H56" s="180"/>
      <c r="I56" s="180"/>
      <c r="J56" s="180"/>
      <c r="K56" s="180"/>
      <c r="L56" s="180"/>
      <c r="M56" s="180"/>
      <c r="N56" s="180"/>
      <c r="O56" s="180"/>
      <c r="P56" s="180"/>
      <c r="Q56" s="180"/>
      <c r="R56" s="180" t="s">
        <v>965</v>
      </c>
      <c r="S56" s="180"/>
      <c r="T56" s="180" t="s">
        <v>1228</v>
      </c>
      <c r="U56" s="180"/>
      <c r="V56" s="27" t="s">
        <v>1229</v>
      </c>
      <c r="W56" s="180" t="s">
        <v>1020</v>
      </c>
      <c r="X56" s="180" t="s">
        <v>1020</v>
      </c>
      <c r="Y56" s="118" t="s">
        <v>1230</v>
      </c>
      <c r="Z56" s="180" t="s">
        <v>1020</v>
      </c>
      <c r="AA56" s="312">
        <f>(--(F56&lt;&gt;"") + --(T56&lt;&gt;"") + --(V56&lt;&gt;"") + --(W56&lt;&gt;"") + --(X56&lt;&gt;"") + --(Y56&lt;&gt;"") + --(Z56&lt;&gt;"")) / 7</f>
        <v>1</v>
      </c>
      <c r="AB56" s="89" t="s">
        <v>970</v>
      </c>
      <c r="AC56" s="204"/>
      <c r="AD56" s="314" t="str">
        <f>_xlfn.XLOOKUP(A56, 'Component Masterlist v2'!A:A, 'Component Masterlist v2'!G:G, "Not found")</f>
        <v>Satish Sallakonda</v>
      </c>
      <c r="AE56" s="314" t="str">
        <f>_xlfn.XLOOKUP(A56, 'Component Masterlist v2'!A:A, 'Component Masterlist v2'!E:E, "Not found")</f>
        <v>Ajay Rao</v>
      </c>
      <c r="AF56" s="180"/>
      <c r="AG56" s="82" t="s">
        <v>1231</v>
      </c>
      <c r="AH56" s="82" t="s">
        <v>1232</v>
      </c>
      <c r="AI56" s="180"/>
    </row>
    <row r="57" spans="1:35" hidden="1">
      <c r="A57" s="180" t="s">
        <v>65</v>
      </c>
      <c r="B57" s="317" t="s">
        <v>1233</v>
      </c>
      <c r="C57" s="310" t="s">
        <v>511</v>
      </c>
      <c r="D57" s="310">
        <v>52.5</v>
      </c>
      <c r="E57" s="320">
        <f t="shared" si="3"/>
        <v>105</v>
      </c>
      <c r="F57" s="180" t="s">
        <v>514</v>
      </c>
      <c r="G57" s="180" t="s">
        <v>515</v>
      </c>
      <c r="H57" s="180" t="s">
        <v>516</v>
      </c>
      <c r="I57" s="180" t="s">
        <v>517</v>
      </c>
      <c r="J57" s="180" t="s">
        <v>518</v>
      </c>
      <c r="K57" s="180"/>
      <c r="L57" s="180"/>
      <c r="M57" s="180"/>
      <c r="N57" s="180"/>
      <c r="O57" s="180"/>
      <c r="P57" s="180"/>
      <c r="Q57" s="180"/>
      <c r="R57" s="180" t="s">
        <v>965</v>
      </c>
      <c r="S57" s="180"/>
      <c r="T57" s="180" t="s">
        <v>1234</v>
      </c>
      <c r="U57" s="180"/>
      <c r="V57" s="180" t="s">
        <v>1229</v>
      </c>
      <c r="W57" s="180" t="s">
        <v>1235</v>
      </c>
      <c r="X57" s="180" t="s">
        <v>1020</v>
      </c>
      <c r="Y57" s="181" t="s">
        <v>1236</v>
      </c>
      <c r="Z57" s="180" t="s">
        <v>1237</v>
      </c>
      <c r="AA57" s="312">
        <f>(--(F57&lt;&gt;"") + --(T57&lt;&gt;"") + --(V57&lt;&gt;"") + --(W57&lt;&gt;"") + --(X57&lt;&gt;"") + --(Y57&lt;&gt;"") + --(Z57&lt;&gt;"")) / 7</f>
        <v>1</v>
      </c>
      <c r="AB57" s="89" t="s">
        <v>970</v>
      </c>
      <c r="AC57" s="204"/>
      <c r="AD57" s="314" t="str">
        <f>_xlfn.XLOOKUP(A57, 'Component Masterlist v2'!A:A, 'Component Masterlist v2'!G:G, "Not found")</f>
        <v>Satish Sallakonda</v>
      </c>
      <c r="AE57" s="314" t="str">
        <f>_xlfn.XLOOKUP(A57, 'Component Masterlist v2'!A:A, 'Component Masterlist v2'!E:E, "Not found")</f>
        <v>Ajay Rao</v>
      </c>
      <c r="AF57" s="180"/>
      <c r="AG57" s="82" t="s">
        <v>1238</v>
      </c>
      <c r="AH57" s="82" t="s">
        <v>1239</v>
      </c>
      <c r="AI57" s="180"/>
    </row>
    <row r="58" spans="1:35" hidden="1">
      <c r="A58" s="180" t="s">
        <v>65</v>
      </c>
      <c r="B58" s="317" t="s">
        <v>1240</v>
      </c>
      <c r="C58" s="310" t="s">
        <v>511</v>
      </c>
      <c r="D58" s="310">
        <v>75</v>
      </c>
      <c r="E58" s="320">
        <f t="shared" si="3"/>
        <v>150</v>
      </c>
      <c r="F58" s="180" t="s">
        <v>508</v>
      </c>
      <c r="G58" s="180" t="s">
        <v>512</v>
      </c>
      <c r="H58" s="180" t="s">
        <v>513</v>
      </c>
      <c r="I58" s="27"/>
      <c r="J58" s="180"/>
      <c r="K58" s="180"/>
      <c r="L58" s="180"/>
      <c r="M58" s="180"/>
      <c r="N58" s="180"/>
      <c r="O58" s="180"/>
      <c r="P58" s="180"/>
      <c r="Q58" s="180"/>
      <c r="R58" s="180" t="s">
        <v>965</v>
      </c>
      <c r="S58" s="180"/>
      <c r="T58" s="180" t="s">
        <v>1241</v>
      </c>
      <c r="U58" s="180"/>
      <c r="V58" s="180" t="s">
        <v>1020</v>
      </c>
      <c r="W58" s="204" t="s">
        <v>1020</v>
      </c>
      <c r="X58" s="180" t="s">
        <v>1020</v>
      </c>
      <c r="Y58" s="181" t="s">
        <v>1242</v>
      </c>
      <c r="Z58" s="180" t="s">
        <v>1243</v>
      </c>
      <c r="AA58" s="312">
        <f>(--(F58&lt;&gt;"") + --(T58&lt;&gt;"") + --(V58&lt;&gt;"") + --(W58&lt;&gt;"") + --(X58&lt;&gt;"") + --(Y58&lt;&gt;"") + --(Z58&lt;&gt;"")) / 7</f>
        <v>1</v>
      </c>
      <c r="AB58" s="89" t="s">
        <v>970</v>
      </c>
      <c r="AC58" s="204"/>
      <c r="AD58" s="314" t="str">
        <f>_xlfn.XLOOKUP(A58, 'Component Masterlist v2'!A:A, 'Component Masterlist v2'!G:G, "Not found")</f>
        <v>Satish Sallakonda</v>
      </c>
      <c r="AE58" s="314" t="str">
        <f>_xlfn.XLOOKUP(A58, 'Component Masterlist v2'!A:A, 'Component Masterlist v2'!E:E, "Not found")</f>
        <v>Ajay Rao</v>
      </c>
      <c r="AF58" s="180"/>
      <c r="AG58" s="82" t="s">
        <v>1244</v>
      </c>
      <c r="AH58" s="82" t="s">
        <v>1245</v>
      </c>
      <c r="AI58" s="180"/>
    </row>
    <row r="59" spans="1:35" hidden="1">
      <c r="A59" s="180" t="s">
        <v>92</v>
      </c>
      <c r="B59" s="317" t="s">
        <v>1246</v>
      </c>
      <c r="C59" s="310" t="s">
        <v>523</v>
      </c>
      <c r="D59" s="78">
        <f>13*12+2*7.5</f>
        <v>171</v>
      </c>
      <c r="E59" s="97">
        <f t="shared" si="3"/>
        <v>342</v>
      </c>
      <c r="F59" s="325" t="s">
        <v>520</v>
      </c>
      <c r="G59" s="325" t="s">
        <v>524</v>
      </c>
      <c r="H59" s="180"/>
      <c r="I59" s="180"/>
      <c r="J59" s="180"/>
      <c r="K59" s="180"/>
      <c r="L59" s="180"/>
      <c r="M59" s="180"/>
      <c r="N59" s="180"/>
      <c r="O59" s="180"/>
      <c r="P59" s="180"/>
      <c r="Q59" s="180"/>
      <c r="R59" s="180" t="s">
        <v>965</v>
      </c>
      <c r="S59" s="180"/>
      <c r="T59" s="180" t="s">
        <v>521</v>
      </c>
      <c r="U59" s="180"/>
      <c r="V59" s="180" t="s">
        <v>525</v>
      </c>
      <c r="W59" s="180" t="s">
        <v>1210</v>
      </c>
      <c r="X59" s="180"/>
      <c r="Y59" s="181" t="s">
        <v>1247</v>
      </c>
      <c r="Z59" s="180" t="s">
        <v>1248</v>
      </c>
      <c r="AA59" s="312">
        <f>(--(F59&lt;&gt;"") + --(T59&lt;&gt;"") + --(V59&lt;&gt;"") + --(W59&lt;&gt;"") + --(X59&lt;&gt;"") + --(Y59&lt;&gt;"") + --(Z59&lt;&gt;"")) / 7</f>
        <v>0.8571428571428571</v>
      </c>
      <c r="AB59" s="310" t="s">
        <v>970</v>
      </c>
      <c r="AC59" s="204"/>
      <c r="AD59" s="314" t="str">
        <f>_xlfn.XLOOKUP(A59, 'Component Masterlist v2'!A:A, 'Component Masterlist v2'!G:G, "Not found")</f>
        <v>Ved Singh</v>
      </c>
      <c r="AE59" s="314" t="str">
        <f>_xlfn.XLOOKUP(A59, 'Component Masterlist v2'!A:A, 'Component Masterlist v2'!E:E, "Not found")</f>
        <v>Ketan Dikshit</v>
      </c>
      <c r="AF59" s="180"/>
      <c r="AG59" s="82" t="s">
        <v>1249</v>
      </c>
      <c r="AH59" s="82" t="s">
        <v>1250</v>
      </c>
      <c r="AI59" s="180"/>
    </row>
    <row r="60" spans="1:35" hidden="1">
      <c r="A60" s="180" t="s">
        <v>92</v>
      </c>
      <c r="B60" s="317" t="s">
        <v>1251</v>
      </c>
      <c r="C60" s="310" t="s">
        <v>523</v>
      </c>
      <c r="D60" s="78">
        <f>(6*10)+(1*7.5)</f>
        <v>67.5</v>
      </c>
      <c r="E60" s="97">
        <f t="shared" si="3"/>
        <v>135</v>
      </c>
      <c r="F60" s="325" t="s">
        <v>530</v>
      </c>
      <c r="G60" s="325"/>
      <c r="H60" s="180"/>
      <c r="I60" s="180"/>
      <c r="J60" s="180"/>
      <c r="K60" s="180"/>
      <c r="L60" s="180"/>
      <c r="M60" s="180"/>
      <c r="N60" s="180"/>
      <c r="O60" s="180"/>
      <c r="P60" s="180"/>
      <c r="Q60" s="180"/>
      <c r="R60" s="209" t="s">
        <v>965</v>
      </c>
      <c r="S60" s="180"/>
      <c r="T60" s="180" t="s">
        <v>527</v>
      </c>
      <c r="U60" s="180"/>
      <c r="V60" s="203" t="s">
        <v>264</v>
      </c>
      <c r="W60" s="212" t="s">
        <v>1210</v>
      </c>
      <c r="X60" s="180"/>
      <c r="Y60" s="181" t="s">
        <v>1252</v>
      </c>
      <c r="Z60" s="204"/>
      <c r="AA60" s="312"/>
      <c r="AB60" s="310" t="s">
        <v>970</v>
      </c>
      <c r="AC60" s="204"/>
      <c r="AD60" s="314" t="s">
        <v>79</v>
      </c>
      <c r="AE60" s="314" t="str">
        <f>_xlfn.XLOOKUP(A60, 'Component Masterlist v2'!A:A, 'Component Masterlist v2'!E:E, "Not found")</f>
        <v>Ketan Dikshit</v>
      </c>
      <c r="AF60" s="180"/>
      <c r="AG60" s="82" t="s">
        <v>1253</v>
      </c>
      <c r="AH60" s="82" t="s">
        <v>1254</v>
      </c>
      <c r="AI60" s="180"/>
    </row>
    <row r="61" spans="1:35" hidden="1">
      <c r="A61" s="180" t="s">
        <v>92</v>
      </c>
      <c r="B61" s="317" t="s">
        <v>1255</v>
      </c>
      <c r="C61" s="310" t="s">
        <v>523</v>
      </c>
      <c r="D61" s="78">
        <v>0</v>
      </c>
      <c r="E61" s="97">
        <f t="shared" si="3"/>
        <v>0</v>
      </c>
      <c r="F61" s="325" t="s">
        <v>526</v>
      </c>
      <c r="G61" s="325" t="s">
        <v>528</v>
      </c>
      <c r="H61" s="180"/>
      <c r="I61" s="180"/>
      <c r="J61" s="180"/>
      <c r="K61" s="180"/>
      <c r="L61" s="180"/>
      <c r="M61" s="180"/>
      <c r="N61" s="180"/>
      <c r="O61" s="180"/>
      <c r="P61" s="180"/>
      <c r="Q61" s="180"/>
      <c r="R61" s="180" t="s">
        <v>965</v>
      </c>
      <c r="S61" s="326"/>
      <c r="T61" s="326" t="s">
        <v>527</v>
      </c>
      <c r="U61" s="326"/>
      <c r="V61" s="180" t="s">
        <v>663</v>
      </c>
      <c r="W61" s="180" t="s">
        <v>1210</v>
      </c>
      <c r="X61" s="180"/>
      <c r="Y61" s="181" t="s">
        <v>1256</v>
      </c>
      <c r="Z61" s="180" t="s">
        <v>1248</v>
      </c>
      <c r="AA61" s="312">
        <f t="shared" ref="AA61:AA92" si="4">(--(F61&lt;&gt;"") + --(T61&lt;&gt;"") + --(V61&lt;&gt;"") + --(W61&lt;&gt;"") + --(X61&lt;&gt;"") + --(Y61&lt;&gt;"") + --(Z61&lt;&gt;"")) / 7</f>
        <v>0.8571428571428571</v>
      </c>
      <c r="AB61" s="310" t="s">
        <v>970</v>
      </c>
      <c r="AC61" s="204"/>
      <c r="AD61" s="314" t="str">
        <f>_xlfn.XLOOKUP(A61, 'Component Masterlist v2'!A:A, 'Component Masterlist v2'!G:G, "Not found")</f>
        <v>Ved Singh</v>
      </c>
      <c r="AE61" s="314" t="str">
        <f>_xlfn.XLOOKUP(A61, 'Component Masterlist v2'!A:A, 'Component Masterlist v2'!E:E, "Not found")</f>
        <v>Ketan Dikshit</v>
      </c>
      <c r="AF61" s="180"/>
      <c r="AG61" s="82" t="s">
        <v>1257</v>
      </c>
      <c r="AH61" s="82" t="s">
        <v>1258</v>
      </c>
      <c r="AI61" s="180"/>
    </row>
    <row r="62" spans="1:35" hidden="1">
      <c r="A62" s="180" t="s">
        <v>40</v>
      </c>
      <c r="B62" s="79" t="s">
        <v>1259</v>
      </c>
      <c r="C62" s="90" t="s">
        <v>795</v>
      </c>
      <c r="D62" s="90">
        <f>7*7.5</f>
        <v>52.5</v>
      </c>
      <c r="E62" s="320">
        <f t="shared" si="3"/>
        <v>105</v>
      </c>
      <c r="F62" s="268" t="s">
        <v>1260</v>
      </c>
      <c r="G62" s="268" t="s">
        <v>840</v>
      </c>
      <c r="H62" s="180"/>
      <c r="I62" s="180"/>
      <c r="J62" s="180"/>
      <c r="K62" s="180"/>
      <c r="L62" s="180"/>
      <c r="M62" s="180"/>
      <c r="N62" s="180"/>
      <c r="O62" s="180"/>
      <c r="P62" s="180"/>
      <c r="Q62" s="180"/>
      <c r="R62" s="209" t="s">
        <v>965</v>
      </c>
      <c r="S62" s="180"/>
      <c r="T62" s="180" t="s">
        <v>1261</v>
      </c>
      <c r="U62" s="180"/>
      <c r="V62" s="27" t="s">
        <v>815</v>
      </c>
      <c r="W62" s="180" t="s">
        <v>1262</v>
      </c>
      <c r="X62" s="180" t="s">
        <v>1263</v>
      </c>
      <c r="Y62" s="136" t="s">
        <v>1264</v>
      </c>
      <c r="Z62" s="180" t="s">
        <v>1265</v>
      </c>
      <c r="AA62" s="312">
        <f t="shared" si="4"/>
        <v>1</v>
      </c>
      <c r="AB62" s="310" t="s">
        <v>1020</v>
      </c>
      <c r="AC62" s="204"/>
      <c r="AD62" s="314" t="str">
        <f>_xlfn.XLOOKUP(A62, 'Component Masterlist v2'!A:A, 'Component Masterlist v2'!G:G, "Not found")</f>
        <v>Santosh Golecha</v>
      </c>
      <c r="AE62" s="314" t="str">
        <f>_xlfn.XLOOKUP(A62, 'Component Masterlist v2'!A:A, 'Component Masterlist v2'!E:E, "Not found")</f>
        <v>Ankur Agarwal</v>
      </c>
      <c r="AF62" s="180"/>
      <c r="AG62" s="180"/>
      <c r="AH62" s="180"/>
      <c r="AI62" s="180"/>
    </row>
    <row r="63" spans="1:35" hidden="1">
      <c r="A63" s="180" t="s">
        <v>40</v>
      </c>
      <c r="B63" s="79" t="s">
        <v>1266</v>
      </c>
      <c r="C63" s="90" t="s">
        <v>795</v>
      </c>
      <c r="D63" s="90">
        <f>7*7.5</f>
        <v>52.5</v>
      </c>
      <c r="E63" s="320">
        <f t="shared" si="3"/>
        <v>105</v>
      </c>
      <c r="F63" s="180" t="s">
        <v>837</v>
      </c>
      <c r="G63" s="180"/>
      <c r="H63" s="180"/>
      <c r="I63" s="180"/>
      <c r="J63" s="180"/>
      <c r="K63" s="180"/>
      <c r="L63" s="180"/>
      <c r="M63" s="180"/>
      <c r="N63" s="180"/>
      <c r="O63" s="180"/>
      <c r="P63" s="180"/>
      <c r="Q63" s="180"/>
      <c r="R63" s="209" t="s">
        <v>965</v>
      </c>
      <c r="S63" s="180"/>
      <c r="T63" s="180"/>
      <c r="U63" s="180"/>
      <c r="V63" s="27" t="s">
        <v>1267</v>
      </c>
      <c r="W63" s="180" t="s">
        <v>1268</v>
      </c>
      <c r="X63" s="180" t="s">
        <v>1263</v>
      </c>
      <c r="Y63" s="136" t="s">
        <v>1269</v>
      </c>
      <c r="Z63" s="180" t="s">
        <v>1265</v>
      </c>
      <c r="AA63" s="312">
        <f t="shared" si="4"/>
        <v>0.8571428571428571</v>
      </c>
      <c r="AB63" s="310" t="s">
        <v>1020</v>
      </c>
      <c r="AC63" s="204"/>
      <c r="AD63" s="314" t="str">
        <f>_xlfn.XLOOKUP(A63, 'Component Masterlist v2'!A:A, 'Component Masterlist v2'!G:G, "Not found")</f>
        <v>Santosh Golecha</v>
      </c>
      <c r="AE63" s="314" t="str">
        <f>_xlfn.XLOOKUP(A63, 'Component Masterlist v2'!A:A, 'Component Masterlist v2'!E:E, "Not found")</f>
        <v>Ankur Agarwal</v>
      </c>
      <c r="AF63" s="180"/>
      <c r="AG63" s="180"/>
      <c r="AH63" s="180"/>
      <c r="AI63" s="180"/>
    </row>
    <row r="64" spans="1:35" hidden="1">
      <c r="A64" s="180" t="s">
        <v>40</v>
      </c>
      <c r="B64" s="79" t="s">
        <v>1270</v>
      </c>
      <c r="C64" s="90" t="s">
        <v>795</v>
      </c>
      <c r="D64" s="90">
        <f>8*7.5</f>
        <v>60</v>
      </c>
      <c r="E64" s="320">
        <f t="shared" si="3"/>
        <v>120</v>
      </c>
      <c r="F64" s="180" t="s">
        <v>801</v>
      </c>
      <c r="G64" s="23" t="s">
        <v>806</v>
      </c>
      <c r="H64" s="180"/>
      <c r="I64" s="180"/>
      <c r="J64" s="180"/>
      <c r="K64" s="180"/>
      <c r="L64" s="180"/>
      <c r="M64" s="180"/>
      <c r="N64" s="180"/>
      <c r="O64" s="180"/>
      <c r="P64" s="180"/>
      <c r="Q64" s="180"/>
      <c r="R64" s="209" t="s">
        <v>965</v>
      </c>
      <c r="S64" s="180"/>
      <c r="T64" s="180" t="s">
        <v>802</v>
      </c>
      <c r="U64" s="180"/>
      <c r="V64" s="204" t="s">
        <v>1271</v>
      </c>
      <c r="W64" s="180" t="s">
        <v>1272</v>
      </c>
      <c r="X64" s="180" t="s">
        <v>1263</v>
      </c>
      <c r="Y64" s="136" t="s">
        <v>1273</v>
      </c>
      <c r="Z64" s="204" t="s">
        <v>1274</v>
      </c>
      <c r="AA64" s="312">
        <f t="shared" si="4"/>
        <v>1</v>
      </c>
      <c r="AB64" s="310" t="s">
        <v>1020</v>
      </c>
      <c r="AC64" s="204"/>
      <c r="AD64" s="314" t="str">
        <f>_xlfn.XLOOKUP(A64, 'Component Masterlist v2'!A:A, 'Component Masterlist v2'!G:G, "Not found")</f>
        <v>Santosh Golecha</v>
      </c>
      <c r="AE64" s="314" t="str">
        <f>_xlfn.XLOOKUP(A64, 'Component Masterlist v2'!A:A, 'Component Masterlist v2'!E:E, "Not found")</f>
        <v>Ankur Agarwal</v>
      </c>
      <c r="AF64" s="180"/>
      <c r="AG64" s="180"/>
      <c r="AH64" s="180"/>
      <c r="AI64" s="180"/>
    </row>
    <row r="65" spans="1:35" hidden="1">
      <c r="A65" s="180" t="s">
        <v>40</v>
      </c>
      <c r="B65" s="79" t="s">
        <v>1275</v>
      </c>
      <c r="C65" s="90" t="s">
        <v>795</v>
      </c>
      <c r="D65" s="90">
        <f>5*7.5</f>
        <v>37.5</v>
      </c>
      <c r="E65" s="320">
        <f t="shared" si="3"/>
        <v>75</v>
      </c>
      <c r="F65" s="23" t="s">
        <v>807</v>
      </c>
      <c r="G65" s="180"/>
      <c r="H65" s="180"/>
      <c r="I65" s="180"/>
      <c r="J65" s="180"/>
      <c r="K65" s="180"/>
      <c r="L65" s="180"/>
      <c r="M65" s="180"/>
      <c r="N65" s="180"/>
      <c r="O65" s="180"/>
      <c r="P65" s="180"/>
      <c r="Q65" s="180"/>
      <c r="R65" s="209" t="s">
        <v>965</v>
      </c>
      <c r="S65" s="180"/>
      <c r="T65" s="180" t="s">
        <v>808</v>
      </c>
      <c r="U65" s="180"/>
      <c r="V65" s="204" t="s">
        <v>1276</v>
      </c>
      <c r="W65" s="180" t="s">
        <v>1277</v>
      </c>
      <c r="X65" s="180" t="s">
        <v>1263</v>
      </c>
      <c r="Y65" s="136" t="s">
        <v>1278</v>
      </c>
      <c r="Z65" s="204" t="s">
        <v>1274</v>
      </c>
      <c r="AA65" s="312">
        <f t="shared" si="4"/>
        <v>1</v>
      </c>
      <c r="AB65" s="310" t="s">
        <v>1020</v>
      </c>
      <c r="AC65" s="204"/>
      <c r="AD65" s="314" t="str">
        <f>_xlfn.XLOOKUP(A65, 'Component Masterlist v2'!A:A, 'Component Masterlist v2'!G:G, "Not found")</f>
        <v>Santosh Golecha</v>
      </c>
      <c r="AE65" s="314" t="str">
        <f>_xlfn.XLOOKUP(A65, 'Component Masterlist v2'!A:A, 'Component Masterlist v2'!E:E, "Not found")</f>
        <v>Ankur Agarwal</v>
      </c>
      <c r="AF65" s="180"/>
      <c r="AG65" s="180"/>
      <c r="AH65" s="180"/>
      <c r="AI65" s="180"/>
    </row>
    <row r="66" spans="1:35" hidden="1">
      <c r="A66" s="180" t="s">
        <v>40</v>
      </c>
      <c r="B66" s="79" t="s">
        <v>1279</v>
      </c>
      <c r="C66" s="90" t="s">
        <v>795</v>
      </c>
      <c r="D66" s="90">
        <f>7*7.5</f>
        <v>52.5</v>
      </c>
      <c r="E66" s="320">
        <f t="shared" si="3"/>
        <v>105</v>
      </c>
      <c r="F66" s="23" t="s">
        <v>811</v>
      </c>
      <c r="G66" s="23" t="s">
        <v>814</v>
      </c>
      <c r="H66" s="23" t="s">
        <v>817</v>
      </c>
      <c r="I66" s="23" t="s">
        <v>818</v>
      </c>
      <c r="J66" s="180" t="s">
        <v>820</v>
      </c>
      <c r="K66" s="180" t="s">
        <v>821</v>
      </c>
      <c r="L66" s="128" t="s">
        <v>822</v>
      </c>
      <c r="M66" s="128" t="s">
        <v>823</v>
      </c>
      <c r="N66" s="128"/>
      <c r="O66" s="128"/>
      <c r="P66" s="180"/>
      <c r="Q66" s="180"/>
      <c r="R66" s="209" t="s">
        <v>965</v>
      </c>
      <c r="S66" s="180"/>
      <c r="T66" s="27" t="s">
        <v>1280</v>
      </c>
      <c r="U66" s="180"/>
      <c r="V66" s="268" t="s">
        <v>1281</v>
      </c>
      <c r="W66" s="269" t="s">
        <v>1282</v>
      </c>
      <c r="X66" s="180" t="s">
        <v>1263</v>
      </c>
      <c r="Y66" s="136" t="s">
        <v>1283</v>
      </c>
      <c r="Z66" s="204" t="s">
        <v>1265</v>
      </c>
      <c r="AA66" s="312">
        <f t="shared" si="4"/>
        <v>1</v>
      </c>
      <c r="AB66" s="310" t="s">
        <v>1020</v>
      </c>
      <c r="AC66" s="204"/>
      <c r="AD66" s="314" t="str">
        <f>_xlfn.XLOOKUP(A66, 'Component Masterlist v2'!A:A, 'Component Masterlist v2'!G:G, "Not found")</f>
        <v>Santosh Golecha</v>
      </c>
      <c r="AE66" s="314" t="str">
        <f>_xlfn.XLOOKUP(A66, 'Component Masterlist v2'!A:A, 'Component Masterlist v2'!E:E, "Not found")</f>
        <v>Ankur Agarwal</v>
      </c>
      <c r="AF66" s="180"/>
      <c r="AG66" s="180"/>
      <c r="AH66" s="180"/>
      <c r="AI66" s="180"/>
    </row>
    <row r="67" spans="1:35" hidden="1">
      <c r="A67" s="180" t="s">
        <v>40</v>
      </c>
      <c r="B67" s="79" t="s">
        <v>1284</v>
      </c>
      <c r="C67" s="90" t="s">
        <v>795</v>
      </c>
      <c r="D67" s="90">
        <f>10*7.5</f>
        <v>75</v>
      </c>
      <c r="E67" s="320">
        <f t="shared" si="3"/>
        <v>150</v>
      </c>
      <c r="F67" s="23" t="s">
        <v>825</v>
      </c>
      <c r="G67" s="23" t="s">
        <v>826</v>
      </c>
      <c r="H67" s="23" t="s">
        <v>839</v>
      </c>
      <c r="I67" s="180"/>
      <c r="J67" s="180"/>
      <c r="K67" s="180"/>
      <c r="L67" s="180"/>
      <c r="M67" s="180"/>
      <c r="N67" s="180"/>
      <c r="O67" s="180"/>
      <c r="P67" s="180"/>
      <c r="Q67" s="180"/>
      <c r="R67" s="209" t="s">
        <v>965</v>
      </c>
      <c r="S67" s="180"/>
      <c r="T67" s="180" t="s">
        <v>1261</v>
      </c>
      <c r="U67" s="180"/>
      <c r="V67" s="204" t="s">
        <v>1285</v>
      </c>
      <c r="W67" s="180" t="s">
        <v>1262</v>
      </c>
      <c r="X67" s="180" t="s">
        <v>1263</v>
      </c>
      <c r="Y67" s="136" t="s">
        <v>1286</v>
      </c>
      <c r="Z67" s="204" t="s">
        <v>1274</v>
      </c>
      <c r="AA67" s="312">
        <f t="shared" si="4"/>
        <v>1</v>
      </c>
      <c r="AB67" s="310" t="s">
        <v>1020</v>
      </c>
      <c r="AC67" s="204"/>
      <c r="AD67" s="314" t="str">
        <f>_xlfn.XLOOKUP(A67, 'Component Masterlist v2'!A:A, 'Component Masterlist v2'!G:G, "Not found")</f>
        <v>Santosh Golecha</v>
      </c>
      <c r="AE67" s="314" t="str">
        <f>_xlfn.XLOOKUP(A67, 'Component Masterlist v2'!A:A, 'Component Masterlist v2'!E:E, "Not found")</f>
        <v>Ankur Agarwal</v>
      </c>
      <c r="AF67" s="180"/>
      <c r="AG67" s="180"/>
      <c r="AH67" s="180"/>
      <c r="AI67" s="180"/>
    </row>
    <row r="68" spans="1:35" hidden="1">
      <c r="A68" s="180" t="s">
        <v>40</v>
      </c>
      <c r="B68" s="79" t="s">
        <v>1287</v>
      </c>
      <c r="C68" s="90" t="s">
        <v>795</v>
      </c>
      <c r="D68" s="90">
        <f>7*7.5</f>
        <v>52.5</v>
      </c>
      <c r="E68" s="320">
        <f t="shared" si="3"/>
        <v>105</v>
      </c>
      <c r="F68" s="23" t="s">
        <v>804</v>
      </c>
      <c r="G68" s="23" t="s">
        <v>805</v>
      </c>
      <c r="H68" s="27"/>
      <c r="I68" s="180"/>
      <c r="J68" s="180"/>
      <c r="K68" s="180"/>
      <c r="L68" s="180"/>
      <c r="M68" s="180"/>
      <c r="N68" s="180"/>
      <c r="O68" s="180"/>
      <c r="P68" s="180"/>
      <c r="Q68" s="180"/>
      <c r="R68" s="209" t="s">
        <v>965</v>
      </c>
      <c r="S68" s="180"/>
      <c r="T68" s="180" t="s">
        <v>1288</v>
      </c>
      <c r="U68" s="180"/>
      <c r="V68" s="204" t="s">
        <v>1276</v>
      </c>
      <c r="W68" s="180" t="s">
        <v>1289</v>
      </c>
      <c r="X68" s="180" t="s">
        <v>1263</v>
      </c>
      <c r="Y68" s="136" t="s">
        <v>1290</v>
      </c>
      <c r="Z68" s="204" t="s">
        <v>1274</v>
      </c>
      <c r="AA68" s="312">
        <f t="shared" si="4"/>
        <v>1</v>
      </c>
      <c r="AB68" s="310" t="s">
        <v>1020</v>
      </c>
      <c r="AC68" s="204"/>
      <c r="AD68" s="314" t="str">
        <f>_xlfn.XLOOKUP(A68, 'Component Masterlist v2'!A:A, 'Component Masterlist v2'!G:G, "Not found")</f>
        <v>Santosh Golecha</v>
      </c>
      <c r="AE68" s="314" t="str">
        <f>_xlfn.XLOOKUP(A68, 'Component Masterlist v2'!A:A, 'Component Masterlist v2'!E:E, "Not found")</f>
        <v>Ankur Agarwal</v>
      </c>
      <c r="AF68" s="180"/>
      <c r="AG68" s="180"/>
      <c r="AH68" s="180"/>
      <c r="AI68" s="180"/>
    </row>
    <row r="69" spans="1:35" hidden="1">
      <c r="A69" s="180" t="s">
        <v>40</v>
      </c>
      <c r="B69" s="79" t="s">
        <v>1291</v>
      </c>
      <c r="C69" s="90" t="s">
        <v>795</v>
      </c>
      <c r="D69" s="90">
        <f>10*7.5</f>
        <v>75</v>
      </c>
      <c r="E69" s="320">
        <f t="shared" si="3"/>
        <v>150</v>
      </c>
      <c r="F69" t="s">
        <v>832</v>
      </c>
      <c r="G69" s="23" t="s">
        <v>830</v>
      </c>
      <c r="H69" s="118" t="s">
        <v>833</v>
      </c>
      <c r="I69" s="78" t="s">
        <v>834</v>
      </c>
      <c r="J69" s="3" t="s">
        <v>827</v>
      </c>
      <c r="K69" s="3" t="s">
        <v>831</v>
      </c>
      <c r="L69" s="3" t="s">
        <v>835</v>
      </c>
      <c r="M69" s="180" t="s">
        <v>836</v>
      </c>
      <c r="N69" s="180"/>
      <c r="O69" s="180"/>
      <c r="P69" s="180"/>
      <c r="Q69" s="180"/>
      <c r="R69" s="209" t="s">
        <v>965</v>
      </c>
      <c r="S69" s="180"/>
      <c r="T69" s="180" t="s">
        <v>1292</v>
      </c>
      <c r="U69" s="180"/>
      <c r="V69" s="204" t="s">
        <v>1293</v>
      </c>
      <c r="W69" s="180" t="s">
        <v>1294</v>
      </c>
      <c r="X69" s="180" t="s">
        <v>1263</v>
      </c>
      <c r="Y69" s="136" t="s">
        <v>1295</v>
      </c>
      <c r="Z69" s="204" t="s">
        <v>1265</v>
      </c>
      <c r="AA69" s="312">
        <f t="shared" si="4"/>
        <v>1</v>
      </c>
      <c r="AB69" s="310" t="s">
        <v>1020</v>
      </c>
      <c r="AC69" s="204"/>
      <c r="AD69" s="314" t="str">
        <f>_xlfn.XLOOKUP(A69, 'Component Masterlist v2'!A:A, 'Component Masterlist v2'!G:G, "Not found")</f>
        <v>Santosh Golecha</v>
      </c>
      <c r="AE69" s="314" t="str">
        <f>_xlfn.XLOOKUP(A69, 'Component Masterlist v2'!A:A, 'Component Masterlist v2'!E:E, "Not found")</f>
        <v>Ankur Agarwal</v>
      </c>
      <c r="AF69" s="180"/>
      <c r="AG69" s="180"/>
      <c r="AH69" s="180"/>
      <c r="AI69" s="180"/>
    </row>
    <row r="70" spans="1:35" hidden="1">
      <c r="A70" s="180" t="s">
        <v>40</v>
      </c>
      <c r="B70" s="79" t="s">
        <v>1296</v>
      </c>
      <c r="C70" s="90" t="s">
        <v>795</v>
      </c>
      <c r="D70" s="90">
        <f>10*7.5</f>
        <v>75</v>
      </c>
      <c r="E70" s="320">
        <f t="shared" si="3"/>
        <v>150</v>
      </c>
      <c r="F70" s="180" t="s">
        <v>838</v>
      </c>
      <c r="G70" s="27"/>
      <c r="H70" s="27"/>
      <c r="I70" s="180"/>
      <c r="J70" s="180"/>
      <c r="K70" s="27"/>
      <c r="L70" s="27"/>
      <c r="M70" s="180"/>
      <c r="N70" s="180"/>
      <c r="O70" s="180"/>
      <c r="P70" s="180"/>
      <c r="Q70" s="180"/>
      <c r="R70" s="209" t="s">
        <v>965</v>
      </c>
      <c r="S70" s="180"/>
      <c r="T70" s="180" t="s">
        <v>1297</v>
      </c>
      <c r="U70" s="180"/>
      <c r="V70" s="204" t="s">
        <v>793</v>
      </c>
      <c r="W70" s="180" t="s">
        <v>1298</v>
      </c>
      <c r="X70" s="180" t="s">
        <v>1263</v>
      </c>
      <c r="Y70" s="136" t="s">
        <v>1299</v>
      </c>
      <c r="Z70" s="204" t="s">
        <v>1274</v>
      </c>
      <c r="AA70" s="312">
        <f t="shared" si="4"/>
        <v>1</v>
      </c>
      <c r="AB70" s="310" t="s">
        <v>1020</v>
      </c>
      <c r="AC70" s="204"/>
      <c r="AD70" s="314" t="str">
        <f>_xlfn.XLOOKUP(A70, 'Component Masterlist v2'!A:A, 'Component Masterlist v2'!G:G, "Not found")</f>
        <v>Santosh Golecha</v>
      </c>
      <c r="AE70" s="314" t="str">
        <f>_xlfn.XLOOKUP(A70, 'Component Masterlist v2'!A:A, 'Component Masterlist v2'!E:E, "Not found")</f>
        <v>Ankur Agarwal</v>
      </c>
      <c r="AF70" s="180"/>
      <c r="AG70" s="180"/>
      <c r="AH70" s="180"/>
      <c r="AI70" s="180"/>
    </row>
    <row r="71" spans="1:35" hidden="1">
      <c r="A71" s="180" t="s">
        <v>40</v>
      </c>
      <c r="B71" s="79" t="s">
        <v>1300</v>
      </c>
      <c r="C71" s="90" t="s">
        <v>795</v>
      </c>
      <c r="D71" s="90">
        <f>2*7.5</f>
        <v>15</v>
      </c>
      <c r="E71" s="320">
        <f t="shared" si="3"/>
        <v>30</v>
      </c>
      <c r="F71" s="23" t="s">
        <v>809</v>
      </c>
      <c r="G71" s="23" t="s">
        <v>810</v>
      </c>
      <c r="H71" s="180"/>
      <c r="I71" s="180"/>
      <c r="J71" s="180"/>
      <c r="K71" s="180"/>
      <c r="L71" s="180"/>
      <c r="M71" s="180"/>
      <c r="N71" s="180"/>
      <c r="O71" s="180"/>
      <c r="P71" s="180"/>
      <c r="Q71" s="180"/>
      <c r="R71" s="209" t="s">
        <v>965</v>
      </c>
      <c r="S71" s="180"/>
      <c r="T71" s="180" t="s">
        <v>808</v>
      </c>
      <c r="U71" s="180"/>
      <c r="V71" s="204" t="s">
        <v>1276</v>
      </c>
      <c r="W71" s="180" t="s">
        <v>1301</v>
      </c>
      <c r="X71" s="180" t="s">
        <v>1263</v>
      </c>
      <c r="Y71" s="327" t="s">
        <v>1302</v>
      </c>
      <c r="Z71" s="204" t="s">
        <v>1274</v>
      </c>
      <c r="AA71" s="312">
        <f t="shared" si="4"/>
        <v>1</v>
      </c>
      <c r="AB71" s="310" t="s">
        <v>1020</v>
      </c>
      <c r="AC71" s="204"/>
      <c r="AD71" s="314" t="str">
        <f>_xlfn.XLOOKUP(A71, 'Component Masterlist v2'!A:A, 'Component Masterlist v2'!G:G, "Not found")</f>
        <v>Santosh Golecha</v>
      </c>
      <c r="AE71" s="314" t="str">
        <f>_xlfn.XLOOKUP(A71, 'Component Masterlist v2'!A:A, 'Component Masterlist v2'!E:E, "Not found")</f>
        <v>Ankur Agarwal</v>
      </c>
      <c r="AF71" s="180"/>
      <c r="AG71" s="180"/>
      <c r="AH71" s="180"/>
      <c r="AI71" s="180"/>
    </row>
    <row r="72" spans="1:35" hidden="1">
      <c r="A72" s="180" t="s">
        <v>40</v>
      </c>
      <c r="B72" s="79" t="s">
        <v>1303</v>
      </c>
      <c r="C72" s="90" t="s">
        <v>795</v>
      </c>
      <c r="D72" s="90">
        <f>8*7.5</f>
        <v>60</v>
      </c>
      <c r="E72" s="320">
        <f t="shared" si="3"/>
        <v>120</v>
      </c>
      <c r="F72" s="23" t="s">
        <v>819</v>
      </c>
      <c r="G72" s="23" t="s">
        <v>824</v>
      </c>
      <c r="H72" s="27"/>
      <c r="I72" s="180"/>
      <c r="J72" s="23"/>
      <c r="K72" s="23"/>
      <c r="L72" s="23"/>
      <c r="M72" s="23"/>
      <c r="N72" s="23"/>
      <c r="O72" s="23"/>
      <c r="P72" s="23"/>
      <c r="Q72" s="23"/>
      <c r="R72" s="209" t="s">
        <v>965</v>
      </c>
      <c r="S72" s="180"/>
      <c r="T72" s="180" t="s">
        <v>1280</v>
      </c>
      <c r="U72" s="180"/>
      <c r="V72" s="268" t="s">
        <v>816</v>
      </c>
      <c r="W72" s="269" t="s">
        <v>1304</v>
      </c>
      <c r="X72" s="180" t="s">
        <v>1263</v>
      </c>
      <c r="Y72" s="136" t="s">
        <v>1305</v>
      </c>
      <c r="Z72" s="180" t="s">
        <v>1265</v>
      </c>
      <c r="AA72" s="312">
        <f t="shared" si="4"/>
        <v>1</v>
      </c>
      <c r="AB72" s="310" t="s">
        <v>1020</v>
      </c>
      <c r="AC72" s="204"/>
      <c r="AD72" s="314" t="str">
        <f>_xlfn.XLOOKUP(A72, 'Component Masterlist v2'!A:A, 'Component Masterlist v2'!G:G, "Not found")</f>
        <v>Santosh Golecha</v>
      </c>
      <c r="AE72" s="314" t="str">
        <f>_xlfn.XLOOKUP(A72, 'Component Masterlist v2'!A:A, 'Component Masterlist v2'!E:E, "Not found")</f>
        <v>Ankur Agarwal</v>
      </c>
      <c r="AF72" s="180"/>
      <c r="AG72" s="180"/>
      <c r="AH72" s="180"/>
      <c r="AI72" s="180"/>
    </row>
    <row r="73" spans="1:35" hidden="1">
      <c r="A73" s="180" t="s">
        <v>40</v>
      </c>
      <c r="B73" s="206" t="s">
        <v>1306</v>
      </c>
      <c r="C73" s="90" t="s">
        <v>795</v>
      </c>
      <c r="D73" s="90">
        <f>4*7.5</f>
        <v>30</v>
      </c>
      <c r="E73" s="320">
        <f t="shared" si="3"/>
        <v>60</v>
      </c>
      <c r="F73" s="180" t="s">
        <v>798</v>
      </c>
      <c r="G73" s="23" t="s">
        <v>800</v>
      </c>
      <c r="H73" s="180"/>
      <c r="I73" s="180"/>
      <c r="J73" s="180"/>
      <c r="K73" s="180"/>
      <c r="L73" s="180"/>
      <c r="M73" s="180"/>
      <c r="N73" s="180"/>
      <c r="O73" s="180"/>
      <c r="P73" s="180"/>
      <c r="Q73" s="180"/>
      <c r="R73" s="209" t="s">
        <v>965</v>
      </c>
      <c r="S73" s="180"/>
      <c r="T73" s="27" t="s">
        <v>21</v>
      </c>
      <c r="U73" s="180"/>
      <c r="V73" s="204" t="s">
        <v>793</v>
      </c>
      <c r="W73" s="268" t="s">
        <v>1307</v>
      </c>
      <c r="X73" s="180" t="s">
        <v>1263</v>
      </c>
      <c r="Y73" s="136" t="s">
        <v>1308</v>
      </c>
      <c r="Z73" s="180" t="s">
        <v>1274</v>
      </c>
      <c r="AA73" s="312">
        <f t="shared" si="4"/>
        <v>1</v>
      </c>
      <c r="AB73" s="310" t="s">
        <v>1020</v>
      </c>
      <c r="AC73" s="204"/>
      <c r="AD73" s="314" t="str">
        <f>_xlfn.XLOOKUP(A73, 'Component Masterlist v2'!A:A, 'Component Masterlist v2'!G:G, "Not found")</f>
        <v>Santosh Golecha</v>
      </c>
      <c r="AE73" s="314" t="str">
        <f>_xlfn.XLOOKUP(A73, 'Component Masterlist v2'!A:A, 'Component Masterlist v2'!E:E, "Not found")</f>
        <v>Ankur Agarwal</v>
      </c>
      <c r="AF73" s="180"/>
      <c r="AG73" s="180"/>
      <c r="AH73" s="180"/>
      <c r="AI73" s="180"/>
    </row>
    <row r="74" spans="1:35" hidden="1">
      <c r="A74" s="180" t="s">
        <v>40</v>
      </c>
      <c r="B74" s="79" t="s">
        <v>1309</v>
      </c>
      <c r="C74" s="90" t="s">
        <v>795</v>
      </c>
      <c r="D74" s="90">
        <f>6*7.5</f>
        <v>45</v>
      </c>
      <c r="E74" s="320">
        <f t="shared" si="3"/>
        <v>90</v>
      </c>
      <c r="F74" s="180" t="s">
        <v>791</v>
      </c>
      <c r="G74" s="23" t="s">
        <v>797</v>
      </c>
      <c r="H74" s="180"/>
      <c r="I74" s="180"/>
      <c r="J74" s="180"/>
      <c r="K74" s="180"/>
      <c r="L74" s="180"/>
      <c r="M74" s="180"/>
      <c r="N74" s="180"/>
      <c r="O74" s="180"/>
      <c r="P74" s="180"/>
      <c r="Q74" s="180"/>
      <c r="R74" s="209" t="s">
        <v>965</v>
      </c>
      <c r="S74" s="180"/>
      <c r="T74" s="180" t="s">
        <v>1310</v>
      </c>
      <c r="U74" s="180"/>
      <c r="V74" s="27" t="s">
        <v>793</v>
      </c>
      <c r="W74" s="180" t="s">
        <v>1311</v>
      </c>
      <c r="X74" s="180" t="s">
        <v>1263</v>
      </c>
      <c r="Y74" s="136" t="s">
        <v>1312</v>
      </c>
      <c r="Z74" s="180" t="s">
        <v>1274</v>
      </c>
      <c r="AA74" s="312">
        <f t="shared" si="4"/>
        <v>1</v>
      </c>
      <c r="AB74" s="310" t="s">
        <v>1020</v>
      </c>
      <c r="AC74" s="204"/>
      <c r="AD74" s="314" t="str">
        <f>_xlfn.XLOOKUP(A74, 'Component Masterlist v2'!A:A, 'Component Masterlist v2'!G:G, "Not found")</f>
        <v>Santosh Golecha</v>
      </c>
      <c r="AE74" s="314" t="str">
        <f>_xlfn.XLOOKUP(A74, 'Component Masterlist v2'!A:A, 'Component Masterlist v2'!E:E, "Not found")</f>
        <v>Ankur Agarwal</v>
      </c>
      <c r="AF74" s="180"/>
      <c r="AG74" s="180"/>
      <c r="AH74" s="180"/>
      <c r="AI74" s="180"/>
    </row>
    <row r="75" spans="1:35" hidden="1">
      <c r="A75" s="180" t="s">
        <v>35</v>
      </c>
      <c r="B75" s="317" t="s">
        <v>1313</v>
      </c>
      <c r="C75" s="310" t="s">
        <v>591</v>
      </c>
      <c r="D75" s="310">
        <v>34</v>
      </c>
      <c r="E75" s="320">
        <f t="shared" si="3"/>
        <v>68</v>
      </c>
      <c r="F75" s="180" t="s">
        <v>603</v>
      </c>
      <c r="G75" s="180" t="s">
        <v>602</v>
      </c>
      <c r="H75" s="180" t="s">
        <v>596</v>
      </c>
      <c r="I75" s="180" t="s">
        <v>597</v>
      </c>
      <c r="J75" s="180" t="s">
        <v>594</v>
      </c>
      <c r="K75" s="180" t="s">
        <v>607</v>
      </c>
      <c r="L75" s="180" t="s">
        <v>606</v>
      </c>
      <c r="M75" s="180" t="s">
        <v>599</v>
      </c>
      <c r="N75" s="180" t="s">
        <v>601</v>
      </c>
      <c r="O75" s="180" t="s">
        <v>604</v>
      </c>
      <c r="P75" s="180" t="s">
        <v>605</v>
      </c>
      <c r="Q75" s="180" t="s">
        <v>598</v>
      </c>
      <c r="R75" s="209" t="s">
        <v>965</v>
      </c>
      <c r="S75" s="328"/>
      <c r="T75" s="328" t="s">
        <v>1314</v>
      </c>
      <c r="U75" s="328"/>
      <c r="V75" s="180" t="s">
        <v>1315</v>
      </c>
      <c r="W75" s="180" t="s">
        <v>1316</v>
      </c>
      <c r="X75" s="180" t="s">
        <v>1317</v>
      </c>
      <c r="Y75" s="159" t="s">
        <v>1318</v>
      </c>
      <c r="Z75" s="180" t="s">
        <v>1265</v>
      </c>
      <c r="AA75" s="312">
        <f t="shared" si="4"/>
        <v>1</v>
      </c>
      <c r="AB75" s="310" t="s">
        <v>1020</v>
      </c>
      <c r="AC75" s="204"/>
      <c r="AD75" s="314" t="str">
        <f>_xlfn.XLOOKUP(A75, 'Component Masterlist v2'!A:A, 'Component Masterlist v2'!G:G, "Not found")</f>
        <v>Santosh Golecha</v>
      </c>
      <c r="AE75" s="314" t="str">
        <f>_xlfn.XLOOKUP(A75, 'Component Masterlist v2'!A:A, 'Component Masterlist v2'!E:E, "Not found")</f>
        <v>Ankur Agarwal</v>
      </c>
      <c r="AF75" s="180"/>
      <c r="AG75" s="82" t="s">
        <v>1319</v>
      </c>
      <c r="AH75" s="180"/>
      <c r="AI75" s="180"/>
    </row>
    <row r="76" spans="1:35" hidden="1">
      <c r="A76" s="180" t="s">
        <v>35</v>
      </c>
      <c r="B76" s="317" t="s">
        <v>1320</v>
      </c>
      <c r="C76" s="310" t="s">
        <v>591</v>
      </c>
      <c r="D76" s="310">
        <v>8.5</v>
      </c>
      <c r="E76" s="320">
        <f t="shared" si="3"/>
        <v>17</v>
      </c>
      <c r="F76" s="180" t="s">
        <v>593</v>
      </c>
      <c r="G76" s="180"/>
      <c r="H76" s="180"/>
      <c r="I76" s="180"/>
      <c r="J76" s="180"/>
      <c r="K76" s="180"/>
      <c r="L76" s="180"/>
      <c r="M76" s="180"/>
      <c r="N76" s="180"/>
      <c r="O76" s="180"/>
      <c r="P76" s="180"/>
      <c r="Q76" s="180"/>
      <c r="R76" s="180" t="s">
        <v>965</v>
      </c>
      <c r="S76" s="180"/>
      <c r="T76" s="180" t="s">
        <v>1314</v>
      </c>
      <c r="U76" s="180"/>
      <c r="V76" s="180" t="s">
        <v>1321</v>
      </c>
      <c r="W76" s="180" t="s">
        <v>1322</v>
      </c>
      <c r="X76" s="180" t="s">
        <v>1317</v>
      </c>
      <c r="Y76" s="159" t="s">
        <v>1323</v>
      </c>
      <c r="Z76" s="180" t="s">
        <v>1265</v>
      </c>
      <c r="AA76" s="312">
        <f t="shared" si="4"/>
        <v>1</v>
      </c>
      <c r="AB76" s="310" t="s">
        <v>1020</v>
      </c>
      <c r="AC76" s="204"/>
      <c r="AD76" s="314" t="str">
        <f>_xlfn.XLOOKUP(A76, 'Component Masterlist v2'!A:A, 'Component Masterlist v2'!G:G, "Not found")</f>
        <v>Santosh Golecha</v>
      </c>
      <c r="AE76" s="314" t="str">
        <f>_xlfn.XLOOKUP(A76, 'Component Masterlist v2'!A:A, 'Component Masterlist v2'!E:E, "Not found")</f>
        <v>Ankur Agarwal</v>
      </c>
      <c r="AF76" s="180"/>
      <c r="AG76" s="82" t="s">
        <v>1319</v>
      </c>
      <c r="AH76" s="180"/>
      <c r="AI76" s="82"/>
    </row>
    <row r="77" spans="1:35" hidden="1">
      <c r="A77" s="180" t="s">
        <v>35</v>
      </c>
      <c r="B77" s="317" t="s">
        <v>1324</v>
      </c>
      <c r="C77" s="310" t="s">
        <v>591</v>
      </c>
      <c r="D77" s="310">
        <v>93.5</v>
      </c>
      <c r="E77" s="320">
        <f t="shared" si="3"/>
        <v>187</v>
      </c>
      <c r="F77" s="180" t="s">
        <v>608</v>
      </c>
      <c r="G77" s="180" t="s">
        <v>589</v>
      </c>
      <c r="H77" s="180"/>
      <c r="I77" s="180"/>
      <c r="J77" s="180"/>
      <c r="K77" s="180"/>
      <c r="L77" s="180"/>
      <c r="M77" s="180"/>
      <c r="N77" s="180"/>
      <c r="O77" s="180"/>
      <c r="P77" s="180"/>
      <c r="Q77" s="180"/>
      <c r="R77" s="180" t="s">
        <v>965</v>
      </c>
      <c r="S77" s="180"/>
      <c r="T77" s="180" t="s">
        <v>1325</v>
      </c>
      <c r="U77" s="180"/>
      <c r="V77" s="180" t="s">
        <v>1326</v>
      </c>
      <c r="W77" s="317" t="s">
        <v>1327</v>
      </c>
      <c r="X77" s="180" t="s">
        <v>1317</v>
      </c>
      <c r="Y77" s="159" t="s">
        <v>1328</v>
      </c>
      <c r="Z77" s="180" t="s">
        <v>1265</v>
      </c>
      <c r="AA77" s="312">
        <f t="shared" si="4"/>
        <v>1</v>
      </c>
      <c r="AB77" s="310" t="s">
        <v>1020</v>
      </c>
      <c r="AC77" s="204"/>
      <c r="AD77" s="314" t="str">
        <f>_xlfn.XLOOKUP(A77, 'Component Masterlist v2'!A:A, 'Component Masterlist v2'!G:G, "Not found")</f>
        <v>Santosh Golecha</v>
      </c>
      <c r="AE77" s="314" t="str">
        <f>_xlfn.XLOOKUP(A77, 'Component Masterlist v2'!A:A, 'Component Masterlist v2'!E:E, "Not found")</f>
        <v>Ankur Agarwal</v>
      </c>
      <c r="AF77" s="180"/>
      <c r="AG77" s="82" t="s">
        <v>1319</v>
      </c>
      <c r="AH77" s="180"/>
      <c r="AI77" s="82"/>
    </row>
    <row r="78" spans="1:35" hidden="1">
      <c r="A78" s="180" t="s">
        <v>35</v>
      </c>
      <c r="B78" s="317" t="s">
        <v>1329</v>
      </c>
      <c r="C78" s="310" t="s">
        <v>591</v>
      </c>
      <c r="D78" s="310">
        <v>25.5</v>
      </c>
      <c r="E78" s="320">
        <f t="shared" si="3"/>
        <v>51</v>
      </c>
      <c r="F78" s="125" t="s">
        <v>600</v>
      </c>
      <c r="G78" s="180"/>
      <c r="H78" s="180"/>
      <c r="I78" s="180"/>
      <c r="J78" s="180"/>
      <c r="K78" s="180"/>
      <c r="L78" s="180"/>
      <c r="M78" s="180"/>
      <c r="N78" s="180"/>
      <c r="O78" s="180"/>
      <c r="P78" s="180"/>
      <c r="Q78" s="180"/>
      <c r="R78" s="180" t="s">
        <v>965</v>
      </c>
      <c r="S78" s="180"/>
      <c r="T78" s="180" t="s">
        <v>1330</v>
      </c>
      <c r="U78" s="180"/>
      <c r="V78" s="180" t="s">
        <v>1331</v>
      </c>
      <c r="W78" s="180" t="s">
        <v>1332</v>
      </c>
      <c r="X78" s="180" t="s">
        <v>1317</v>
      </c>
      <c r="Y78" s="180" t="s">
        <v>1333</v>
      </c>
      <c r="Z78" s="180" t="s">
        <v>1265</v>
      </c>
      <c r="AA78" s="312">
        <f t="shared" si="4"/>
        <v>1</v>
      </c>
      <c r="AB78" s="310" t="s">
        <v>1020</v>
      </c>
      <c r="AC78" s="204"/>
      <c r="AD78" s="314" t="str">
        <f>_xlfn.XLOOKUP(A78, 'Component Masterlist v2'!A:A, 'Component Masterlist v2'!G:G, "Not found")</f>
        <v>Santosh Golecha</v>
      </c>
      <c r="AE78" s="314" t="str">
        <f>_xlfn.XLOOKUP(A78, 'Component Masterlist v2'!A:A, 'Component Masterlist v2'!E:E, "Not found")</f>
        <v>Ankur Agarwal</v>
      </c>
      <c r="AF78" s="180"/>
      <c r="AG78" s="82" t="s">
        <v>1319</v>
      </c>
      <c r="AH78" s="180"/>
      <c r="AI78" s="82"/>
    </row>
    <row r="79" spans="1:35" hidden="1">
      <c r="A79" s="180" t="s">
        <v>36</v>
      </c>
      <c r="B79" s="317" t="s">
        <v>1334</v>
      </c>
      <c r="C79" s="310" t="s">
        <v>154</v>
      </c>
      <c r="D79" s="310">
        <f>6*7.5</f>
        <v>45</v>
      </c>
      <c r="E79" s="320">
        <f t="shared" si="3"/>
        <v>90</v>
      </c>
      <c r="F79" s="180" t="s">
        <v>662</v>
      </c>
      <c r="G79" s="180" t="s">
        <v>665</v>
      </c>
      <c r="H79" s="180" t="s">
        <v>666</v>
      </c>
      <c r="I79" s="180" t="s">
        <v>667</v>
      </c>
      <c r="J79" s="180"/>
      <c r="K79" s="180"/>
      <c r="L79" s="180"/>
      <c r="M79" s="180"/>
      <c r="N79" s="180"/>
      <c r="O79" s="180"/>
      <c r="P79" s="180"/>
      <c r="Q79" s="180"/>
      <c r="R79" s="180" t="s">
        <v>965</v>
      </c>
      <c r="S79" s="180"/>
      <c r="T79" s="180" t="s">
        <v>1314</v>
      </c>
      <c r="U79" s="180"/>
      <c r="V79" s="180" t="s">
        <v>1335</v>
      </c>
      <c r="W79" s="180" t="s">
        <v>1336</v>
      </c>
      <c r="X79" s="180" t="s">
        <v>1337</v>
      </c>
      <c r="Y79" s="180" t="s">
        <v>1338</v>
      </c>
      <c r="Z79" s="180" t="s">
        <v>1339</v>
      </c>
      <c r="AA79" s="312">
        <f t="shared" si="4"/>
        <v>1</v>
      </c>
      <c r="AB79" s="310"/>
      <c r="AC79" s="204"/>
      <c r="AD79" s="314" t="str">
        <f>_xlfn.XLOOKUP(A79, 'Component Masterlist v2'!A:A, 'Component Masterlist v2'!G:G, "Not found")</f>
        <v>Santosh Golecha</v>
      </c>
      <c r="AE79" s="314" t="str">
        <f>_xlfn.XLOOKUP(A79, 'Component Masterlist v2'!A:A, 'Component Masterlist v2'!E:E, "Not found")</f>
        <v>Ankur Agarwal</v>
      </c>
      <c r="AF79" s="180"/>
      <c r="AG79" s="180"/>
      <c r="AH79" s="180"/>
      <c r="AI79" s="180"/>
    </row>
    <row r="80" spans="1:35" hidden="1">
      <c r="A80" s="27" t="s">
        <v>51</v>
      </c>
      <c r="B80" s="88" t="s">
        <v>51</v>
      </c>
      <c r="C80" s="310" t="s">
        <v>399</v>
      </c>
      <c r="D80" s="310">
        <v>44</v>
      </c>
      <c r="E80" s="116">
        <f>D80*2</f>
        <v>88</v>
      </c>
      <c r="F80" s="79" t="s">
        <v>51</v>
      </c>
      <c r="G80" s="79"/>
      <c r="H80" s="180"/>
      <c r="I80" s="180"/>
      <c r="J80" s="180"/>
      <c r="K80" s="180"/>
      <c r="L80" s="180"/>
      <c r="M80" s="180"/>
      <c r="N80" s="180"/>
      <c r="O80" s="180"/>
      <c r="P80" s="180"/>
      <c r="Q80" s="180"/>
      <c r="R80" s="180" t="s">
        <v>965</v>
      </c>
      <c r="S80" s="87"/>
      <c r="T80" s="87" t="s">
        <v>1200</v>
      </c>
      <c r="U80" s="87"/>
      <c r="V80" s="184" t="s">
        <v>1340</v>
      </c>
      <c r="W80" s="87" t="s">
        <v>1202</v>
      </c>
      <c r="X80" s="87" t="s">
        <v>1341</v>
      </c>
      <c r="Y80" s="87" t="s">
        <v>1342</v>
      </c>
      <c r="Z80" s="205" t="s">
        <v>969</v>
      </c>
      <c r="AA80" s="312">
        <f t="shared" si="4"/>
        <v>1</v>
      </c>
      <c r="AB80" s="78" t="s">
        <v>970</v>
      </c>
      <c r="AC80" s="204"/>
      <c r="AD80" s="314" t="str">
        <f>_xlfn.XLOOKUP(A80, 'Component Masterlist v2'!A:A, 'Component Masterlist v2'!G:G, "Not found")</f>
        <v>Sanyam Agrawal</v>
      </c>
      <c r="AE80" s="314" t="str">
        <f>_xlfn.XLOOKUP(A80, 'Component Masterlist v2'!A:A, 'Component Masterlist v2'!E:E, "Not found")</f>
        <v>Fahad Tasleem</v>
      </c>
      <c r="AF80" s="180"/>
      <c r="AG80" s="135" t="s">
        <v>1343</v>
      </c>
      <c r="AH80" s="135" t="s">
        <v>1344</v>
      </c>
      <c r="AI80" s="180"/>
    </row>
    <row r="81" spans="1:35" hidden="1">
      <c r="A81" s="180" t="s">
        <v>37</v>
      </c>
      <c r="B81" s="317" t="s">
        <v>1345</v>
      </c>
      <c r="C81" s="310" t="s">
        <v>591</v>
      </c>
      <c r="D81" s="310">
        <v>121</v>
      </c>
      <c r="E81" s="97">
        <f t="shared" ref="E81:E86" si="5">D81*2</f>
        <v>242</v>
      </c>
      <c r="F81" s="180" t="s">
        <v>611</v>
      </c>
      <c r="G81" s="180" t="s">
        <v>612</v>
      </c>
      <c r="H81" s="180" t="s">
        <v>609</v>
      </c>
      <c r="I81" s="180" t="s">
        <v>613</v>
      </c>
      <c r="J81" s="180" t="s">
        <v>614</v>
      </c>
      <c r="K81" s="180" t="s">
        <v>615</v>
      </c>
      <c r="L81" s="180" t="s">
        <v>616</v>
      </c>
      <c r="M81" s="180" t="s">
        <v>617</v>
      </c>
      <c r="N81" s="180" t="s">
        <v>618</v>
      </c>
      <c r="O81" s="180" t="s">
        <v>619</v>
      </c>
      <c r="P81" s="180"/>
      <c r="Q81" s="180"/>
      <c r="R81" s="180" t="s">
        <v>965</v>
      </c>
      <c r="S81" s="180"/>
      <c r="T81" s="180" t="s">
        <v>1346</v>
      </c>
      <c r="U81" s="180"/>
      <c r="V81" s="180" t="s">
        <v>1347</v>
      </c>
      <c r="W81" s="317" t="s">
        <v>1348</v>
      </c>
      <c r="X81" s="180" t="s">
        <v>1317</v>
      </c>
      <c r="Y81" s="180" t="s">
        <v>1349</v>
      </c>
      <c r="Z81" s="180" t="s">
        <v>1265</v>
      </c>
      <c r="AA81" s="312">
        <f t="shared" si="4"/>
        <v>1</v>
      </c>
      <c r="AB81" s="310" t="s">
        <v>970</v>
      </c>
      <c r="AC81" s="204"/>
      <c r="AD81" s="314" t="str">
        <f>_xlfn.XLOOKUP(A81, 'Component Masterlist v2'!A:A, 'Component Masterlist v2'!G:G, "Not found")</f>
        <v>Santosh Golecha</v>
      </c>
      <c r="AE81" s="314" t="str">
        <f>_xlfn.XLOOKUP(A81, 'Component Masterlist v2'!A:A, 'Component Masterlist v2'!E:E, "Not found")</f>
        <v>Ankur Agarwal</v>
      </c>
      <c r="AF81" s="209"/>
      <c r="AG81" s="82" t="s">
        <v>1319</v>
      </c>
      <c r="AH81" s="180"/>
      <c r="AI81" s="212"/>
    </row>
    <row r="82" spans="1:35" hidden="1">
      <c r="A82" s="27" t="s">
        <v>84</v>
      </c>
      <c r="B82" s="317" t="s">
        <v>1350</v>
      </c>
      <c r="C82" s="310" t="s">
        <v>145</v>
      </c>
      <c r="D82" s="78">
        <v>81</v>
      </c>
      <c r="E82" s="115">
        <f t="shared" si="5"/>
        <v>162</v>
      </c>
      <c r="F82" s="180" t="s">
        <v>638</v>
      </c>
      <c r="G82" s="180"/>
      <c r="H82" s="180"/>
      <c r="I82" s="180"/>
      <c r="J82" s="180"/>
      <c r="K82" s="180"/>
      <c r="L82" s="180"/>
      <c r="M82" s="180"/>
      <c r="N82" s="180"/>
      <c r="O82" s="180"/>
      <c r="P82" s="180"/>
      <c r="Q82" s="180"/>
      <c r="R82" s="180" t="s">
        <v>965</v>
      </c>
      <c r="S82" s="180"/>
      <c r="T82" s="180" t="s">
        <v>639</v>
      </c>
      <c r="U82" s="180"/>
      <c r="V82" s="180" t="s">
        <v>640</v>
      </c>
      <c r="W82" s="180" t="s">
        <v>1351</v>
      </c>
      <c r="X82" s="180" t="s">
        <v>1352</v>
      </c>
      <c r="Y82" s="181" t="s">
        <v>1353</v>
      </c>
      <c r="Z82" s="180" t="s">
        <v>1354</v>
      </c>
      <c r="AA82" s="312">
        <f t="shared" si="4"/>
        <v>1</v>
      </c>
      <c r="AB82" s="310" t="s">
        <v>970</v>
      </c>
      <c r="AC82" s="204"/>
      <c r="AD82" s="314" t="str">
        <f>_xlfn.XLOOKUP(A82, 'Component Masterlist v2'!A:A, 'Component Masterlist v2'!G:G, "Not found")</f>
        <v>Ved Singh</v>
      </c>
      <c r="AE82" s="314" t="str">
        <f>_xlfn.XLOOKUP(A82, 'Component Masterlist v2'!A:A, 'Component Masterlist v2'!E:E, "Not found")</f>
        <v>Damodara Reddy</v>
      </c>
      <c r="AF82" s="180"/>
      <c r="AG82" s="172" t="s">
        <v>1355</v>
      </c>
      <c r="AH82" s="172" t="s">
        <v>1356</v>
      </c>
      <c r="AI82" s="180"/>
    </row>
    <row r="83" spans="1:35" hidden="1">
      <c r="A83" s="180" t="s">
        <v>84</v>
      </c>
      <c r="B83" s="317" t="s">
        <v>1357</v>
      </c>
      <c r="C83" s="310" t="s">
        <v>145</v>
      </c>
      <c r="D83" s="78">
        <v>61</v>
      </c>
      <c r="E83" s="115">
        <f t="shared" si="5"/>
        <v>122</v>
      </c>
      <c r="F83" s="180" t="s">
        <v>647</v>
      </c>
      <c r="G83" s="180" t="s">
        <v>652</v>
      </c>
      <c r="H83" s="329" t="s">
        <v>649</v>
      </c>
      <c r="I83" s="180"/>
      <c r="J83" s="180"/>
      <c r="K83" s="180"/>
      <c r="L83" s="180"/>
      <c r="M83" s="180"/>
      <c r="N83" s="180"/>
      <c r="O83" s="180"/>
      <c r="P83" s="180"/>
      <c r="Q83" s="180"/>
      <c r="R83" s="180" t="s">
        <v>965</v>
      </c>
      <c r="S83" s="180"/>
      <c r="T83" s="180" t="s">
        <v>648</v>
      </c>
      <c r="U83" s="180"/>
      <c r="V83" s="180" t="s">
        <v>1358</v>
      </c>
      <c r="W83" s="180" t="s">
        <v>1359</v>
      </c>
      <c r="X83" s="180" t="s">
        <v>1360</v>
      </c>
      <c r="Y83" s="181" t="s">
        <v>1361</v>
      </c>
      <c r="Z83" s="180" t="s">
        <v>1354</v>
      </c>
      <c r="AA83" s="312">
        <f t="shared" si="4"/>
        <v>1</v>
      </c>
      <c r="AB83" s="310" t="s">
        <v>970</v>
      </c>
      <c r="AC83" s="204"/>
      <c r="AD83" s="314" t="str">
        <f>_xlfn.XLOOKUP(A83, 'Component Masterlist v2'!A:A, 'Component Masterlist v2'!G:G, "Not found")</f>
        <v>Ved Singh</v>
      </c>
      <c r="AE83" s="314" t="str">
        <f>_xlfn.XLOOKUP(A83, 'Component Masterlist v2'!A:A, 'Component Masterlist v2'!E:E, "Not found")</f>
        <v>Damodara Reddy</v>
      </c>
      <c r="AF83" s="180"/>
      <c r="AG83" s="82" t="s">
        <v>1362</v>
      </c>
      <c r="AH83" s="82" t="s">
        <v>1363</v>
      </c>
      <c r="AI83" s="180"/>
    </row>
    <row r="84" spans="1:35" hidden="1">
      <c r="A84" s="180" t="s">
        <v>84</v>
      </c>
      <c r="B84" s="317" t="s">
        <v>1364</v>
      </c>
      <c r="C84" s="310" t="s">
        <v>145</v>
      </c>
      <c r="D84" s="78">
        <v>70</v>
      </c>
      <c r="E84" s="115">
        <f t="shared" si="5"/>
        <v>140</v>
      </c>
      <c r="F84" s="329" t="s">
        <v>653</v>
      </c>
      <c r="G84" s="330"/>
      <c r="H84" s="180"/>
      <c r="I84" s="180"/>
      <c r="J84" s="180"/>
      <c r="K84" s="180"/>
      <c r="L84" s="180"/>
      <c r="M84" s="180"/>
      <c r="N84" s="180"/>
      <c r="O84" s="180"/>
      <c r="P84" s="180"/>
      <c r="Q84" s="180"/>
      <c r="R84" s="180" t="s">
        <v>965</v>
      </c>
      <c r="S84" s="180"/>
      <c r="T84" s="180" t="s">
        <v>648</v>
      </c>
      <c r="U84" s="180"/>
      <c r="V84" s="180" t="s">
        <v>1358</v>
      </c>
      <c r="W84" s="180" t="s">
        <v>1365</v>
      </c>
      <c r="X84" s="180" t="s">
        <v>1360</v>
      </c>
      <c r="Y84" s="181" t="s">
        <v>1366</v>
      </c>
      <c r="Z84" s="180" t="s">
        <v>1354</v>
      </c>
      <c r="AA84" s="312">
        <f t="shared" si="4"/>
        <v>1</v>
      </c>
      <c r="AB84" s="310" t="s">
        <v>970</v>
      </c>
      <c r="AC84" s="204"/>
      <c r="AD84" s="314" t="str">
        <f>_xlfn.XLOOKUP(A84, 'Component Masterlist v2'!A:A, 'Component Masterlist v2'!G:G, "Not found")</f>
        <v>Ved Singh</v>
      </c>
      <c r="AE84" s="314" t="str">
        <f>_xlfn.XLOOKUP(A84, 'Component Masterlist v2'!A:A, 'Component Masterlist v2'!E:E, "Not found")</f>
        <v>Damodara Reddy</v>
      </c>
      <c r="AF84" s="180"/>
      <c r="AG84" s="82" t="s">
        <v>1367</v>
      </c>
      <c r="AH84" s="82" t="s">
        <v>1368</v>
      </c>
      <c r="AI84" s="180"/>
    </row>
    <row r="85" spans="1:35" hidden="1">
      <c r="A85" s="180" t="s">
        <v>84</v>
      </c>
      <c r="B85" s="317" t="s">
        <v>1369</v>
      </c>
      <c r="C85" s="310" t="s">
        <v>145</v>
      </c>
      <c r="D85" s="78">
        <v>80</v>
      </c>
      <c r="E85" s="115">
        <f t="shared" si="5"/>
        <v>160</v>
      </c>
      <c r="F85" s="180" t="s">
        <v>645</v>
      </c>
      <c r="G85" s="330"/>
      <c r="H85" s="180"/>
      <c r="I85" s="180"/>
      <c r="J85" s="180"/>
      <c r="K85" s="180"/>
      <c r="L85" s="180"/>
      <c r="M85" s="180"/>
      <c r="N85" s="180"/>
      <c r="O85" s="180"/>
      <c r="P85" s="180"/>
      <c r="Q85" s="180"/>
      <c r="R85" s="180" t="s">
        <v>965</v>
      </c>
      <c r="S85" s="180"/>
      <c r="T85" s="180" t="s">
        <v>643</v>
      </c>
      <c r="U85" s="180"/>
      <c r="V85" s="180" t="s">
        <v>644</v>
      </c>
      <c r="W85" s="180" t="s">
        <v>1370</v>
      </c>
      <c r="X85" s="180" t="s">
        <v>1352</v>
      </c>
      <c r="Y85" s="181" t="s">
        <v>1371</v>
      </c>
      <c r="Z85" s="180" t="s">
        <v>1354</v>
      </c>
      <c r="AA85" s="312">
        <f t="shared" si="4"/>
        <v>1</v>
      </c>
      <c r="AB85" s="310" t="s">
        <v>970</v>
      </c>
      <c r="AC85" s="204"/>
      <c r="AD85" s="314" t="str">
        <f>_xlfn.XLOOKUP(A85, 'Component Masterlist v2'!A:A, 'Component Masterlist v2'!G:G, "Not found")</f>
        <v>Ved Singh</v>
      </c>
      <c r="AE85" s="314" t="str">
        <f>_xlfn.XLOOKUP(A85, 'Component Masterlist v2'!A:A, 'Component Masterlist v2'!E:E, "Not found")</f>
        <v>Damodara Reddy</v>
      </c>
      <c r="AF85" s="180"/>
      <c r="AG85" s="82" t="s">
        <v>1372</v>
      </c>
      <c r="AH85" s="82" t="s">
        <v>1373</v>
      </c>
      <c r="AI85" s="180"/>
    </row>
    <row r="86" spans="1:35" hidden="1">
      <c r="A86" s="27" t="s">
        <v>84</v>
      </c>
      <c r="B86" s="30" t="s">
        <v>1374</v>
      </c>
      <c r="C86" s="310" t="s">
        <v>145</v>
      </c>
      <c r="D86" s="78">
        <v>76</v>
      </c>
      <c r="E86" s="115">
        <f t="shared" si="5"/>
        <v>152</v>
      </c>
      <c r="F86" s="27" t="s">
        <v>651</v>
      </c>
      <c r="G86" s="208" t="s">
        <v>642</v>
      </c>
      <c r="H86" s="27"/>
      <c r="I86" s="27"/>
      <c r="J86" s="27"/>
      <c r="K86" s="27"/>
      <c r="L86" s="27"/>
      <c r="M86" s="27"/>
      <c r="N86" s="27"/>
      <c r="O86" s="27"/>
      <c r="P86" s="27"/>
      <c r="Q86" s="27"/>
      <c r="R86" s="27" t="s">
        <v>965</v>
      </c>
      <c r="S86" s="27"/>
      <c r="T86" s="27" t="s">
        <v>643</v>
      </c>
      <c r="U86" s="27"/>
      <c r="V86" s="27" t="s">
        <v>311</v>
      </c>
      <c r="W86" s="27" t="s">
        <v>1375</v>
      </c>
      <c r="X86" s="27" t="s">
        <v>1352</v>
      </c>
      <c r="Y86" s="118" t="s">
        <v>1376</v>
      </c>
      <c r="Z86" s="180" t="s">
        <v>1354</v>
      </c>
      <c r="AA86" s="312">
        <f t="shared" si="4"/>
        <v>1</v>
      </c>
      <c r="AB86" s="310" t="s">
        <v>970</v>
      </c>
      <c r="AC86" s="25"/>
      <c r="AD86" s="132" t="str">
        <f>_xlfn.XLOOKUP(A86, 'Component Masterlist v2'!A:A, 'Component Masterlist v2'!G:G, "Not found")</f>
        <v>Ved Singh</v>
      </c>
      <c r="AE86" s="314" t="str">
        <f>_xlfn.XLOOKUP(A86, 'Component Masterlist v2'!A:A, 'Component Masterlist v2'!E:E, "Not found")</f>
        <v>Damodara Reddy</v>
      </c>
      <c r="AF86" s="27"/>
      <c r="AG86" s="82" t="s">
        <v>1377</v>
      </c>
      <c r="AH86" s="82" t="s">
        <v>1378</v>
      </c>
      <c r="AI86" s="180"/>
    </row>
    <row r="87" spans="1:35" hidden="1">
      <c r="A87" s="180" t="s">
        <v>85</v>
      </c>
      <c r="B87" s="317" t="s">
        <v>1379</v>
      </c>
      <c r="C87" s="310" t="s">
        <v>146</v>
      </c>
      <c r="D87" s="78">
        <v>90</v>
      </c>
      <c r="E87" s="97">
        <f>D87*2</f>
        <v>180</v>
      </c>
      <c r="F87" s="180" t="s">
        <v>336</v>
      </c>
      <c r="G87" s="330" t="s">
        <v>342</v>
      </c>
      <c r="H87" s="180" t="s">
        <v>343</v>
      </c>
      <c r="I87" s="180" t="s">
        <v>344</v>
      </c>
      <c r="J87" s="180" t="s">
        <v>345</v>
      </c>
      <c r="K87" s="180" t="s">
        <v>340</v>
      </c>
      <c r="L87" s="180"/>
      <c r="M87" s="180"/>
      <c r="N87" s="180"/>
      <c r="O87" s="180"/>
      <c r="P87" s="180"/>
      <c r="Q87" s="180"/>
      <c r="R87" s="180" t="s">
        <v>965</v>
      </c>
      <c r="S87" s="180"/>
      <c r="T87" s="180" t="s">
        <v>337</v>
      </c>
      <c r="U87" s="180"/>
      <c r="V87" s="180" t="s">
        <v>338</v>
      </c>
      <c r="W87" s="180" t="s">
        <v>1380</v>
      </c>
      <c r="X87" s="180" t="s">
        <v>1381</v>
      </c>
      <c r="Y87" s="181" t="s">
        <v>1382</v>
      </c>
      <c r="Z87" s="180" t="s">
        <v>1383</v>
      </c>
      <c r="AA87" s="312">
        <f t="shared" si="4"/>
        <v>1</v>
      </c>
      <c r="AB87" s="310" t="s">
        <v>970</v>
      </c>
      <c r="AC87" s="204"/>
      <c r="AD87" s="314" t="str">
        <f>_xlfn.XLOOKUP(A87, 'Component Masterlist v2'!A:A, 'Component Masterlist v2'!G:G, "Not found")</f>
        <v>Ved Singh</v>
      </c>
      <c r="AE87" s="314" t="str">
        <f>_xlfn.XLOOKUP(A87, 'Component Masterlist v2'!A:A, 'Component Masterlist v2'!E:E, "Not found")</f>
        <v>Damodara Reddy</v>
      </c>
      <c r="AF87" s="180"/>
      <c r="AG87" s="82" t="s">
        <v>1384</v>
      </c>
      <c r="AH87" s="82" t="s">
        <v>1385</v>
      </c>
      <c r="AI87" s="180"/>
    </row>
    <row r="88" spans="1:35">
      <c r="A88" s="180" t="s">
        <v>28</v>
      </c>
      <c r="B88" s="317" t="s">
        <v>499</v>
      </c>
      <c r="C88" s="310" t="s">
        <v>480</v>
      </c>
      <c r="D88" s="310">
        <f>2*7.5</f>
        <v>15</v>
      </c>
      <c r="E88" s="320">
        <f>D88*2</f>
        <v>30</v>
      </c>
      <c r="F88" s="326" t="s">
        <v>499</v>
      </c>
      <c r="G88" s="204"/>
      <c r="H88" s="180"/>
      <c r="I88" s="180"/>
      <c r="J88" s="180"/>
      <c r="K88" s="180"/>
      <c r="L88" s="180"/>
      <c r="M88" s="180"/>
      <c r="N88" s="180"/>
      <c r="O88" s="180"/>
      <c r="P88" s="180"/>
      <c r="Q88" s="180"/>
      <c r="R88" s="180" t="s">
        <v>965</v>
      </c>
      <c r="S88" s="180"/>
      <c r="T88" s="180" t="s">
        <v>478</v>
      </c>
      <c r="U88" s="180"/>
      <c r="V88" s="180" t="s">
        <v>478</v>
      </c>
      <c r="W88" s="75" t="s">
        <v>478</v>
      </c>
      <c r="X88" s="75"/>
      <c r="Y88" s="87" t="s">
        <v>1386</v>
      </c>
      <c r="Z88" s="180" t="s">
        <v>1387</v>
      </c>
      <c r="AA88" s="162">
        <f t="shared" si="4"/>
        <v>0.8571428571428571</v>
      </c>
      <c r="AB88" s="89" t="s">
        <v>970</v>
      </c>
      <c r="AC88" s="204"/>
      <c r="AD88" s="132" t="str">
        <f>_xlfn.XLOOKUP(A88, 'Component Masterlist v2'!A:A, 'Component Masterlist v2'!G:G, "Not found")</f>
        <v>Raghu Edalur</v>
      </c>
      <c r="AE88" s="132" t="str">
        <f>_xlfn.XLOOKUP(A88, 'Component Masterlist v2'!A:A, 'Component Masterlist v2'!E:E, "Not found")</f>
        <v>Parul Jain</v>
      </c>
      <c r="AF88" s="180"/>
      <c r="AG88" s="82" t="s">
        <v>1388</v>
      </c>
      <c r="AH88" s="82" t="s">
        <v>1389</v>
      </c>
      <c r="AI88" s="180"/>
    </row>
    <row r="89" spans="1:35">
      <c r="A89" s="180" t="s">
        <v>28</v>
      </c>
      <c r="B89" s="125" t="s">
        <v>494</v>
      </c>
      <c r="C89" s="310" t="s">
        <v>480</v>
      </c>
      <c r="D89" s="310">
        <f>2*7.5</f>
        <v>15</v>
      </c>
      <c r="E89" s="344">
        <f t="shared" ref="E89:E96" si="6">D89*2</f>
        <v>30</v>
      </c>
      <c r="F89" s="180" t="s">
        <v>494</v>
      </c>
      <c r="G89" s="212"/>
      <c r="H89" s="180"/>
      <c r="I89" s="180"/>
      <c r="J89" s="180"/>
      <c r="K89" s="180"/>
      <c r="L89" s="180"/>
      <c r="M89" s="180"/>
      <c r="N89" s="180"/>
      <c r="O89" s="180"/>
      <c r="P89" s="180"/>
      <c r="Q89" s="180"/>
      <c r="R89" s="180" t="s">
        <v>965</v>
      </c>
      <c r="S89" s="180"/>
      <c r="T89" s="180" t="s">
        <v>492</v>
      </c>
      <c r="U89" s="180"/>
      <c r="V89" s="128" t="s">
        <v>1390</v>
      </c>
      <c r="W89" s="75" t="s">
        <v>1391</v>
      </c>
      <c r="X89" s="75"/>
      <c r="Y89" s="87" t="s">
        <v>1392</v>
      </c>
      <c r="Z89" s="180" t="s">
        <v>1390</v>
      </c>
      <c r="AA89" s="162">
        <f t="shared" si="4"/>
        <v>0.8571428571428571</v>
      </c>
      <c r="AB89" s="89" t="s">
        <v>970</v>
      </c>
      <c r="AC89" s="204"/>
      <c r="AD89" s="132" t="str">
        <f>_xlfn.XLOOKUP(A89, 'Component Masterlist v2'!A:A, 'Component Masterlist v2'!G:G, "Not found")</f>
        <v>Raghu Edalur</v>
      </c>
      <c r="AE89" s="132" t="str">
        <f>_xlfn.XLOOKUP(A89, 'Component Masterlist v2'!A:A, 'Component Masterlist v2'!E:E, "Not found")</f>
        <v>Parul Jain</v>
      </c>
      <c r="AF89" s="180"/>
      <c r="AG89" s="82" t="s">
        <v>1393</v>
      </c>
      <c r="AH89" s="82" t="s">
        <v>1394</v>
      </c>
      <c r="AI89" s="180"/>
    </row>
    <row r="90" spans="1:35">
      <c r="A90" s="180" t="s">
        <v>28</v>
      </c>
      <c r="B90" s="75" t="s">
        <v>485</v>
      </c>
      <c r="C90" s="310" t="s">
        <v>480</v>
      </c>
      <c r="D90" s="310">
        <v>0</v>
      </c>
      <c r="E90" s="207">
        <f t="shared" si="6"/>
        <v>0</v>
      </c>
      <c r="F90" s="345" t="s">
        <v>485</v>
      </c>
      <c r="G90" s="204"/>
      <c r="H90" s="204"/>
      <c r="I90" s="180"/>
      <c r="J90" s="180"/>
      <c r="K90" s="180"/>
      <c r="L90" s="180"/>
      <c r="M90" s="180"/>
      <c r="N90" s="180"/>
      <c r="O90" s="180"/>
      <c r="P90" s="180"/>
      <c r="Q90" s="180"/>
      <c r="R90" s="180" t="s">
        <v>965</v>
      </c>
      <c r="S90" s="128"/>
      <c r="T90" s="128" t="s">
        <v>1395</v>
      </c>
      <c r="U90" s="128"/>
      <c r="V90" s="128" t="s">
        <v>1396</v>
      </c>
      <c r="W90" s="75" t="s">
        <v>1391</v>
      </c>
      <c r="X90" s="75"/>
      <c r="Y90" s="87" t="s">
        <v>1397</v>
      </c>
      <c r="Z90" s="128" t="s">
        <v>1396</v>
      </c>
      <c r="AA90" s="312">
        <f t="shared" si="4"/>
        <v>0.8571428571428571</v>
      </c>
      <c r="AB90" s="89" t="s">
        <v>970</v>
      </c>
      <c r="AC90" s="204"/>
      <c r="AD90" s="314" t="str">
        <f>_xlfn.XLOOKUP(A90, 'Component Masterlist v2'!A:A, 'Component Masterlist v2'!G:G, "Not found")</f>
        <v>Raghu Edalur</v>
      </c>
      <c r="AE90" s="314" t="str">
        <f>_xlfn.XLOOKUP(A90, 'Component Masterlist v2'!A:A, 'Component Masterlist v2'!E:E, "Not found")</f>
        <v>Parul Jain</v>
      </c>
      <c r="AF90" s="180"/>
      <c r="AG90" s="82" t="s">
        <v>1398</v>
      </c>
      <c r="AH90" s="82" t="s">
        <v>1399</v>
      </c>
      <c r="AI90" s="180"/>
    </row>
    <row r="91" spans="1:35">
      <c r="A91" s="180" t="s">
        <v>28</v>
      </c>
      <c r="B91" s="75" t="s">
        <v>488</v>
      </c>
      <c r="C91" s="310" t="s">
        <v>480</v>
      </c>
      <c r="D91" s="310">
        <f>3.5*7.5</f>
        <v>26.25</v>
      </c>
      <c r="E91" s="97">
        <f t="shared" si="6"/>
        <v>52.5</v>
      </c>
      <c r="F91" s="345" t="s">
        <v>488</v>
      </c>
      <c r="G91" s="127"/>
      <c r="H91" s="180"/>
      <c r="I91" s="180"/>
      <c r="J91" s="180"/>
      <c r="K91" s="180"/>
      <c r="L91" s="180"/>
      <c r="M91" s="180"/>
      <c r="N91" s="180"/>
      <c r="O91" s="180"/>
      <c r="P91" s="180"/>
      <c r="Q91" s="180"/>
      <c r="R91" s="180" t="s">
        <v>965</v>
      </c>
      <c r="S91" s="128"/>
      <c r="T91" s="128" t="s">
        <v>1395</v>
      </c>
      <c r="U91" s="128"/>
      <c r="V91" s="128" t="s">
        <v>1396</v>
      </c>
      <c r="W91" s="75" t="s">
        <v>1391</v>
      </c>
      <c r="X91" s="75"/>
      <c r="Y91" s="87" t="s">
        <v>1392</v>
      </c>
      <c r="Z91" s="128" t="s">
        <v>1396</v>
      </c>
      <c r="AA91" s="312">
        <f t="shared" si="4"/>
        <v>0.8571428571428571</v>
      </c>
      <c r="AB91" s="89" t="s">
        <v>970</v>
      </c>
      <c r="AC91" s="204"/>
      <c r="AD91" s="314" t="str">
        <f>_xlfn.XLOOKUP(A91, 'Component Masterlist v2'!A:A, 'Component Masterlist v2'!G:G, "Not found")</f>
        <v>Raghu Edalur</v>
      </c>
      <c r="AE91" s="314" t="str">
        <f>_xlfn.XLOOKUP(A91, 'Component Masterlist v2'!A:A, 'Component Masterlist v2'!E:E, "Not found")</f>
        <v>Parul Jain</v>
      </c>
      <c r="AF91" s="27"/>
      <c r="AG91" s="82" t="s">
        <v>1400</v>
      </c>
      <c r="AH91" s="82" t="s">
        <v>1401</v>
      </c>
      <c r="AI91" s="180"/>
    </row>
    <row r="92" spans="1:35">
      <c r="A92" s="180" t="s">
        <v>28</v>
      </c>
      <c r="B92" s="75" t="s">
        <v>490</v>
      </c>
      <c r="C92" s="310" t="s">
        <v>480</v>
      </c>
      <c r="D92" s="310">
        <f>3*7.5</f>
        <v>22.5</v>
      </c>
      <c r="E92" s="320">
        <f t="shared" si="6"/>
        <v>45</v>
      </c>
      <c r="F92" s="180" t="s">
        <v>490</v>
      </c>
      <c r="G92" s="180"/>
      <c r="H92" s="180"/>
      <c r="I92" s="180"/>
      <c r="J92" s="180"/>
      <c r="K92" s="180"/>
      <c r="L92" s="180"/>
      <c r="M92" s="180"/>
      <c r="N92" s="180"/>
      <c r="O92" s="180"/>
      <c r="P92" s="180"/>
      <c r="Q92" s="180"/>
      <c r="R92" s="180" t="s">
        <v>965</v>
      </c>
      <c r="S92" s="128"/>
      <c r="T92" s="128" t="s">
        <v>1395</v>
      </c>
      <c r="U92" s="128"/>
      <c r="V92" s="128" t="s">
        <v>1396</v>
      </c>
      <c r="W92" s="180" t="s">
        <v>1402</v>
      </c>
      <c r="X92" s="75"/>
      <c r="Y92" s="181" t="s">
        <v>1403</v>
      </c>
      <c r="Z92" s="128" t="s">
        <v>1396</v>
      </c>
      <c r="AA92" s="162">
        <f t="shared" si="4"/>
        <v>0.8571428571428571</v>
      </c>
      <c r="AB92" s="89" t="s">
        <v>970</v>
      </c>
      <c r="AC92" s="204"/>
      <c r="AD92" s="132" t="str">
        <f>_xlfn.XLOOKUP(A92, 'Component Masterlist v2'!A:A, 'Component Masterlist v2'!G:G, "Not found")</f>
        <v>Raghu Edalur</v>
      </c>
      <c r="AE92" s="132" t="str">
        <f>_xlfn.XLOOKUP(A92, 'Component Masterlist v2'!A:A, 'Component Masterlist v2'!E:E, "Not found")</f>
        <v>Parul Jain</v>
      </c>
      <c r="AF92" s="180"/>
      <c r="AG92" s="82" t="s">
        <v>1404</v>
      </c>
      <c r="AH92" s="82" t="s">
        <v>1405</v>
      </c>
      <c r="AI92" s="180"/>
    </row>
    <row r="93" spans="1:35">
      <c r="A93" s="180" t="s">
        <v>28</v>
      </c>
      <c r="B93" s="75" t="s">
        <v>491</v>
      </c>
      <c r="C93" s="310" t="s">
        <v>480</v>
      </c>
      <c r="D93" s="310">
        <f>5*7.5</f>
        <v>37.5</v>
      </c>
      <c r="E93" s="320">
        <f t="shared" si="6"/>
        <v>75</v>
      </c>
      <c r="F93" s="180" t="s">
        <v>491</v>
      </c>
      <c r="G93" s="180"/>
      <c r="H93" s="180"/>
      <c r="I93" s="180"/>
      <c r="J93" s="180"/>
      <c r="K93" s="180"/>
      <c r="L93" s="180"/>
      <c r="M93" s="180"/>
      <c r="N93" s="180"/>
      <c r="O93" s="180"/>
      <c r="P93" s="180"/>
      <c r="Q93" s="180"/>
      <c r="R93" s="180" t="s">
        <v>965</v>
      </c>
      <c r="S93" s="180"/>
      <c r="T93" s="180" t="s">
        <v>492</v>
      </c>
      <c r="U93" s="180"/>
      <c r="V93" s="128" t="s">
        <v>1390</v>
      </c>
      <c r="W93" s="75" t="s">
        <v>1391</v>
      </c>
      <c r="X93" s="75"/>
      <c r="Y93" s="87" t="s">
        <v>1392</v>
      </c>
      <c r="Z93" s="180" t="s">
        <v>1390</v>
      </c>
      <c r="AA93" s="162">
        <f t="shared" ref="AA93:AA126" si="7">(--(F93&lt;&gt;"") + --(T93&lt;&gt;"") + --(V93&lt;&gt;"") + --(W93&lt;&gt;"") + --(X93&lt;&gt;"") + --(Y93&lt;&gt;"") + --(Z93&lt;&gt;"")) / 7</f>
        <v>0.8571428571428571</v>
      </c>
      <c r="AB93" s="89" t="s">
        <v>970</v>
      </c>
      <c r="AC93" s="204"/>
      <c r="AD93" s="132" t="str">
        <f>_xlfn.XLOOKUP(A93, 'Component Masterlist v2'!A:A, 'Component Masterlist v2'!G:G, "Not found")</f>
        <v>Raghu Edalur</v>
      </c>
      <c r="AE93" s="132" t="str">
        <f>_xlfn.XLOOKUP(A93, 'Component Masterlist v2'!A:A, 'Component Masterlist v2'!E:E, "Not found")</f>
        <v>Parul Jain</v>
      </c>
      <c r="AF93" s="180"/>
      <c r="AG93" s="82" t="s">
        <v>1406</v>
      </c>
      <c r="AH93" s="82" t="s">
        <v>1407</v>
      </c>
      <c r="AI93" s="180"/>
    </row>
    <row r="94" spans="1:35" ht="35.25" customHeight="1">
      <c r="A94" s="180" t="s">
        <v>28</v>
      </c>
      <c r="B94" s="75" t="s">
        <v>489</v>
      </c>
      <c r="C94" s="310" t="s">
        <v>480</v>
      </c>
      <c r="D94" s="310">
        <v>0</v>
      </c>
      <c r="E94" s="320">
        <f t="shared" si="6"/>
        <v>0</v>
      </c>
      <c r="F94" s="317" t="s">
        <v>489</v>
      </c>
      <c r="G94" s="180"/>
      <c r="H94" s="326"/>
      <c r="I94" s="180"/>
      <c r="J94" s="204"/>
      <c r="K94" s="204"/>
      <c r="L94" s="204"/>
      <c r="M94" s="204"/>
      <c r="N94" s="204"/>
      <c r="O94" s="204"/>
      <c r="P94" s="204"/>
      <c r="Q94" s="204"/>
      <c r="R94" s="180" t="s">
        <v>965</v>
      </c>
      <c r="S94" s="128"/>
      <c r="T94" s="128" t="s">
        <v>1395</v>
      </c>
      <c r="U94" s="128"/>
      <c r="V94" s="128" t="s">
        <v>1396</v>
      </c>
      <c r="W94" s="75" t="s">
        <v>1391</v>
      </c>
      <c r="X94" s="75"/>
      <c r="Y94" s="181" t="s">
        <v>1408</v>
      </c>
      <c r="Z94" s="128" t="s">
        <v>1396</v>
      </c>
      <c r="AA94" s="162">
        <f t="shared" si="7"/>
        <v>0.8571428571428571</v>
      </c>
      <c r="AB94" s="89" t="s">
        <v>970</v>
      </c>
      <c r="AC94" s="204"/>
      <c r="AD94" s="132" t="str">
        <f>_xlfn.XLOOKUP(A94, 'Component Masterlist v2'!A:A, 'Component Masterlist v2'!G:G, "Not found")</f>
        <v>Raghu Edalur</v>
      </c>
      <c r="AE94" s="132" t="str">
        <f>_xlfn.XLOOKUP(A94, 'Component Masterlist v2'!A:A, 'Component Masterlist v2'!E:E, "Not found")</f>
        <v>Parul Jain</v>
      </c>
      <c r="AF94" s="180"/>
      <c r="AG94" s="82" t="s">
        <v>1409</v>
      </c>
      <c r="AH94" s="82" t="s">
        <v>1410</v>
      </c>
      <c r="AI94" s="180"/>
    </row>
    <row r="95" spans="1:35" ht="36" customHeight="1">
      <c r="A95" s="180" t="s">
        <v>28</v>
      </c>
      <c r="B95" s="75" t="s">
        <v>477</v>
      </c>
      <c r="C95" s="310" t="s">
        <v>480</v>
      </c>
      <c r="D95" s="310">
        <f>3.5*7.5</f>
        <v>26.25</v>
      </c>
      <c r="E95" s="97">
        <f t="shared" si="6"/>
        <v>52.5</v>
      </c>
      <c r="F95" s="75" t="s">
        <v>477</v>
      </c>
      <c r="G95" s="328"/>
      <c r="H95" s="180"/>
      <c r="I95" s="180"/>
      <c r="J95" s="180"/>
      <c r="K95" s="180"/>
      <c r="L95" s="180"/>
      <c r="M95" s="180"/>
      <c r="N95" s="180"/>
      <c r="O95" s="180"/>
      <c r="P95" s="180"/>
      <c r="Q95" s="180"/>
      <c r="R95" s="180" t="s">
        <v>965</v>
      </c>
      <c r="S95" s="128"/>
      <c r="T95" s="128" t="s">
        <v>1411</v>
      </c>
      <c r="U95" s="128"/>
      <c r="V95" s="128" t="s">
        <v>1412</v>
      </c>
      <c r="W95" s="75" t="s">
        <v>1413</v>
      </c>
      <c r="X95" s="75"/>
      <c r="Y95" s="87" t="s">
        <v>1414</v>
      </c>
      <c r="Z95" s="128" t="s">
        <v>1412</v>
      </c>
      <c r="AA95" s="312">
        <f t="shared" si="7"/>
        <v>0.8571428571428571</v>
      </c>
      <c r="AB95" s="89" t="s">
        <v>970</v>
      </c>
      <c r="AC95" s="204"/>
      <c r="AD95" s="314" t="str">
        <f>_xlfn.XLOOKUP(A95, 'Component Masterlist v2'!A:A, 'Component Masterlist v2'!G:G, "Not found")</f>
        <v>Raghu Edalur</v>
      </c>
      <c r="AE95" s="314" t="str">
        <f>_xlfn.XLOOKUP(A95, 'Component Masterlist v2'!A:A, 'Component Masterlist v2'!E:E, "Not found")</f>
        <v>Parul Jain</v>
      </c>
      <c r="AF95" s="180"/>
      <c r="AG95" s="82" t="s">
        <v>1415</v>
      </c>
      <c r="AH95" s="82" t="s">
        <v>1416</v>
      </c>
      <c r="AI95" s="180"/>
    </row>
    <row r="96" spans="1:35">
      <c r="A96" s="180" t="s">
        <v>28</v>
      </c>
      <c r="B96" s="75" t="s">
        <v>482</v>
      </c>
      <c r="C96" s="310" t="s">
        <v>480</v>
      </c>
      <c r="D96" s="310">
        <f>3*7.5</f>
        <v>22.5</v>
      </c>
      <c r="E96" s="97">
        <f t="shared" si="6"/>
        <v>45</v>
      </c>
      <c r="F96" s="87" t="s">
        <v>482</v>
      </c>
      <c r="G96" s="180"/>
      <c r="H96" s="180"/>
      <c r="I96" s="180"/>
      <c r="J96" s="180"/>
      <c r="K96" s="180"/>
      <c r="L96" s="180"/>
      <c r="M96" s="180"/>
      <c r="N96" s="180"/>
      <c r="O96" s="180"/>
      <c r="P96" s="180"/>
      <c r="Q96" s="180"/>
      <c r="R96" s="180" t="s">
        <v>965</v>
      </c>
      <c r="S96" s="128"/>
      <c r="T96" s="128" t="s">
        <v>1411</v>
      </c>
      <c r="U96" s="128"/>
      <c r="V96" s="128" t="s">
        <v>1412</v>
      </c>
      <c r="W96" s="75" t="s">
        <v>1391</v>
      </c>
      <c r="X96" s="75"/>
      <c r="Y96" s="87" t="s">
        <v>1417</v>
      </c>
      <c r="Z96" s="128" t="s">
        <v>1412</v>
      </c>
      <c r="AA96" s="312">
        <f t="shared" si="7"/>
        <v>0.8571428571428571</v>
      </c>
      <c r="AB96" s="89" t="s">
        <v>970</v>
      </c>
      <c r="AC96" s="204"/>
      <c r="AD96" s="314" t="str">
        <f>_xlfn.XLOOKUP(A96, 'Component Masterlist v2'!A:A, 'Component Masterlist v2'!G:G, "Not found")</f>
        <v>Raghu Edalur</v>
      </c>
      <c r="AE96" s="314" t="str">
        <f>_xlfn.XLOOKUP(A96, 'Component Masterlist v2'!A:A, 'Component Masterlist v2'!E:E, "Not found")</f>
        <v>Parul Jain</v>
      </c>
      <c r="AF96" s="180"/>
      <c r="AG96" s="82" t="s">
        <v>1418</v>
      </c>
      <c r="AH96" s="82" t="s">
        <v>1419</v>
      </c>
      <c r="AI96" s="180"/>
    </row>
    <row r="97" spans="1:35" ht="20.25" customHeight="1">
      <c r="A97" s="180" t="s">
        <v>28</v>
      </c>
      <c r="B97" s="75" t="s">
        <v>484</v>
      </c>
      <c r="C97" s="310" t="s">
        <v>480</v>
      </c>
      <c r="D97" s="310">
        <f>1*7.5</f>
        <v>7.5</v>
      </c>
      <c r="E97" s="207">
        <f>D97*2</f>
        <v>15</v>
      </c>
      <c r="F97" s="75" t="s">
        <v>484</v>
      </c>
      <c r="G97" s="180"/>
      <c r="H97" s="180"/>
      <c r="I97" s="204"/>
      <c r="J97" s="180"/>
      <c r="K97" s="180"/>
      <c r="L97" s="180"/>
      <c r="M97" s="180"/>
      <c r="N97" s="180"/>
      <c r="O97" s="180"/>
      <c r="P97" s="180"/>
      <c r="Q97" s="180"/>
      <c r="R97" s="180" t="s">
        <v>965</v>
      </c>
      <c r="S97" s="128"/>
      <c r="T97" s="128" t="s">
        <v>1411</v>
      </c>
      <c r="U97" s="128"/>
      <c r="V97" s="128" t="s">
        <v>1412</v>
      </c>
      <c r="W97" s="75" t="s">
        <v>1391</v>
      </c>
      <c r="X97" s="75"/>
      <c r="Y97" s="87"/>
      <c r="Z97" s="128" t="s">
        <v>1412</v>
      </c>
      <c r="AA97" s="312">
        <f t="shared" si="7"/>
        <v>0.7142857142857143</v>
      </c>
      <c r="AB97" s="89" t="s">
        <v>970</v>
      </c>
      <c r="AC97" s="204"/>
      <c r="AD97" s="314" t="str">
        <f>_xlfn.XLOOKUP(A97, 'Component Masterlist v2'!A:A, 'Component Masterlist v2'!G:G, "Not found")</f>
        <v>Raghu Edalur</v>
      </c>
      <c r="AE97" s="314" t="str">
        <f>_xlfn.XLOOKUP(A97, 'Component Masterlist v2'!A:A, 'Component Masterlist v2'!E:E, "Not found")</f>
        <v>Parul Jain</v>
      </c>
      <c r="AF97" s="180"/>
      <c r="AG97" s="82" t="s">
        <v>1420</v>
      </c>
      <c r="AH97" s="82" t="s">
        <v>1421</v>
      </c>
      <c r="AI97" s="180"/>
    </row>
    <row r="98" spans="1:35" ht="19.5" customHeight="1">
      <c r="A98" s="180" t="s">
        <v>28</v>
      </c>
      <c r="B98" s="331" t="s">
        <v>496</v>
      </c>
      <c r="C98" s="310" t="s">
        <v>480</v>
      </c>
      <c r="D98" s="310">
        <f>0*7.5</f>
        <v>0</v>
      </c>
      <c r="E98" s="320">
        <f>D98*2</f>
        <v>0</v>
      </c>
      <c r="F98" s="180" t="s">
        <v>496</v>
      </c>
      <c r="G98" s="180"/>
      <c r="H98" s="180"/>
      <c r="I98" s="180"/>
      <c r="J98" s="180"/>
      <c r="K98" s="180"/>
      <c r="L98" s="180"/>
      <c r="M98" s="180"/>
      <c r="N98" s="180"/>
      <c r="O98" s="180"/>
      <c r="P98" s="180"/>
      <c r="Q98" s="180"/>
      <c r="R98" s="180" t="s">
        <v>965</v>
      </c>
      <c r="S98" s="180"/>
      <c r="T98" s="180" t="s">
        <v>1422</v>
      </c>
      <c r="U98" s="180"/>
      <c r="V98" s="180" t="s">
        <v>1422</v>
      </c>
      <c r="W98" s="75" t="s">
        <v>1391</v>
      </c>
      <c r="X98" s="75"/>
      <c r="Y98" s="87" t="s">
        <v>1392</v>
      </c>
      <c r="Z98" s="180" t="s">
        <v>1422</v>
      </c>
      <c r="AA98" s="162">
        <f t="shared" si="7"/>
        <v>0.8571428571428571</v>
      </c>
      <c r="AB98" s="89" t="s">
        <v>970</v>
      </c>
      <c r="AC98" s="204"/>
      <c r="AD98" s="132" t="str">
        <f>_xlfn.XLOOKUP(A98, 'Component Masterlist v2'!A:A, 'Component Masterlist v2'!G:G, "Not found")</f>
        <v>Raghu Edalur</v>
      </c>
      <c r="AE98" s="132" t="str">
        <f>_xlfn.XLOOKUP(A98, 'Component Masterlist v2'!A:A, 'Component Masterlist v2'!E:E, "Not found")</f>
        <v>Parul Jain</v>
      </c>
      <c r="AF98" s="180"/>
      <c r="AG98" s="82" t="s">
        <v>1423</v>
      </c>
      <c r="AH98" s="82" t="s">
        <v>1424</v>
      </c>
      <c r="AI98" s="180"/>
    </row>
    <row r="99" spans="1:35">
      <c r="A99" s="180" t="s">
        <v>28</v>
      </c>
      <c r="B99" s="199" t="s">
        <v>483</v>
      </c>
      <c r="C99" s="310" t="s">
        <v>480</v>
      </c>
      <c r="D99" s="310">
        <f>3*7.5</f>
        <v>22.5</v>
      </c>
      <c r="E99" s="97">
        <f>D99*2</f>
        <v>45</v>
      </c>
      <c r="F99" s="87" t="s">
        <v>483</v>
      </c>
      <c r="G99" s="180"/>
      <c r="H99" s="180"/>
      <c r="I99" s="180"/>
      <c r="J99" s="180"/>
      <c r="K99" s="180"/>
      <c r="L99" s="180"/>
      <c r="M99" s="180"/>
      <c r="N99" s="180"/>
      <c r="O99" s="180"/>
      <c r="P99" s="180"/>
      <c r="Q99" s="180"/>
      <c r="R99" s="180" t="s">
        <v>965</v>
      </c>
      <c r="S99" s="128"/>
      <c r="T99" s="128" t="s">
        <v>1411</v>
      </c>
      <c r="U99" s="128"/>
      <c r="V99" s="128" t="s">
        <v>1412</v>
      </c>
      <c r="W99" s="75" t="s">
        <v>1391</v>
      </c>
      <c r="X99" s="75"/>
      <c r="Y99" s="87" t="s">
        <v>1425</v>
      </c>
      <c r="Z99" s="128" t="s">
        <v>1412</v>
      </c>
      <c r="AA99" s="312">
        <f t="shared" si="7"/>
        <v>0.8571428571428571</v>
      </c>
      <c r="AB99" s="89" t="s">
        <v>970</v>
      </c>
      <c r="AC99" s="204"/>
      <c r="AD99" s="314" t="str">
        <f>_xlfn.XLOOKUP(A99, 'Component Masterlist v2'!A:A, 'Component Masterlist v2'!G:G, "Not found")</f>
        <v>Raghu Edalur</v>
      </c>
      <c r="AE99" s="314" t="str">
        <f>_xlfn.XLOOKUP(A99, 'Component Masterlist v2'!A:A, 'Component Masterlist v2'!E:E, "Not found")</f>
        <v>Parul Jain</v>
      </c>
      <c r="AF99" s="180"/>
      <c r="AG99" s="82" t="s">
        <v>1426</v>
      </c>
      <c r="AH99" s="82" t="s">
        <v>1427</v>
      </c>
      <c r="AI99" s="180"/>
    </row>
    <row r="100" spans="1:35" hidden="1">
      <c r="A100" s="180" t="s">
        <v>38</v>
      </c>
      <c r="B100" s="79" t="s">
        <v>38</v>
      </c>
      <c r="C100" s="310" t="s">
        <v>38</v>
      </c>
      <c r="D100" s="310"/>
      <c r="E100" s="320"/>
      <c r="F100" s="180" t="s">
        <v>565</v>
      </c>
      <c r="G100" s="180" t="s">
        <v>569</v>
      </c>
      <c r="H100" s="180" t="s">
        <v>570</v>
      </c>
      <c r="I100" s="180" t="s">
        <v>571</v>
      </c>
      <c r="J100" s="180"/>
      <c r="K100" s="180"/>
      <c r="L100" s="180"/>
      <c r="M100" s="180"/>
      <c r="N100" s="180"/>
      <c r="O100" s="180"/>
      <c r="P100" s="180"/>
      <c r="Q100" s="180"/>
      <c r="R100" s="180" t="s">
        <v>965</v>
      </c>
      <c r="S100" s="317"/>
      <c r="T100" s="317" t="s">
        <v>1428</v>
      </c>
      <c r="U100" s="317"/>
      <c r="V100" s="180" t="s">
        <v>1429</v>
      </c>
      <c r="W100" s="180" t="s">
        <v>1430</v>
      </c>
      <c r="X100" s="317" t="s">
        <v>1431</v>
      </c>
      <c r="Y100" s="27" t="s">
        <v>1432</v>
      </c>
      <c r="Z100" s="30" t="s">
        <v>1020</v>
      </c>
      <c r="AA100" s="312">
        <f t="shared" si="7"/>
        <v>1</v>
      </c>
      <c r="AB100" s="310"/>
      <c r="AC100" s="204"/>
      <c r="AD100" s="314" t="str">
        <f>_xlfn.XLOOKUP(A100, 'Component Masterlist v2'!A:A, 'Component Masterlist v2'!G:G, "Not found")</f>
        <v>Santosh Golecha</v>
      </c>
      <c r="AE100" s="314" t="str">
        <f>_xlfn.XLOOKUP(A100, 'Component Masterlist v2'!A:A, 'Component Masterlist v2'!E:E, "Not found")</f>
        <v>Ankur Agarwal</v>
      </c>
      <c r="AF100" s="180"/>
      <c r="AG100" s="326"/>
      <c r="AH100" s="180"/>
      <c r="AI100" s="180"/>
    </row>
    <row r="101" spans="1:35">
      <c r="A101" s="180" t="s">
        <v>15</v>
      </c>
      <c r="B101" s="317" t="s">
        <v>1433</v>
      </c>
      <c r="C101" s="310" t="s">
        <v>623</v>
      </c>
      <c r="D101" s="310">
        <v>0</v>
      </c>
      <c r="E101" s="97">
        <f t="shared" ref="E101:E108" si="8">D101*2</f>
        <v>0</v>
      </c>
      <c r="F101" s="180" t="s">
        <v>630</v>
      </c>
      <c r="G101" s="180"/>
      <c r="H101" s="180"/>
      <c r="I101" s="180"/>
      <c r="J101" s="180"/>
      <c r="K101" s="180"/>
      <c r="L101" s="180"/>
      <c r="M101" s="180"/>
      <c r="N101" s="180"/>
      <c r="O101" s="180"/>
      <c r="P101" s="180"/>
      <c r="Q101" s="180"/>
      <c r="R101" s="180" t="s">
        <v>965</v>
      </c>
      <c r="S101" s="180"/>
      <c r="T101" s="180" t="s">
        <v>1434</v>
      </c>
      <c r="U101" s="180"/>
      <c r="V101" s="180" t="s">
        <v>1435</v>
      </c>
      <c r="W101" s="30" t="s">
        <v>1436</v>
      </c>
      <c r="X101" s="180"/>
      <c r="Y101" s="180"/>
      <c r="Z101" s="27" t="s">
        <v>1437</v>
      </c>
      <c r="AA101" s="312">
        <f t="shared" si="7"/>
        <v>0.7142857142857143</v>
      </c>
      <c r="AB101" s="310" t="s">
        <v>970</v>
      </c>
      <c r="AC101" s="204"/>
      <c r="AD101" s="314" t="str">
        <f>_xlfn.XLOOKUP(A101, 'Component Masterlist v2'!A:A, 'Component Masterlist v2'!G:G, "Not found")</f>
        <v>Keith Wiseman</v>
      </c>
      <c r="AE101" s="314" t="str">
        <f>_xlfn.XLOOKUP(A101, 'Component Masterlist v2'!A:A, 'Component Masterlist v2'!E:E, "Not found")</f>
        <v>Bobby Alexander</v>
      </c>
      <c r="AF101" s="209"/>
      <c r="AG101" s="82" t="s">
        <v>1438</v>
      </c>
      <c r="AH101" s="134" t="s">
        <v>1439</v>
      </c>
      <c r="AI101" s="134"/>
    </row>
    <row r="102" spans="1:35">
      <c r="A102" s="180" t="s">
        <v>15</v>
      </c>
      <c r="B102" s="317" t="s">
        <v>1440</v>
      </c>
      <c r="C102" s="310" t="s">
        <v>623</v>
      </c>
      <c r="D102" s="310">
        <v>0</v>
      </c>
      <c r="E102" s="97">
        <f t="shared" si="8"/>
        <v>0</v>
      </c>
      <c r="F102" s="180" t="s">
        <v>631</v>
      </c>
      <c r="G102" s="180"/>
      <c r="H102" s="180"/>
      <c r="I102" s="180"/>
      <c r="J102" s="180"/>
      <c r="K102" s="180"/>
      <c r="L102" s="180"/>
      <c r="M102" s="180"/>
      <c r="N102" s="180"/>
      <c r="O102" s="180"/>
      <c r="P102" s="180"/>
      <c r="Q102" s="180"/>
      <c r="R102" s="180" t="s">
        <v>965</v>
      </c>
      <c r="S102" s="180"/>
      <c r="T102" s="180" t="s">
        <v>1434</v>
      </c>
      <c r="U102" s="180"/>
      <c r="V102" s="180" t="s">
        <v>1435</v>
      </c>
      <c r="W102" s="30" t="s">
        <v>1436</v>
      </c>
      <c r="X102" s="180"/>
      <c r="Y102" s="180"/>
      <c r="Z102" s="180"/>
      <c r="AA102" s="162">
        <f t="shared" si="7"/>
        <v>0.5714285714285714</v>
      </c>
      <c r="AB102" s="310" t="s">
        <v>970</v>
      </c>
      <c r="AC102" s="204"/>
      <c r="AD102" s="314" t="str">
        <f>_xlfn.XLOOKUP(A102, 'Component Masterlist v2'!A:A, 'Component Masterlist v2'!G:G, "Not found")</f>
        <v>Keith Wiseman</v>
      </c>
      <c r="AE102" s="314" t="str">
        <f>_xlfn.XLOOKUP(A102, 'Component Masterlist v2'!A:A, 'Component Masterlist v2'!E:E, "Not found")</f>
        <v>Bobby Alexander</v>
      </c>
      <c r="AF102" s="209"/>
      <c r="AG102" s="82" t="s">
        <v>1441</v>
      </c>
      <c r="AH102" s="134" t="s">
        <v>1442</v>
      </c>
      <c r="AI102" s="134"/>
    </row>
    <row r="103" spans="1:35">
      <c r="A103" s="180" t="s">
        <v>15</v>
      </c>
      <c r="B103" s="317" t="s">
        <v>1443</v>
      </c>
      <c r="C103" s="310" t="s">
        <v>623</v>
      </c>
      <c r="D103" s="310">
        <v>0</v>
      </c>
      <c r="E103" s="320">
        <f t="shared" si="8"/>
        <v>0</v>
      </c>
      <c r="F103" s="180" t="s">
        <v>627</v>
      </c>
      <c r="G103" s="180"/>
      <c r="H103" s="180"/>
      <c r="I103" s="180"/>
      <c r="J103" s="180"/>
      <c r="K103" s="180"/>
      <c r="L103" s="180"/>
      <c r="M103" s="180"/>
      <c r="N103" s="180"/>
      <c r="O103" s="180"/>
      <c r="P103" s="180"/>
      <c r="Q103" s="180"/>
      <c r="R103" s="180" t="s">
        <v>965</v>
      </c>
      <c r="S103" s="180"/>
      <c r="T103" s="180" t="s">
        <v>1444</v>
      </c>
      <c r="U103" s="180"/>
      <c r="V103" s="180" t="s">
        <v>1435</v>
      </c>
      <c r="W103" s="30" t="s">
        <v>1445</v>
      </c>
      <c r="X103" s="180"/>
      <c r="Y103" s="180" t="s">
        <v>1446</v>
      </c>
      <c r="Z103" s="180" t="s">
        <v>1447</v>
      </c>
      <c r="AA103" s="312">
        <f t="shared" si="7"/>
        <v>0.8571428571428571</v>
      </c>
      <c r="AB103" s="310" t="s">
        <v>970</v>
      </c>
      <c r="AC103" s="204"/>
      <c r="AD103" s="314" t="str">
        <f>_xlfn.XLOOKUP(A103, 'Component Masterlist v2'!A:A, 'Component Masterlist v2'!G:G, "Not found")</f>
        <v>Keith Wiseman</v>
      </c>
      <c r="AE103" s="314" t="str">
        <f>_xlfn.XLOOKUP(A103, 'Component Masterlist v2'!A:A, 'Component Masterlist v2'!E:E, "Not found")</f>
        <v>Bobby Alexander</v>
      </c>
      <c r="AF103" s="209"/>
      <c r="AG103" s="135" t="s">
        <v>1448</v>
      </c>
      <c r="AH103" s="134" t="s">
        <v>1449</v>
      </c>
      <c r="AI103" s="134"/>
    </row>
    <row r="104" spans="1:35">
      <c r="A104" s="180" t="s">
        <v>15</v>
      </c>
      <c r="B104" s="317" t="s">
        <v>1450</v>
      </c>
      <c r="C104" s="310" t="s">
        <v>623</v>
      </c>
      <c r="D104" s="310">
        <v>0</v>
      </c>
      <c r="E104" s="97">
        <f t="shared" si="8"/>
        <v>0</v>
      </c>
      <c r="F104" s="180" t="s">
        <v>629</v>
      </c>
      <c r="G104" s="180"/>
      <c r="H104" s="180"/>
      <c r="I104" s="180"/>
      <c r="J104" s="180"/>
      <c r="K104" s="180"/>
      <c r="L104" s="180"/>
      <c r="M104" s="180"/>
      <c r="N104" s="180"/>
      <c r="O104" s="180"/>
      <c r="P104" s="180"/>
      <c r="Q104" s="180"/>
      <c r="R104" s="180" t="s">
        <v>965</v>
      </c>
      <c r="S104" s="180"/>
      <c r="T104" s="180" t="s">
        <v>1434</v>
      </c>
      <c r="U104" s="180"/>
      <c r="V104" s="180" t="s">
        <v>1435</v>
      </c>
      <c r="W104" s="30" t="s">
        <v>1436</v>
      </c>
      <c r="X104" s="180"/>
      <c r="Y104" s="180"/>
      <c r="Z104" s="27" t="s">
        <v>1437</v>
      </c>
      <c r="AA104" s="312">
        <f t="shared" si="7"/>
        <v>0.7142857142857143</v>
      </c>
      <c r="AB104" s="310" t="s">
        <v>970</v>
      </c>
      <c r="AC104" s="204"/>
      <c r="AD104" s="314" t="str">
        <f>_xlfn.XLOOKUP(A104, 'Component Masterlist v2'!A:A, 'Component Masterlist v2'!G:G, "Not found")</f>
        <v>Keith Wiseman</v>
      </c>
      <c r="AE104" s="314" t="str">
        <f>_xlfn.XLOOKUP(A104, 'Component Masterlist v2'!A:A, 'Component Masterlist v2'!E:E, "Not found")</f>
        <v>Bobby Alexander</v>
      </c>
      <c r="AF104" s="209"/>
      <c r="AG104" s="82" t="s">
        <v>1451</v>
      </c>
      <c r="AH104" s="134" t="s">
        <v>1452</v>
      </c>
      <c r="AI104" s="134"/>
    </row>
    <row r="105" spans="1:35">
      <c r="A105" s="180" t="s">
        <v>15</v>
      </c>
      <c r="B105" s="317" t="s">
        <v>634</v>
      </c>
      <c r="C105" s="310" t="s">
        <v>623</v>
      </c>
      <c r="D105" s="310">
        <f>8*11</f>
        <v>88</v>
      </c>
      <c r="E105" s="320">
        <f t="shared" si="8"/>
        <v>176</v>
      </c>
      <c r="F105" s="30" t="s">
        <v>632</v>
      </c>
      <c r="G105" s="180"/>
      <c r="H105" s="317"/>
      <c r="I105" s="180"/>
      <c r="J105" s="180"/>
      <c r="K105" s="180"/>
      <c r="L105" s="180"/>
      <c r="M105" s="180"/>
      <c r="N105" s="180"/>
      <c r="O105" s="180"/>
      <c r="P105" s="180"/>
      <c r="Q105" s="180"/>
      <c r="R105" s="180" t="s">
        <v>965</v>
      </c>
      <c r="S105" s="30"/>
      <c r="T105" s="27" t="s">
        <v>1453</v>
      </c>
      <c r="U105" s="30"/>
      <c r="V105" s="180"/>
      <c r="W105" s="79" t="s">
        <v>1454</v>
      </c>
      <c r="X105" s="80" t="s">
        <v>1455</v>
      </c>
      <c r="Y105" s="79" t="s">
        <v>1456</v>
      </c>
      <c r="Z105" s="27" t="s">
        <v>1437</v>
      </c>
      <c r="AA105" s="312">
        <f t="shared" si="7"/>
        <v>0.8571428571428571</v>
      </c>
      <c r="AB105" s="310" t="s">
        <v>970</v>
      </c>
      <c r="AC105" s="204"/>
      <c r="AD105" s="314" t="str">
        <f>_xlfn.XLOOKUP(A105, 'Component Masterlist v2'!A:A, 'Component Masterlist v2'!G:G, "Not found")</f>
        <v>Keith Wiseman</v>
      </c>
      <c r="AE105" s="314" t="str">
        <f>_xlfn.XLOOKUP(A105, 'Component Masterlist v2'!A:A, 'Component Masterlist v2'!E:E, "Not found")</f>
        <v>Bobby Alexander</v>
      </c>
      <c r="AF105" s="209"/>
      <c r="AG105" s="82" t="s">
        <v>1457</v>
      </c>
      <c r="AH105" s="134" t="s">
        <v>1458</v>
      </c>
      <c r="AI105" s="134"/>
    </row>
    <row r="106" spans="1:35">
      <c r="A106" s="180" t="s">
        <v>15</v>
      </c>
      <c r="B106" s="317" t="s">
        <v>1459</v>
      </c>
      <c r="C106" s="310" t="s">
        <v>623</v>
      </c>
      <c r="D106" s="310">
        <v>0</v>
      </c>
      <c r="E106" s="320">
        <f t="shared" si="8"/>
        <v>0</v>
      </c>
      <c r="F106" s="180" t="s">
        <v>635</v>
      </c>
      <c r="G106" s="180"/>
      <c r="H106" s="180"/>
      <c r="I106" s="180"/>
      <c r="J106" s="180"/>
      <c r="K106" s="180"/>
      <c r="L106" s="180"/>
      <c r="M106" s="180"/>
      <c r="N106" s="180"/>
      <c r="O106" s="180"/>
      <c r="P106" s="180"/>
      <c r="Q106" s="180"/>
      <c r="R106" s="180" t="s">
        <v>965</v>
      </c>
      <c r="S106" s="180"/>
      <c r="T106" s="180" t="s">
        <v>1453</v>
      </c>
      <c r="U106" s="180"/>
      <c r="V106" s="180" t="s">
        <v>1453</v>
      </c>
      <c r="W106" s="180"/>
      <c r="X106" s="180"/>
      <c r="Y106" s="181"/>
      <c r="Z106" s="27" t="s">
        <v>1437</v>
      </c>
      <c r="AA106" s="162">
        <f t="shared" si="7"/>
        <v>0.5714285714285714</v>
      </c>
      <c r="AB106" s="310" t="s">
        <v>970</v>
      </c>
      <c r="AC106" s="204"/>
      <c r="AD106" s="132" t="str">
        <f>_xlfn.XLOOKUP(A106, 'Component Masterlist v2'!A:A, 'Component Masterlist v2'!G:G, "Not found")</f>
        <v>Keith Wiseman</v>
      </c>
      <c r="AE106" s="132" t="str">
        <f>_xlfn.XLOOKUP(A106, 'Component Masterlist v2'!A:A, 'Component Masterlist v2'!E:E, "Not found")</f>
        <v>Bobby Alexander</v>
      </c>
      <c r="AF106" s="209"/>
      <c r="AG106" s="180"/>
      <c r="AH106" s="212"/>
      <c r="AI106" s="134"/>
    </row>
    <row r="107" spans="1:35">
      <c r="A107" s="180" t="s">
        <v>15</v>
      </c>
      <c r="B107" s="317" t="s">
        <v>1460</v>
      </c>
      <c r="C107" s="310" t="s">
        <v>623</v>
      </c>
      <c r="D107" s="310">
        <v>0</v>
      </c>
      <c r="E107" s="97">
        <f t="shared" si="8"/>
        <v>0</v>
      </c>
      <c r="F107" s="29" t="s">
        <v>625</v>
      </c>
      <c r="G107" s="180"/>
      <c r="H107" s="180"/>
      <c r="I107" s="180"/>
      <c r="J107" s="180"/>
      <c r="K107" s="180"/>
      <c r="L107" s="180"/>
      <c r="M107" s="180"/>
      <c r="N107" s="180"/>
      <c r="O107" s="180"/>
      <c r="P107" s="180"/>
      <c r="Q107" s="180"/>
      <c r="R107" s="180" t="s">
        <v>965</v>
      </c>
      <c r="S107" s="30"/>
      <c r="T107" s="30" t="s">
        <v>1461</v>
      </c>
      <c r="U107" s="30"/>
      <c r="V107" s="30" t="s">
        <v>622</v>
      </c>
      <c r="W107" s="79" t="s">
        <v>1462</v>
      </c>
      <c r="X107" s="30" t="s">
        <v>1463</v>
      </c>
      <c r="Y107" s="27" t="s">
        <v>1464</v>
      </c>
      <c r="Z107" s="27" t="s">
        <v>1437</v>
      </c>
      <c r="AA107" s="312">
        <f t="shared" si="7"/>
        <v>1</v>
      </c>
      <c r="AB107" s="332" t="s">
        <v>970</v>
      </c>
      <c r="AC107" s="204"/>
      <c r="AD107" s="314" t="str">
        <f>_xlfn.XLOOKUP(A107, 'Component Masterlist v2'!A:A, 'Component Masterlist v2'!G:G, "Not found")</f>
        <v>Keith Wiseman</v>
      </c>
      <c r="AE107" s="314" t="str">
        <f>_xlfn.XLOOKUP(A107, 'Component Masterlist v2'!A:A, 'Component Masterlist v2'!E:E, "Not found")</f>
        <v>Bobby Alexander</v>
      </c>
      <c r="AF107" s="209"/>
      <c r="AG107" s="82" t="s">
        <v>1465</v>
      </c>
      <c r="AH107" s="134" t="s">
        <v>1466</v>
      </c>
      <c r="AI107" s="134"/>
    </row>
    <row r="108" spans="1:35">
      <c r="A108" s="180" t="s">
        <v>15</v>
      </c>
      <c r="B108" s="317" t="s">
        <v>1467</v>
      </c>
      <c r="C108" s="310" t="s">
        <v>623</v>
      </c>
      <c r="D108" s="310">
        <f>12.5*11</f>
        <v>137.5</v>
      </c>
      <c r="E108" s="97">
        <f t="shared" si="8"/>
        <v>275</v>
      </c>
      <c r="F108" s="180" t="s">
        <v>620</v>
      </c>
      <c r="G108" s="180"/>
      <c r="H108" s="180"/>
      <c r="I108" s="180"/>
      <c r="J108" s="180"/>
      <c r="K108" s="180"/>
      <c r="L108" s="180"/>
      <c r="M108" s="180"/>
      <c r="N108" s="180"/>
      <c r="O108" s="180"/>
      <c r="P108" s="180"/>
      <c r="Q108" s="180"/>
      <c r="R108" s="180" t="s">
        <v>965</v>
      </c>
      <c r="S108" s="30"/>
      <c r="T108" s="30" t="s">
        <v>1461</v>
      </c>
      <c r="U108" s="30"/>
      <c r="V108" s="30" t="s">
        <v>622</v>
      </c>
      <c r="W108" s="30" t="s">
        <v>1468</v>
      </c>
      <c r="X108" s="30"/>
      <c r="Y108" s="27" t="s">
        <v>1469</v>
      </c>
      <c r="Z108" s="27" t="s">
        <v>1437</v>
      </c>
      <c r="AA108" s="312">
        <f t="shared" si="7"/>
        <v>0.8571428571428571</v>
      </c>
      <c r="AB108" s="332" t="s">
        <v>970</v>
      </c>
      <c r="AC108" s="204"/>
      <c r="AD108" s="314" t="str">
        <f>_xlfn.XLOOKUP(A108, 'Component Masterlist v2'!A:A, 'Component Masterlist v2'!G:G, "Not found")</f>
        <v>Keith Wiseman</v>
      </c>
      <c r="AE108" s="314" t="str">
        <f>_xlfn.XLOOKUP(A108, 'Component Masterlist v2'!A:A, 'Component Masterlist v2'!E:E, "Not found")</f>
        <v>Bobby Alexander</v>
      </c>
      <c r="AF108" s="180"/>
      <c r="AG108" s="172" t="s">
        <v>1470</v>
      </c>
      <c r="AH108" s="82" t="s">
        <v>1471</v>
      </c>
      <c r="AI108" s="180"/>
    </row>
    <row r="109" spans="1:35" ht="16.5">
      <c r="A109" s="180" t="s">
        <v>15</v>
      </c>
      <c r="B109" s="317" t="s">
        <v>1472</v>
      </c>
      <c r="C109" s="310" t="s">
        <v>623</v>
      </c>
      <c r="D109" s="310">
        <f>1*11</f>
        <v>11</v>
      </c>
      <c r="E109" s="97">
        <f>D109*2</f>
        <v>22</v>
      </c>
      <c r="F109" s="180" t="s">
        <v>636</v>
      </c>
      <c r="G109" s="180"/>
      <c r="H109" s="180"/>
      <c r="I109" s="180"/>
      <c r="J109" s="180"/>
      <c r="K109" s="180"/>
      <c r="L109" s="180"/>
      <c r="M109" s="180"/>
      <c r="N109" s="180"/>
      <c r="O109" s="180"/>
      <c r="P109" s="180"/>
      <c r="Q109" s="180"/>
      <c r="R109" s="180" t="s">
        <v>965</v>
      </c>
      <c r="S109" s="30"/>
      <c r="T109" s="30" t="s">
        <v>628</v>
      </c>
      <c r="U109" s="30"/>
      <c r="V109" s="30" t="s">
        <v>622</v>
      </c>
      <c r="W109" s="30" t="s">
        <v>1473</v>
      </c>
      <c r="X109" s="30" t="s">
        <v>1474</v>
      </c>
      <c r="Y109" s="27" t="s">
        <v>1469</v>
      </c>
      <c r="Z109" s="215" t="s">
        <v>1475</v>
      </c>
      <c r="AA109" s="312">
        <f t="shared" si="7"/>
        <v>1</v>
      </c>
      <c r="AB109" s="332" t="s">
        <v>970</v>
      </c>
      <c r="AC109" s="204"/>
      <c r="AD109" s="314" t="str">
        <f>_xlfn.XLOOKUP(A109, 'Component Masterlist v2'!A:A, 'Component Masterlist v2'!G:G, "Not found")</f>
        <v>Keith Wiseman</v>
      </c>
      <c r="AE109" s="314" t="str">
        <f>_xlfn.XLOOKUP(A109, 'Component Masterlist v2'!A:A, 'Component Masterlist v2'!E:E, "Not found")</f>
        <v>Bobby Alexander</v>
      </c>
      <c r="AF109" s="180"/>
      <c r="AG109" s="172" t="s">
        <v>1476</v>
      </c>
      <c r="AH109" s="82" t="s">
        <v>1477</v>
      </c>
      <c r="AI109" s="180"/>
    </row>
    <row r="110" spans="1:35" ht="16.5">
      <c r="A110" s="180" t="s">
        <v>15</v>
      </c>
      <c r="B110" s="317" t="s">
        <v>1478</v>
      </c>
      <c r="C110" s="310" t="s">
        <v>623</v>
      </c>
      <c r="D110" s="310">
        <f>4*11</f>
        <v>44</v>
      </c>
      <c r="E110" s="97">
        <f>D110*2</f>
        <v>88</v>
      </c>
      <c r="F110" s="180" t="s">
        <v>1479</v>
      </c>
      <c r="G110" s="180"/>
      <c r="H110" s="180"/>
      <c r="I110" s="180"/>
      <c r="J110" s="180"/>
      <c r="K110" s="180"/>
      <c r="L110" s="180"/>
      <c r="M110" s="180"/>
      <c r="N110" s="180"/>
      <c r="O110" s="180"/>
      <c r="P110" s="180"/>
      <c r="Q110" s="180"/>
      <c r="R110" s="180"/>
      <c r="S110" s="30"/>
      <c r="T110" s="30"/>
      <c r="U110" s="30"/>
      <c r="V110" s="30"/>
      <c r="W110" s="30"/>
      <c r="X110" s="30"/>
      <c r="Y110" s="27"/>
      <c r="Z110" s="215"/>
      <c r="AA110" s="312"/>
      <c r="AB110" s="332" t="s">
        <v>970</v>
      </c>
      <c r="AC110" s="204"/>
      <c r="AD110" s="314" t="str">
        <f>_xlfn.XLOOKUP(A110, 'Component Masterlist v2'!A:A, 'Component Masterlist v2'!G:G, "Not found")</f>
        <v>Keith Wiseman</v>
      </c>
      <c r="AE110" s="314" t="str">
        <f>_xlfn.XLOOKUP(A110, 'Component Masterlist v2'!A:A, 'Component Masterlist v2'!E:E, "Not found")</f>
        <v>Bobby Alexander</v>
      </c>
      <c r="AF110" s="180"/>
      <c r="AG110" s="172"/>
      <c r="AH110" s="82"/>
      <c r="AI110" s="180"/>
    </row>
    <row r="111" spans="1:35" ht="16.5">
      <c r="A111" s="180" t="s">
        <v>15</v>
      </c>
      <c r="B111" s="317" t="s">
        <v>1480</v>
      </c>
      <c r="C111" s="310" t="s">
        <v>623</v>
      </c>
      <c r="D111" s="310">
        <f>3*11</f>
        <v>33</v>
      </c>
      <c r="E111" s="97">
        <f>D111*2</f>
        <v>66</v>
      </c>
      <c r="F111" s="180" t="s">
        <v>1481</v>
      </c>
      <c r="G111" s="180"/>
      <c r="H111" s="180"/>
      <c r="I111" s="180"/>
      <c r="J111" s="180"/>
      <c r="K111" s="180"/>
      <c r="L111" s="180"/>
      <c r="M111" s="180"/>
      <c r="N111" s="180"/>
      <c r="O111" s="180"/>
      <c r="P111" s="180"/>
      <c r="Q111" s="180"/>
      <c r="R111" s="180"/>
      <c r="S111" s="30"/>
      <c r="T111" s="30"/>
      <c r="U111" s="30"/>
      <c r="V111" s="30"/>
      <c r="W111" s="30"/>
      <c r="X111" s="30"/>
      <c r="Y111" s="27"/>
      <c r="Z111" s="215"/>
      <c r="AA111" s="312"/>
      <c r="AB111" s="332" t="s">
        <v>970</v>
      </c>
      <c r="AC111" s="204"/>
      <c r="AD111" s="314" t="str">
        <f>_xlfn.XLOOKUP(A111, 'Component Masterlist v2'!A:A, 'Component Masterlist v2'!G:G, "Not found")</f>
        <v>Keith Wiseman</v>
      </c>
      <c r="AE111" s="314" t="str">
        <f>_xlfn.XLOOKUP(A111, 'Component Masterlist v2'!A:A, 'Component Masterlist v2'!E:E, "Not found")</f>
        <v>Bobby Alexander</v>
      </c>
      <c r="AF111" s="180"/>
      <c r="AG111" s="172"/>
      <c r="AH111" s="82"/>
      <c r="AI111" s="180"/>
    </row>
    <row r="112" spans="1:35">
      <c r="A112" s="180" t="s">
        <v>25</v>
      </c>
      <c r="B112" s="317" t="s">
        <v>1482</v>
      </c>
      <c r="C112" s="310" t="s">
        <v>697</v>
      </c>
      <c r="D112" s="310">
        <v>70</v>
      </c>
      <c r="E112" s="320">
        <f>D112*2</f>
        <v>140</v>
      </c>
      <c r="F112" s="180" t="s">
        <v>700</v>
      </c>
      <c r="G112" s="317" t="s">
        <v>695</v>
      </c>
      <c r="H112" s="180" t="s">
        <v>704</v>
      </c>
      <c r="I112" s="180"/>
      <c r="J112" s="180"/>
      <c r="K112" s="180"/>
      <c r="L112" s="180"/>
      <c r="M112" s="180"/>
      <c r="N112" s="180"/>
      <c r="O112" s="180"/>
      <c r="P112" s="180"/>
      <c r="Q112" s="180"/>
      <c r="R112" s="180"/>
      <c r="S112" s="180"/>
      <c r="T112" s="180" t="s">
        <v>1483</v>
      </c>
      <c r="U112" s="180"/>
      <c r="V112" s="180" t="s">
        <v>1004</v>
      </c>
      <c r="W112" s="180"/>
      <c r="X112" s="180"/>
      <c r="Y112" s="181"/>
      <c r="Z112" s="180"/>
      <c r="AA112" s="162">
        <f t="shared" si="7"/>
        <v>0.42857142857142855</v>
      </c>
      <c r="AB112" s="332" t="s">
        <v>970</v>
      </c>
      <c r="AC112" s="204"/>
      <c r="AD112" s="132" t="str">
        <f>_xlfn.XLOOKUP(A112, 'Component Masterlist v2'!A:A, 'Component Masterlist v2'!G:G, "Not found")</f>
        <v>Raghu Edalur</v>
      </c>
      <c r="AE112" s="132" t="str">
        <f>_xlfn.XLOOKUP(A112, 'Component Masterlist v2'!A:A, 'Component Masterlist v2'!E:E, "Not found")</f>
        <v>Jawahar Prasad</v>
      </c>
      <c r="AF112" s="180"/>
      <c r="AG112" s="180"/>
      <c r="AH112" s="180"/>
      <c r="AI112" s="180"/>
    </row>
    <row r="113" spans="1:35">
      <c r="A113" s="180" t="s">
        <v>25</v>
      </c>
      <c r="B113" s="317" t="s">
        <v>1484</v>
      </c>
      <c r="C113" s="310" t="s">
        <v>697</v>
      </c>
      <c r="D113" s="310">
        <v>15</v>
      </c>
      <c r="E113" s="320">
        <f>D113*2</f>
        <v>30</v>
      </c>
      <c r="F113" s="317" t="s">
        <v>698</v>
      </c>
      <c r="G113" s="180" t="s">
        <v>701</v>
      </c>
      <c r="H113" s="317" t="s">
        <v>702</v>
      </c>
      <c r="I113" s="247" t="s">
        <v>703</v>
      </c>
      <c r="J113" s="180"/>
      <c r="K113" s="180"/>
      <c r="L113" s="180"/>
      <c r="M113" s="180"/>
      <c r="N113" s="180"/>
      <c r="O113" s="180"/>
      <c r="P113" s="180"/>
      <c r="Q113" s="180"/>
      <c r="R113" s="180"/>
      <c r="S113" s="180"/>
      <c r="T113" s="180" t="s">
        <v>699</v>
      </c>
      <c r="U113" s="180"/>
      <c r="V113" s="180" t="s">
        <v>1004</v>
      </c>
      <c r="W113" s="180"/>
      <c r="X113" s="180"/>
      <c r="Y113" s="181"/>
      <c r="Z113" s="180"/>
      <c r="AA113" s="162">
        <f t="shared" si="7"/>
        <v>0.42857142857142855</v>
      </c>
      <c r="AB113" s="332" t="s">
        <v>970</v>
      </c>
      <c r="AC113" s="204"/>
      <c r="AD113" s="132" t="str">
        <f>_xlfn.XLOOKUP(A113, 'Component Masterlist v2'!A:A, 'Component Masterlist v2'!G:G, "Not found")</f>
        <v>Raghu Edalur</v>
      </c>
      <c r="AE113" s="132" t="str">
        <f>_xlfn.XLOOKUP(A113, 'Component Masterlist v2'!A:A, 'Component Masterlist v2'!E:E, "Not found")</f>
        <v>Jawahar Prasad</v>
      </c>
      <c r="AF113" s="180"/>
      <c r="AG113" s="180"/>
      <c r="AH113" s="180"/>
      <c r="AI113" s="180"/>
    </row>
    <row r="114" spans="1:35" hidden="1">
      <c r="A114" s="27" t="s">
        <v>47</v>
      </c>
      <c r="B114" s="75" t="s">
        <v>1485</v>
      </c>
      <c r="C114" s="310" t="s">
        <v>149</v>
      </c>
      <c r="D114" s="310">
        <v>48</v>
      </c>
      <c r="E114" s="97">
        <f t="shared" ref="E114:E138" si="9">D114*2</f>
        <v>96</v>
      </c>
      <c r="F114" s="75" t="s">
        <v>469</v>
      </c>
      <c r="G114" s="180" t="s">
        <v>470</v>
      </c>
      <c r="H114" s="180"/>
      <c r="I114" s="180"/>
      <c r="J114" s="180"/>
      <c r="K114" s="180"/>
      <c r="L114" s="180"/>
      <c r="M114" s="180"/>
      <c r="N114" s="180"/>
      <c r="O114" s="180"/>
      <c r="P114" s="180"/>
      <c r="Q114" s="180"/>
      <c r="R114" s="180" t="s">
        <v>965</v>
      </c>
      <c r="S114" s="75"/>
      <c r="T114" s="75" t="s">
        <v>455</v>
      </c>
      <c r="U114" s="75"/>
      <c r="V114" s="87" t="s">
        <v>1486</v>
      </c>
      <c r="W114" s="180" t="s">
        <v>1487</v>
      </c>
      <c r="X114" s="180" t="s">
        <v>1488</v>
      </c>
      <c r="Y114" s="180" t="s">
        <v>1489</v>
      </c>
      <c r="Z114" s="180"/>
      <c r="AA114" s="312">
        <f t="shared" si="7"/>
        <v>0.8571428571428571</v>
      </c>
      <c r="AB114" s="310" t="s">
        <v>970</v>
      </c>
      <c r="AC114" s="204"/>
      <c r="AD114" s="314" t="str">
        <f>_xlfn.XLOOKUP(A114, 'Component Masterlist v2'!A:A, 'Component Masterlist v2'!G:G, "Not found")</f>
        <v>Sanyam Agrawal</v>
      </c>
      <c r="AE114" s="314" t="str">
        <f>_xlfn.XLOOKUP(A114, 'Component Masterlist v2'!A:A, 'Component Masterlist v2'!E:E, "Not found")</f>
        <v>Anirudh Agarwal</v>
      </c>
      <c r="AF114" s="180"/>
      <c r="AG114" s="82" t="s">
        <v>1490</v>
      </c>
      <c r="AH114" s="82" t="s">
        <v>1491</v>
      </c>
      <c r="AI114" s="180"/>
    </row>
    <row r="115" spans="1:35" hidden="1">
      <c r="A115" s="27" t="s">
        <v>47</v>
      </c>
      <c r="B115" s="75" t="s">
        <v>1492</v>
      </c>
      <c r="C115" s="310" t="s">
        <v>149</v>
      </c>
      <c r="D115" s="310">
        <v>48</v>
      </c>
      <c r="E115" s="97">
        <f t="shared" si="9"/>
        <v>96</v>
      </c>
      <c r="F115" s="75" t="s">
        <v>459</v>
      </c>
      <c r="G115" s="180" t="s">
        <v>463</v>
      </c>
      <c r="H115" s="180" t="s">
        <v>465</v>
      </c>
      <c r="I115" s="180" t="s">
        <v>466</v>
      </c>
      <c r="J115" s="180" t="s">
        <v>464</v>
      </c>
      <c r="K115" s="180"/>
      <c r="L115" s="180"/>
      <c r="M115" s="180"/>
      <c r="N115" s="180"/>
      <c r="O115" s="180"/>
      <c r="P115" s="180"/>
      <c r="Q115" s="180"/>
      <c r="R115" s="180" t="s">
        <v>965</v>
      </c>
      <c r="S115" s="75"/>
      <c r="T115" s="75" t="s">
        <v>436</v>
      </c>
      <c r="U115" s="75"/>
      <c r="V115" s="87" t="s">
        <v>1493</v>
      </c>
      <c r="W115" s="180" t="s">
        <v>1494</v>
      </c>
      <c r="X115" s="180" t="s">
        <v>1488</v>
      </c>
      <c r="Y115" s="180" t="s">
        <v>1495</v>
      </c>
      <c r="Z115" s="180"/>
      <c r="AA115" s="312">
        <f t="shared" si="7"/>
        <v>0.8571428571428571</v>
      </c>
      <c r="AB115" s="310" t="s">
        <v>970</v>
      </c>
      <c r="AC115" s="204"/>
      <c r="AD115" s="314" t="str">
        <f>_xlfn.XLOOKUP(A115, 'Component Masterlist v2'!A:A, 'Component Masterlist v2'!G:G, "Not found")</f>
        <v>Sanyam Agrawal</v>
      </c>
      <c r="AE115" s="314" t="str">
        <f>_xlfn.XLOOKUP(A115, 'Component Masterlist v2'!A:A, 'Component Masterlist v2'!E:E, "Not found")</f>
        <v>Anirudh Agarwal</v>
      </c>
      <c r="AF115" s="180"/>
      <c r="AG115" s="82" t="s">
        <v>1496</v>
      </c>
      <c r="AH115" s="82" t="s">
        <v>1497</v>
      </c>
      <c r="AI115" s="180"/>
    </row>
    <row r="116" spans="1:35" hidden="1">
      <c r="A116" s="27" t="s">
        <v>47</v>
      </c>
      <c r="B116" s="75" t="s">
        <v>1498</v>
      </c>
      <c r="C116" s="310" t="s">
        <v>149</v>
      </c>
      <c r="D116" s="310">
        <v>48</v>
      </c>
      <c r="E116" s="97">
        <f t="shared" si="9"/>
        <v>96</v>
      </c>
      <c r="F116" s="199" t="s">
        <v>435</v>
      </c>
      <c r="G116" s="180" t="s">
        <v>441</v>
      </c>
      <c r="H116" s="180" t="s">
        <v>461</v>
      </c>
      <c r="I116" s="180"/>
      <c r="J116" s="180"/>
      <c r="K116" s="180"/>
      <c r="L116" s="180"/>
      <c r="M116" s="180"/>
      <c r="N116" s="180"/>
      <c r="O116" s="180"/>
      <c r="P116" s="180"/>
      <c r="Q116" s="180"/>
      <c r="R116" s="180" t="s">
        <v>965</v>
      </c>
      <c r="S116" s="75"/>
      <c r="T116" s="75" t="s">
        <v>436</v>
      </c>
      <c r="U116" s="75"/>
      <c r="V116" s="87" t="s">
        <v>1499</v>
      </c>
      <c r="W116" s="180" t="s">
        <v>1500</v>
      </c>
      <c r="X116" s="180" t="s">
        <v>1501</v>
      </c>
      <c r="Y116" s="180" t="s">
        <v>1502</v>
      </c>
      <c r="Z116" s="180"/>
      <c r="AA116" s="312">
        <f t="shared" si="7"/>
        <v>0.8571428571428571</v>
      </c>
      <c r="AB116" s="310" t="s">
        <v>970</v>
      </c>
      <c r="AC116" s="204"/>
      <c r="AD116" s="314" t="str">
        <f>_xlfn.XLOOKUP(A116, 'Component Masterlist v2'!A:A, 'Component Masterlist v2'!G:G, "Not found")</f>
        <v>Sanyam Agrawal</v>
      </c>
      <c r="AE116" s="314" t="str">
        <f>_xlfn.XLOOKUP(A116, 'Component Masterlist v2'!A:A, 'Component Masterlist v2'!E:E, "Not found")</f>
        <v>Anirudh Agarwal</v>
      </c>
      <c r="AF116" s="180"/>
      <c r="AG116" s="82" t="s">
        <v>1503</v>
      </c>
      <c r="AH116" s="82" t="s">
        <v>1504</v>
      </c>
      <c r="AI116" s="180"/>
    </row>
    <row r="117" spans="1:35" hidden="1">
      <c r="A117" s="27" t="s">
        <v>47</v>
      </c>
      <c r="B117" s="75" t="s">
        <v>1505</v>
      </c>
      <c r="C117" s="310" t="s">
        <v>149</v>
      </c>
      <c r="D117" s="310">
        <v>48</v>
      </c>
      <c r="E117" s="97">
        <f t="shared" si="9"/>
        <v>96</v>
      </c>
      <c r="F117" s="75" t="s">
        <v>443</v>
      </c>
      <c r="G117" s="180" t="s">
        <v>446</v>
      </c>
      <c r="H117" s="317" t="s">
        <v>457</v>
      </c>
      <c r="I117" s="180" t="s">
        <v>453</v>
      </c>
      <c r="J117" s="180" t="s">
        <v>458</v>
      </c>
      <c r="K117" s="180"/>
      <c r="L117" s="180"/>
      <c r="M117" s="180"/>
      <c r="N117" s="180"/>
      <c r="O117" s="180"/>
      <c r="P117" s="180"/>
      <c r="Q117" s="180"/>
      <c r="R117" s="180" t="s">
        <v>965</v>
      </c>
      <c r="S117" s="75"/>
      <c r="T117" s="75" t="s">
        <v>1506</v>
      </c>
      <c r="U117" s="75"/>
      <c r="V117" s="87" t="s">
        <v>1507</v>
      </c>
      <c r="W117" s="180" t="s">
        <v>1508</v>
      </c>
      <c r="X117" s="180" t="s">
        <v>1509</v>
      </c>
      <c r="Y117" s="180" t="s">
        <v>1510</v>
      </c>
      <c r="Z117" s="180"/>
      <c r="AA117" s="312">
        <f t="shared" si="7"/>
        <v>0.8571428571428571</v>
      </c>
      <c r="AB117" s="310" t="s">
        <v>970</v>
      </c>
      <c r="AC117" s="204"/>
      <c r="AD117" s="314" t="str">
        <f>_xlfn.XLOOKUP(A117, 'Component Masterlist v2'!A:A, 'Component Masterlist v2'!G:G, "Not found")</f>
        <v>Sanyam Agrawal</v>
      </c>
      <c r="AE117" s="314" t="str">
        <f>_xlfn.XLOOKUP(A117, 'Component Masterlist v2'!A:A, 'Component Masterlist v2'!E:E, "Not found")</f>
        <v>Anirudh Agarwal</v>
      </c>
      <c r="AF117" s="180"/>
      <c r="AG117" s="82" t="s">
        <v>1511</v>
      </c>
      <c r="AH117" s="82" t="s">
        <v>1512</v>
      </c>
      <c r="AI117" s="180"/>
    </row>
    <row r="118" spans="1:35" hidden="1">
      <c r="A118" s="27" t="s">
        <v>47</v>
      </c>
      <c r="B118" s="75" t="s">
        <v>1513</v>
      </c>
      <c r="C118" s="310" t="s">
        <v>149</v>
      </c>
      <c r="D118" s="311">
        <v>48</v>
      </c>
      <c r="E118" s="97">
        <f t="shared" si="9"/>
        <v>96</v>
      </c>
      <c r="F118" s="75" t="s">
        <v>468</v>
      </c>
      <c r="G118" s="180" t="s">
        <v>467</v>
      </c>
      <c r="H118" s="180"/>
      <c r="I118" s="180"/>
      <c r="J118" s="180"/>
      <c r="K118" s="180"/>
      <c r="L118" s="180"/>
      <c r="M118" s="180"/>
      <c r="N118" s="180"/>
      <c r="O118" s="180"/>
      <c r="P118" s="180"/>
      <c r="Q118" s="180"/>
      <c r="R118" s="180" t="s">
        <v>965</v>
      </c>
      <c r="S118" s="75"/>
      <c r="T118" s="75" t="s">
        <v>437</v>
      </c>
      <c r="U118" s="75"/>
      <c r="V118" s="87" t="s">
        <v>445</v>
      </c>
      <c r="W118" s="180" t="s">
        <v>1514</v>
      </c>
      <c r="X118" s="180" t="s">
        <v>1515</v>
      </c>
      <c r="Y118" s="180" t="s">
        <v>1516</v>
      </c>
      <c r="Z118" s="180"/>
      <c r="AA118" s="312">
        <f t="shared" si="7"/>
        <v>0.8571428571428571</v>
      </c>
      <c r="AB118" s="310" t="s">
        <v>970</v>
      </c>
      <c r="AC118" s="204"/>
      <c r="AD118" s="314" t="str">
        <f>_xlfn.XLOOKUP(A118, 'Component Masterlist v2'!A:A, 'Component Masterlist v2'!G:G, "Not found")</f>
        <v>Sanyam Agrawal</v>
      </c>
      <c r="AE118" s="314" t="str">
        <f>_xlfn.XLOOKUP(A118, 'Component Masterlist v2'!A:A, 'Component Masterlist v2'!E:E, "Not found")</f>
        <v>Anirudh Agarwal</v>
      </c>
      <c r="AF118" s="180"/>
      <c r="AG118" s="82" t="s">
        <v>1517</v>
      </c>
      <c r="AH118" s="82" t="s">
        <v>1518</v>
      </c>
      <c r="AI118" s="180"/>
    </row>
    <row r="119" spans="1:35" hidden="1">
      <c r="A119" s="27" t="s">
        <v>47</v>
      </c>
      <c r="B119" s="75" t="s">
        <v>1519</v>
      </c>
      <c r="C119" s="315" t="s">
        <v>149</v>
      </c>
      <c r="D119" s="311">
        <v>48</v>
      </c>
      <c r="E119" s="97">
        <f t="shared" si="9"/>
        <v>96</v>
      </c>
      <c r="F119" s="75" t="s">
        <v>454</v>
      </c>
      <c r="G119" s="180" t="s">
        <v>456</v>
      </c>
      <c r="H119" s="180"/>
      <c r="I119" s="180"/>
      <c r="J119" s="180"/>
      <c r="K119" s="180"/>
      <c r="L119" s="180"/>
      <c r="M119" s="180"/>
      <c r="N119" s="180"/>
      <c r="O119" s="180"/>
      <c r="P119" s="180"/>
      <c r="Q119" s="180"/>
      <c r="R119" s="180" t="s">
        <v>965</v>
      </c>
      <c r="S119" s="75"/>
      <c r="T119" s="75" t="s">
        <v>455</v>
      </c>
      <c r="U119" s="75"/>
      <c r="V119" s="87" t="s">
        <v>1520</v>
      </c>
      <c r="W119" s="180" t="s">
        <v>1521</v>
      </c>
      <c r="X119" s="180" t="s">
        <v>1488</v>
      </c>
      <c r="Y119" s="180" t="s">
        <v>1522</v>
      </c>
      <c r="Z119" s="180"/>
      <c r="AA119" s="312">
        <f t="shared" si="7"/>
        <v>0.8571428571428571</v>
      </c>
      <c r="AB119" s="310" t="s">
        <v>970</v>
      </c>
      <c r="AC119" s="204"/>
      <c r="AD119" s="314" t="str">
        <f>_xlfn.XLOOKUP(A119, 'Component Masterlist v2'!A:A, 'Component Masterlist v2'!G:G, "Not found")</f>
        <v>Sanyam Agrawal</v>
      </c>
      <c r="AE119" s="314" t="str">
        <f>_xlfn.XLOOKUP(A119, 'Component Masterlist v2'!A:A, 'Component Masterlist v2'!E:E, "Not found")</f>
        <v>Anirudh Agarwal</v>
      </c>
      <c r="AF119" s="180"/>
      <c r="AG119" s="82" t="s">
        <v>1523</v>
      </c>
      <c r="AH119" s="82" t="s">
        <v>1524</v>
      </c>
      <c r="AI119" s="180"/>
    </row>
    <row r="120" spans="1:35" hidden="1">
      <c r="A120" s="27" t="s">
        <v>47</v>
      </c>
      <c r="B120" s="75" t="s">
        <v>1525</v>
      </c>
      <c r="C120" s="315" t="s">
        <v>149</v>
      </c>
      <c r="D120" s="310">
        <v>48</v>
      </c>
      <c r="E120" s="97">
        <f t="shared" si="9"/>
        <v>96</v>
      </c>
      <c r="F120" s="75" t="s">
        <v>448</v>
      </c>
      <c r="G120" s="180" t="s">
        <v>451</v>
      </c>
      <c r="H120" s="180"/>
      <c r="I120" s="180"/>
      <c r="J120" s="180"/>
      <c r="K120" s="180"/>
      <c r="L120" s="180"/>
      <c r="M120" s="180"/>
      <c r="N120" s="180"/>
      <c r="O120" s="180"/>
      <c r="P120" s="180"/>
      <c r="Q120" s="180"/>
      <c r="R120" s="180" t="s">
        <v>965</v>
      </c>
      <c r="S120" s="75"/>
      <c r="T120" s="75" t="s">
        <v>449</v>
      </c>
      <c r="U120" s="75"/>
      <c r="V120" s="87" t="s">
        <v>1526</v>
      </c>
      <c r="W120" s="180" t="s">
        <v>1527</v>
      </c>
      <c r="X120" s="180" t="s">
        <v>1488</v>
      </c>
      <c r="Y120" s="180" t="s">
        <v>1528</v>
      </c>
      <c r="Z120" s="180"/>
      <c r="AA120" s="312">
        <f t="shared" si="7"/>
        <v>0.8571428571428571</v>
      </c>
      <c r="AB120" s="310" t="s">
        <v>970</v>
      </c>
      <c r="AC120" s="204"/>
      <c r="AD120" s="314" t="str">
        <f>_xlfn.XLOOKUP(A120, 'Component Masterlist v2'!A:A, 'Component Masterlist v2'!G:G, "Not found")</f>
        <v>Sanyam Agrawal</v>
      </c>
      <c r="AE120" s="314" t="str">
        <f>_xlfn.XLOOKUP(A120, 'Component Masterlist v2'!A:A, 'Component Masterlist v2'!E:E, "Not found")</f>
        <v>Anirudh Agarwal</v>
      </c>
      <c r="AF120" s="180"/>
      <c r="AG120" s="82" t="s">
        <v>1529</v>
      </c>
      <c r="AH120" s="82" t="s">
        <v>1530</v>
      </c>
      <c r="AI120" s="180"/>
    </row>
    <row r="121" spans="1:35" hidden="1">
      <c r="A121" s="27" t="s">
        <v>52</v>
      </c>
      <c r="B121" s="317" t="s">
        <v>1531</v>
      </c>
      <c r="C121" s="315" t="s">
        <v>391</v>
      </c>
      <c r="D121" s="310">
        <v>51</v>
      </c>
      <c r="E121" s="320">
        <f t="shared" si="9"/>
        <v>102</v>
      </c>
      <c r="F121" s="180" t="s">
        <v>388</v>
      </c>
      <c r="G121" s="180" t="s">
        <v>392</v>
      </c>
      <c r="H121" s="180"/>
      <c r="I121" s="180"/>
      <c r="J121" s="180"/>
      <c r="K121" s="180"/>
      <c r="L121" s="180"/>
      <c r="M121" s="180"/>
      <c r="N121" s="180"/>
      <c r="O121" s="180"/>
      <c r="P121" s="180"/>
      <c r="Q121" s="180"/>
      <c r="R121" s="180" t="s">
        <v>965</v>
      </c>
      <c r="S121" s="87"/>
      <c r="T121" s="87" t="s">
        <v>389</v>
      </c>
      <c r="U121" s="87"/>
      <c r="V121" s="75" t="s">
        <v>1532</v>
      </c>
      <c r="W121" s="75" t="s">
        <v>1533</v>
      </c>
      <c r="X121" s="75" t="s">
        <v>1534</v>
      </c>
      <c r="Y121" s="87" t="s">
        <v>1535</v>
      </c>
      <c r="Z121" s="87" t="s">
        <v>969</v>
      </c>
      <c r="AA121" s="312">
        <f t="shared" si="7"/>
        <v>1</v>
      </c>
      <c r="AB121" s="89" t="s">
        <v>970</v>
      </c>
      <c r="AC121" s="204"/>
      <c r="AD121" s="314" t="str">
        <f>_xlfn.XLOOKUP(A121, 'Component Masterlist v2'!A:A, 'Component Masterlist v2'!G:G, "Not found")</f>
        <v>Sanyam Agrawal</v>
      </c>
      <c r="AE121" s="314" t="str">
        <f>_xlfn.XLOOKUP(A121, 'Component Masterlist v2'!A:A, 'Component Masterlist v2'!E:E, "Not found")</f>
        <v>Fahad Tasleem</v>
      </c>
      <c r="AF121" s="180"/>
      <c r="AG121" s="82" t="s">
        <v>1536</v>
      </c>
      <c r="AH121" s="82" t="s">
        <v>1537</v>
      </c>
      <c r="AI121" s="180"/>
    </row>
    <row r="122" spans="1:35" hidden="1">
      <c r="A122" s="27" t="s">
        <v>52</v>
      </c>
      <c r="B122" s="317" t="s">
        <v>1538</v>
      </c>
      <c r="C122" s="315" t="s">
        <v>391</v>
      </c>
      <c r="D122" s="310">
        <v>19</v>
      </c>
      <c r="E122" s="97">
        <f t="shared" si="9"/>
        <v>38</v>
      </c>
      <c r="F122" s="180" t="s">
        <v>394</v>
      </c>
      <c r="G122" s="180" t="s">
        <v>396</v>
      </c>
      <c r="H122" s="180"/>
      <c r="I122" s="180"/>
      <c r="J122" s="180"/>
      <c r="K122" s="180"/>
      <c r="L122" s="180"/>
      <c r="M122" s="180"/>
      <c r="N122" s="180"/>
      <c r="O122" s="180"/>
      <c r="P122" s="180"/>
      <c r="Q122" s="180"/>
      <c r="R122" s="180" t="s">
        <v>965</v>
      </c>
      <c r="S122" s="87"/>
      <c r="T122" s="87" t="s">
        <v>389</v>
      </c>
      <c r="U122" s="87"/>
      <c r="V122" s="87" t="s">
        <v>395</v>
      </c>
      <c r="W122" s="87" t="s">
        <v>1539</v>
      </c>
      <c r="X122" s="87" t="s">
        <v>1534</v>
      </c>
      <c r="Y122" s="87" t="s">
        <v>1540</v>
      </c>
      <c r="Z122" s="87" t="s">
        <v>969</v>
      </c>
      <c r="AA122" s="312">
        <f t="shared" si="7"/>
        <v>1</v>
      </c>
      <c r="AB122" s="89" t="s">
        <v>970</v>
      </c>
      <c r="AC122" s="204"/>
      <c r="AD122" s="314" t="str">
        <f>_xlfn.XLOOKUP(A122, 'Component Masterlist v2'!A:A, 'Component Masterlist v2'!G:G, "Not found")</f>
        <v>Sanyam Agrawal</v>
      </c>
      <c r="AE122" s="314" t="str">
        <f>_xlfn.XLOOKUP(A122, 'Component Masterlist v2'!A:A, 'Component Masterlist v2'!E:E, "Not found")</f>
        <v>Fahad Tasleem</v>
      </c>
      <c r="AF122" s="180"/>
      <c r="AG122" s="82" t="s">
        <v>1541</v>
      </c>
      <c r="AH122" s="82" t="s">
        <v>1542</v>
      </c>
      <c r="AI122" s="180"/>
    </row>
    <row r="123" spans="1:35" hidden="1">
      <c r="A123" s="180" t="s">
        <v>45</v>
      </c>
      <c r="B123" s="317" t="s">
        <v>1543</v>
      </c>
      <c r="C123" s="315" t="s">
        <v>141</v>
      </c>
      <c r="D123" s="310">
        <v>85</v>
      </c>
      <c r="E123" s="97">
        <f t="shared" si="9"/>
        <v>170</v>
      </c>
      <c r="F123" s="180" t="s">
        <v>471</v>
      </c>
      <c r="G123" s="180"/>
      <c r="H123" s="180"/>
      <c r="I123" s="180"/>
      <c r="J123" s="180"/>
      <c r="K123" s="180"/>
      <c r="L123" s="180"/>
      <c r="M123" s="180"/>
      <c r="N123" s="180"/>
      <c r="O123" s="180"/>
      <c r="P123" s="180"/>
      <c r="Q123" s="180"/>
      <c r="R123" s="180" t="s">
        <v>965</v>
      </c>
      <c r="S123" s="180"/>
      <c r="T123" s="180" t="s">
        <v>472</v>
      </c>
      <c r="U123" s="180"/>
      <c r="V123" s="180" t="s">
        <v>401</v>
      </c>
      <c r="W123" s="180" t="s">
        <v>1544</v>
      </c>
      <c r="X123" s="180" t="s">
        <v>1545</v>
      </c>
      <c r="Y123" s="27" t="s">
        <v>1546</v>
      </c>
      <c r="Z123" s="30" t="s">
        <v>1547</v>
      </c>
      <c r="AA123" s="312">
        <f t="shared" si="7"/>
        <v>1</v>
      </c>
      <c r="AB123" s="310" t="s">
        <v>970</v>
      </c>
      <c r="AC123" s="204"/>
      <c r="AD123" s="314" t="str">
        <f>_xlfn.XLOOKUP(A123, 'Component Masterlist v2'!A:A, 'Component Masterlist v2'!G:G, "Not found")</f>
        <v>Sanyam Agrawal</v>
      </c>
      <c r="AE123" s="314" t="str">
        <f>_xlfn.XLOOKUP(A123, 'Component Masterlist v2'!A:A, 'Component Masterlist v2'!E:E, "Not found")</f>
        <v>Ambuj Mehra</v>
      </c>
      <c r="AF123" s="180"/>
      <c r="AG123" s="82" t="s">
        <v>1548</v>
      </c>
      <c r="AH123" s="82" t="s">
        <v>1549</v>
      </c>
      <c r="AI123" s="180"/>
    </row>
    <row r="124" spans="1:35" hidden="1">
      <c r="A124" s="180" t="s">
        <v>45</v>
      </c>
      <c r="B124" s="317" t="s">
        <v>1550</v>
      </c>
      <c r="C124" s="310" t="s">
        <v>141</v>
      </c>
      <c r="D124" s="310">
        <v>85</v>
      </c>
      <c r="E124" s="97">
        <f t="shared" si="9"/>
        <v>170</v>
      </c>
      <c r="F124" s="180" t="s">
        <v>474</v>
      </c>
      <c r="G124" s="180"/>
      <c r="H124" s="204"/>
      <c r="I124" s="180"/>
      <c r="J124" s="180"/>
      <c r="K124" s="180"/>
      <c r="L124" s="180"/>
      <c r="M124" s="180"/>
      <c r="N124" s="180"/>
      <c r="O124" s="180"/>
      <c r="P124" s="180"/>
      <c r="Q124" s="180"/>
      <c r="R124" s="180" t="s">
        <v>965</v>
      </c>
      <c r="S124" s="180"/>
      <c r="T124" s="180" t="s">
        <v>475</v>
      </c>
      <c r="U124" s="180"/>
      <c r="V124" s="180" t="s">
        <v>400</v>
      </c>
      <c r="W124" s="180" t="s">
        <v>1544</v>
      </c>
      <c r="X124" s="180" t="s">
        <v>1545</v>
      </c>
      <c r="Y124" s="180" t="s">
        <v>1551</v>
      </c>
      <c r="Z124" s="30" t="s">
        <v>1547</v>
      </c>
      <c r="AA124" s="312">
        <f t="shared" si="7"/>
        <v>1</v>
      </c>
      <c r="AB124" s="310" t="s">
        <v>970</v>
      </c>
      <c r="AC124" s="204"/>
      <c r="AD124" s="314" t="str">
        <f>_xlfn.XLOOKUP(A124, 'Component Masterlist v2'!A:A, 'Component Masterlist v2'!G:G, "Not found")</f>
        <v>Sanyam Agrawal</v>
      </c>
      <c r="AE124" s="314" t="str">
        <f>_xlfn.XLOOKUP(A124, 'Component Masterlist v2'!A:A, 'Component Masterlist v2'!E:E, "Not found")</f>
        <v>Ambuj Mehra</v>
      </c>
      <c r="AF124" s="180"/>
      <c r="AG124" s="82" t="s">
        <v>1552</v>
      </c>
      <c r="AH124" s="82" t="s">
        <v>1553</v>
      </c>
      <c r="AI124" s="180"/>
    </row>
    <row r="125" spans="1:35" hidden="1">
      <c r="A125" s="180" t="s">
        <v>88</v>
      </c>
      <c r="B125" s="317" t="s">
        <v>1554</v>
      </c>
      <c r="C125" s="310" t="s">
        <v>151</v>
      </c>
      <c r="D125" s="78">
        <f>(6*10)+(1*7.5)</f>
        <v>67.5</v>
      </c>
      <c r="E125" s="97">
        <f t="shared" si="9"/>
        <v>135</v>
      </c>
      <c r="F125" s="326" t="s">
        <v>366</v>
      </c>
      <c r="G125" s="180"/>
      <c r="H125" s="180"/>
      <c r="I125" s="180"/>
      <c r="J125" s="180"/>
      <c r="K125" s="180"/>
      <c r="L125" s="180"/>
      <c r="M125" s="180"/>
      <c r="N125" s="180"/>
      <c r="O125" s="180"/>
      <c r="P125" s="180"/>
      <c r="Q125" s="180"/>
      <c r="R125" s="180" t="s">
        <v>965</v>
      </c>
      <c r="S125" s="180"/>
      <c r="T125" s="180" t="s">
        <v>364</v>
      </c>
      <c r="U125" s="180"/>
      <c r="V125" s="180" t="s">
        <v>1555</v>
      </c>
      <c r="W125" s="180"/>
      <c r="X125" s="180"/>
      <c r="Y125" s="23" t="s">
        <v>1556</v>
      </c>
      <c r="Z125" s="180" t="s">
        <v>1557</v>
      </c>
      <c r="AA125" s="312">
        <f t="shared" si="7"/>
        <v>0.7142857142857143</v>
      </c>
      <c r="AB125" s="310" t="s">
        <v>970</v>
      </c>
      <c r="AC125" s="204"/>
      <c r="AD125" s="314" t="str">
        <f>_xlfn.XLOOKUP(A125, 'Component Masterlist v2'!A:A, 'Component Masterlist v2'!G:G, "Not found")</f>
        <v>Ved Singh</v>
      </c>
      <c r="AE125" s="314" t="str">
        <f>_xlfn.XLOOKUP(A125, 'Component Masterlist v2'!A:A, 'Component Masterlist v2'!E:E, "Not found")</f>
        <v>Karan Jeet Singh</v>
      </c>
      <c r="AF125" s="180"/>
      <c r="AG125" s="82" t="s">
        <v>1558</v>
      </c>
      <c r="AH125" s="82" t="s">
        <v>1559</v>
      </c>
      <c r="AI125" s="82"/>
    </row>
    <row r="126" spans="1:35" hidden="1">
      <c r="A126" s="180" t="s">
        <v>88</v>
      </c>
      <c r="B126" s="317" t="s">
        <v>1560</v>
      </c>
      <c r="C126" s="310" t="s">
        <v>151</v>
      </c>
      <c r="D126" s="78">
        <f>(7*10)+7.5</f>
        <v>77.5</v>
      </c>
      <c r="E126" s="97">
        <f t="shared" si="9"/>
        <v>155</v>
      </c>
      <c r="F126" s="326" t="s">
        <v>353</v>
      </c>
      <c r="G126" s="180"/>
      <c r="H126" s="180"/>
      <c r="I126" s="180"/>
      <c r="J126" s="180"/>
      <c r="K126" s="180"/>
      <c r="L126" s="180"/>
      <c r="M126" s="180"/>
      <c r="N126" s="180"/>
      <c r="O126" s="180"/>
      <c r="P126" s="180"/>
      <c r="Q126" s="180"/>
      <c r="R126" s="180" t="s">
        <v>965</v>
      </c>
      <c r="S126" s="180"/>
      <c r="T126" s="180" t="s">
        <v>354</v>
      </c>
      <c r="U126" s="180"/>
      <c r="V126" s="180" t="s">
        <v>1555</v>
      </c>
      <c r="W126" s="180" t="s">
        <v>1561</v>
      </c>
      <c r="X126" s="180"/>
      <c r="Y126" s="181" t="s">
        <v>1562</v>
      </c>
      <c r="Z126" s="180" t="s">
        <v>1557</v>
      </c>
      <c r="AA126" s="312">
        <f t="shared" si="7"/>
        <v>0.8571428571428571</v>
      </c>
      <c r="AB126" s="310" t="s">
        <v>970</v>
      </c>
      <c r="AC126" s="204"/>
      <c r="AD126" s="314" t="str">
        <f>_xlfn.XLOOKUP(A126, 'Component Masterlist v2'!A:A, 'Component Masterlist v2'!G:G, "Not found")</f>
        <v>Ved Singh</v>
      </c>
      <c r="AE126" s="314" t="str">
        <f>_xlfn.XLOOKUP(A126, 'Component Masterlist v2'!A:A, 'Component Masterlist v2'!E:E, "Not found")</f>
        <v>Karan Jeet Singh</v>
      </c>
      <c r="AF126" s="180"/>
      <c r="AG126" s="82" t="s">
        <v>1563</v>
      </c>
      <c r="AH126" s="82" t="s">
        <v>1564</v>
      </c>
      <c r="AI126" s="82"/>
    </row>
    <row r="127" spans="1:35" hidden="1">
      <c r="A127" s="180" t="s">
        <v>88</v>
      </c>
      <c r="B127" s="317" t="s">
        <v>1565</v>
      </c>
      <c r="C127" s="310" t="s">
        <v>151</v>
      </c>
      <c r="D127" s="78">
        <f>(8*10)+7.5</f>
        <v>87.5</v>
      </c>
      <c r="E127" s="97">
        <f t="shared" si="9"/>
        <v>175</v>
      </c>
      <c r="F127" s="326" t="s">
        <v>349</v>
      </c>
      <c r="G127" s="180"/>
      <c r="H127" s="180"/>
      <c r="I127" s="180"/>
      <c r="J127" s="180"/>
      <c r="K127" s="180"/>
      <c r="L127" s="180"/>
      <c r="M127" s="180"/>
      <c r="N127" s="180"/>
      <c r="O127" s="180"/>
      <c r="P127" s="180"/>
      <c r="Q127" s="180"/>
      <c r="R127" s="180" t="s">
        <v>965</v>
      </c>
      <c r="S127" s="180"/>
      <c r="T127" s="180" t="s">
        <v>350</v>
      </c>
      <c r="U127" s="180"/>
      <c r="V127" s="180" t="s">
        <v>1555</v>
      </c>
      <c r="W127" s="180" t="s">
        <v>1566</v>
      </c>
      <c r="X127" s="180"/>
      <c r="Y127" s="181" t="s">
        <v>1567</v>
      </c>
      <c r="Z127" s="180" t="s">
        <v>1557</v>
      </c>
      <c r="AA127" s="312">
        <f t="shared" ref="AA127:AA135" si="10">(--(F127&lt;&gt;"") + --(T127&lt;&gt;"") + --(V127&lt;&gt;"") + --(W127&lt;&gt;"") + --(X127&lt;&gt;"") + --(Y127&lt;&gt;"") + --(Z127&lt;&gt;"")) / 7</f>
        <v>0.8571428571428571</v>
      </c>
      <c r="AB127" s="310" t="s">
        <v>970</v>
      </c>
      <c r="AC127" s="204"/>
      <c r="AD127" s="314" t="str">
        <f>_xlfn.XLOOKUP(A127, 'Component Masterlist v2'!A:A, 'Component Masterlist v2'!G:G, "Not found")</f>
        <v>Ved Singh</v>
      </c>
      <c r="AE127" s="314" t="str">
        <f>_xlfn.XLOOKUP(A127, 'Component Masterlist v2'!A:A, 'Component Masterlist v2'!E:E, "Not found")</f>
        <v>Karan Jeet Singh</v>
      </c>
      <c r="AF127" s="180"/>
      <c r="AG127" s="82" t="s">
        <v>1568</v>
      </c>
      <c r="AH127" s="82" t="s">
        <v>1569</v>
      </c>
      <c r="AI127" s="82"/>
    </row>
    <row r="128" spans="1:35" hidden="1">
      <c r="A128" s="180" t="s">
        <v>88</v>
      </c>
      <c r="B128" s="317" t="s">
        <v>1570</v>
      </c>
      <c r="C128" s="310" t="s">
        <v>151</v>
      </c>
      <c r="D128" s="78">
        <f>6*10</f>
        <v>60</v>
      </c>
      <c r="E128" s="97">
        <f t="shared" si="9"/>
        <v>120</v>
      </c>
      <c r="F128" s="326" t="s">
        <v>363</v>
      </c>
      <c r="G128" s="180"/>
      <c r="H128" s="326"/>
      <c r="I128" s="180"/>
      <c r="J128" s="326"/>
      <c r="K128" s="180"/>
      <c r="L128" s="180"/>
      <c r="M128" s="326"/>
      <c r="N128" s="180"/>
      <c r="O128" s="180"/>
      <c r="P128" s="180"/>
      <c r="Q128" s="180"/>
      <c r="R128" s="180" t="s">
        <v>965</v>
      </c>
      <c r="S128" s="180"/>
      <c r="T128" s="180" t="s">
        <v>364</v>
      </c>
      <c r="U128" s="180"/>
      <c r="V128" s="180" t="s">
        <v>1555</v>
      </c>
      <c r="W128" s="180"/>
      <c r="X128" s="180"/>
      <c r="Y128" s="23" t="s">
        <v>1571</v>
      </c>
      <c r="Z128" s="180" t="s">
        <v>1557</v>
      </c>
      <c r="AA128" s="312">
        <f t="shared" si="10"/>
        <v>0.7142857142857143</v>
      </c>
      <c r="AB128" s="310" t="s">
        <v>970</v>
      </c>
      <c r="AC128" s="204"/>
      <c r="AD128" s="314" t="str">
        <f>_xlfn.XLOOKUP(A128, 'Component Masterlist v2'!A:A, 'Component Masterlist v2'!G:G, "Not found")</f>
        <v>Ved Singh</v>
      </c>
      <c r="AE128" s="314" t="str">
        <f>_xlfn.XLOOKUP(A128, 'Component Masterlist v2'!A:A, 'Component Masterlist v2'!E:E, "Not found")</f>
        <v>Karan Jeet Singh</v>
      </c>
      <c r="AF128" s="180"/>
      <c r="AG128" s="82" t="s">
        <v>1572</v>
      </c>
      <c r="AH128" s="82" t="s">
        <v>1573</v>
      </c>
      <c r="AI128" s="82"/>
    </row>
    <row r="129" spans="1:35" hidden="1">
      <c r="A129" s="180" t="s">
        <v>88</v>
      </c>
      <c r="B129" s="317" t="s">
        <v>1574</v>
      </c>
      <c r="C129" s="310" t="s">
        <v>151</v>
      </c>
      <c r="D129" s="78">
        <f>(10*10)+(2*7.5)</f>
        <v>115</v>
      </c>
      <c r="E129" s="97">
        <f t="shared" si="9"/>
        <v>230</v>
      </c>
      <c r="F129" s="326" t="s">
        <v>360</v>
      </c>
      <c r="G129" s="180"/>
      <c r="H129" s="180"/>
      <c r="I129" s="180"/>
      <c r="J129" s="180"/>
      <c r="K129" s="180"/>
      <c r="L129" s="180"/>
      <c r="M129" s="180"/>
      <c r="N129" s="180"/>
      <c r="O129" s="180"/>
      <c r="P129" s="180"/>
      <c r="Q129" s="180"/>
      <c r="R129" s="180" t="s">
        <v>965</v>
      </c>
      <c r="S129" s="180"/>
      <c r="T129" s="180" t="s">
        <v>1575</v>
      </c>
      <c r="U129" s="180"/>
      <c r="V129" s="180" t="s">
        <v>1555</v>
      </c>
      <c r="W129" s="180" t="s">
        <v>1576</v>
      </c>
      <c r="X129" s="180"/>
      <c r="Y129" s="181"/>
      <c r="Z129" s="180" t="s">
        <v>1557</v>
      </c>
      <c r="AA129" s="312">
        <f t="shared" si="10"/>
        <v>0.7142857142857143</v>
      </c>
      <c r="AB129" s="310" t="s">
        <v>970</v>
      </c>
      <c r="AC129" s="204"/>
      <c r="AD129" s="314" t="str">
        <f>_xlfn.XLOOKUP(A129, 'Component Masterlist v2'!A:A, 'Component Masterlist v2'!G:G, "Not found")</f>
        <v>Ved Singh</v>
      </c>
      <c r="AE129" s="314" t="str">
        <f>_xlfn.XLOOKUP(A129, 'Component Masterlist v2'!A:A, 'Component Masterlist v2'!E:E, "Not found")</f>
        <v>Karan Jeet Singh</v>
      </c>
      <c r="AF129" s="180"/>
      <c r="AG129" s="82" t="s">
        <v>1577</v>
      </c>
      <c r="AH129" s="82" t="s">
        <v>1578</v>
      </c>
      <c r="AI129" s="82"/>
    </row>
    <row r="130" spans="1:35" hidden="1">
      <c r="A130" s="180" t="s">
        <v>88</v>
      </c>
      <c r="B130" s="317" t="s">
        <v>1579</v>
      </c>
      <c r="C130" s="310" t="s">
        <v>151</v>
      </c>
      <c r="D130" s="78">
        <f>(9*10)+(1*7.5)</f>
        <v>97.5</v>
      </c>
      <c r="E130" s="97">
        <f t="shared" si="9"/>
        <v>195</v>
      </c>
      <c r="F130" s="326" t="s">
        <v>357</v>
      </c>
      <c r="G130" s="180" t="s">
        <v>368</v>
      </c>
      <c r="H130" s="180"/>
      <c r="I130" s="180"/>
      <c r="J130" s="180"/>
      <c r="K130" s="180"/>
      <c r="L130" s="180"/>
      <c r="M130" s="180"/>
      <c r="N130" s="180"/>
      <c r="O130" s="180"/>
      <c r="P130" s="180"/>
      <c r="Q130" s="180"/>
      <c r="R130" s="180" t="s">
        <v>965</v>
      </c>
      <c r="S130" s="180"/>
      <c r="T130" s="180" t="s">
        <v>358</v>
      </c>
      <c r="U130" s="180"/>
      <c r="V130" s="180" t="s">
        <v>1555</v>
      </c>
      <c r="W130" s="180" t="s">
        <v>1580</v>
      </c>
      <c r="X130" s="180"/>
      <c r="Y130" s="181" t="s">
        <v>1581</v>
      </c>
      <c r="Z130" s="180" t="s">
        <v>1557</v>
      </c>
      <c r="AA130" s="312">
        <f t="shared" si="10"/>
        <v>0.8571428571428571</v>
      </c>
      <c r="AB130" s="310" t="s">
        <v>970</v>
      </c>
      <c r="AC130" s="204"/>
      <c r="AD130" s="314" t="str">
        <f>_xlfn.XLOOKUP(A130, 'Component Masterlist v2'!A:A, 'Component Masterlist v2'!G:G, "Not found")</f>
        <v>Ved Singh</v>
      </c>
      <c r="AE130" s="314" t="str">
        <f>_xlfn.XLOOKUP(A130, 'Component Masterlist v2'!A:A, 'Component Masterlist v2'!E:E, "Not found")</f>
        <v>Karan Jeet Singh</v>
      </c>
      <c r="AF130" s="180"/>
      <c r="AG130" s="82" t="s">
        <v>1582</v>
      </c>
      <c r="AH130" s="82" t="s">
        <v>1583</v>
      </c>
      <c r="AI130" s="82"/>
    </row>
    <row r="131" spans="1:35" hidden="1">
      <c r="A131" s="27" t="s">
        <v>54</v>
      </c>
      <c r="B131" s="88" t="s">
        <v>1584</v>
      </c>
      <c r="C131" s="310" t="s">
        <v>152</v>
      </c>
      <c r="D131" s="310">
        <v>45</v>
      </c>
      <c r="E131" s="97">
        <f t="shared" si="9"/>
        <v>90</v>
      </c>
      <c r="F131" s="333" t="s">
        <v>425</v>
      </c>
      <c r="G131" s="325"/>
      <c r="H131" s="180"/>
      <c r="I131" s="180"/>
      <c r="J131" s="180"/>
      <c r="K131" s="180"/>
      <c r="L131" s="180"/>
      <c r="M131" s="180"/>
      <c r="N131" s="180"/>
      <c r="O131" s="180"/>
      <c r="P131" s="180"/>
      <c r="Q131" s="180"/>
      <c r="R131" s="180" t="s">
        <v>965</v>
      </c>
      <c r="S131" s="87"/>
      <c r="T131" s="87" t="s">
        <v>426</v>
      </c>
      <c r="U131" s="87"/>
      <c r="V131" s="87" t="s">
        <v>900</v>
      </c>
      <c r="W131" s="87" t="s">
        <v>1585</v>
      </c>
      <c r="X131" s="87" t="s">
        <v>1586</v>
      </c>
      <c r="Y131" s="87" t="s">
        <v>1587</v>
      </c>
      <c r="Z131" s="87" t="s">
        <v>1588</v>
      </c>
      <c r="AA131" s="312">
        <f t="shared" si="10"/>
        <v>1</v>
      </c>
      <c r="AB131" s="310" t="s">
        <v>970</v>
      </c>
      <c r="AC131" s="204"/>
      <c r="AD131" s="314" t="str">
        <f>_xlfn.XLOOKUP(A131, 'Component Masterlist v2'!A:A, 'Component Masterlist v2'!G:G, "Not found")</f>
        <v>Sanyam Agrawal</v>
      </c>
      <c r="AE131" s="314" t="str">
        <f>_xlfn.XLOOKUP(A131, 'Component Masterlist v2'!A:A, 'Component Masterlist v2'!E:E, "Not found")</f>
        <v>Prashant Gupta, Vraj Solanki</v>
      </c>
      <c r="AF131" s="180"/>
      <c r="AG131" s="82" t="s">
        <v>1589</v>
      </c>
      <c r="AH131" s="82" t="s">
        <v>1590</v>
      </c>
      <c r="AI131" s="82"/>
    </row>
    <row r="132" spans="1:35" hidden="1">
      <c r="A132" s="27" t="s">
        <v>54</v>
      </c>
      <c r="B132" s="88" t="s">
        <v>1591</v>
      </c>
      <c r="C132" s="310" t="s">
        <v>152</v>
      </c>
      <c r="D132" s="310">
        <v>30</v>
      </c>
      <c r="E132" s="97">
        <f t="shared" si="9"/>
        <v>60</v>
      </c>
      <c r="F132" s="325" t="s">
        <v>422</v>
      </c>
      <c r="G132" s="325"/>
      <c r="H132" s="180"/>
      <c r="I132" s="180"/>
      <c r="J132" s="180"/>
      <c r="K132" s="180"/>
      <c r="L132" s="180"/>
      <c r="M132" s="180"/>
      <c r="N132" s="180"/>
      <c r="O132" s="180"/>
      <c r="P132" s="180"/>
      <c r="Q132" s="180"/>
      <c r="R132" s="180" t="s">
        <v>965</v>
      </c>
      <c r="S132" s="87"/>
      <c r="T132" s="87" t="s">
        <v>1592</v>
      </c>
      <c r="U132" s="87"/>
      <c r="V132" s="87" t="s">
        <v>424</v>
      </c>
      <c r="W132" s="201" t="s">
        <v>1593</v>
      </c>
      <c r="X132" s="87" t="s">
        <v>1594</v>
      </c>
      <c r="Y132" s="87" t="s">
        <v>1595</v>
      </c>
      <c r="Z132" s="87" t="s">
        <v>1596</v>
      </c>
      <c r="AA132" s="312">
        <f t="shared" si="10"/>
        <v>1</v>
      </c>
      <c r="AB132" s="310" t="s">
        <v>970</v>
      </c>
      <c r="AC132" s="204"/>
      <c r="AD132" s="314" t="str">
        <f>_xlfn.XLOOKUP(A132, 'Component Masterlist v2'!A:A, 'Component Masterlist v2'!G:G, "Not found")</f>
        <v>Sanyam Agrawal</v>
      </c>
      <c r="AE132" s="314" t="str">
        <f>_xlfn.XLOOKUP(A132, 'Component Masterlist v2'!A:A, 'Component Masterlist v2'!E:E, "Not found")</f>
        <v>Prashant Gupta, Vraj Solanki</v>
      </c>
      <c r="AF132" s="180"/>
      <c r="AG132" s="82" t="s">
        <v>1597</v>
      </c>
      <c r="AH132" s="82" t="s">
        <v>1598</v>
      </c>
      <c r="AI132" s="82"/>
    </row>
    <row r="133" spans="1:35" hidden="1">
      <c r="A133" s="27" t="s">
        <v>54</v>
      </c>
      <c r="B133" s="88" t="s">
        <v>112</v>
      </c>
      <c r="C133" s="310" t="s">
        <v>152</v>
      </c>
      <c r="D133" s="310">
        <v>135</v>
      </c>
      <c r="E133" s="97">
        <f t="shared" si="9"/>
        <v>270</v>
      </c>
      <c r="F133" s="325" t="s">
        <v>428</v>
      </c>
      <c r="G133" s="325" t="s">
        <v>410</v>
      </c>
      <c r="H133" s="180" t="s">
        <v>419</v>
      </c>
      <c r="I133" s="180" t="s">
        <v>421</v>
      </c>
      <c r="J133" s="180"/>
      <c r="K133" s="180"/>
      <c r="L133" s="180"/>
      <c r="M133" s="180"/>
      <c r="N133" s="180"/>
      <c r="O133" s="180"/>
      <c r="P133" s="180"/>
      <c r="Q133" s="180"/>
      <c r="R133" s="180" t="s">
        <v>965</v>
      </c>
      <c r="S133" s="87"/>
      <c r="T133" s="87" t="s">
        <v>1599</v>
      </c>
      <c r="U133" s="87"/>
      <c r="V133" s="87" t="s">
        <v>1600</v>
      </c>
      <c r="W133" s="87" t="s">
        <v>1601</v>
      </c>
      <c r="X133" s="87" t="s">
        <v>1594</v>
      </c>
      <c r="Y133" s="87" t="s">
        <v>1602</v>
      </c>
      <c r="Z133" s="87" t="s">
        <v>1596</v>
      </c>
      <c r="AA133" s="312">
        <f t="shared" si="10"/>
        <v>1</v>
      </c>
      <c r="AB133" s="310" t="s">
        <v>970</v>
      </c>
      <c r="AC133" s="204"/>
      <c r="AD133" s="314" t="str">
        <f>_xlfn.XLOOKUP(A133, 'Component Masterlist v2'!A:A, 'Component Masterlist v2'!G:G, "Not found")</f>
        <v>Sanyam Agrawal</v>
      </c>
      <c r="AE133" s="314" t="str">
        <f>_xlfn.XLOOKUP(A133, 'Component Masterlist v2'!A:A, 'Component Masterlist v2'!E:E, "Not found")</f>
        <v>Prashant Gupta, Vraj Solanki</v>
      </c>
      <c r="AF133" s="180"/>
      <c r="AG133" s="82" t="s">
        <v>1603</v>
      </c>
      <c r="AH133" s="82" t="s">
        <v>1604</v>
      </c>
      <c r="AI133" s="204"/>
    </row>
    <row r="134" spans="1:35" hidden="1">
      <c r="A134" s="27" t="s">
        <v>54</v>
      </c>
      <c r="B134" s="88" t="s">
        <v>1605</v>
      </c>
      <c r="C134" s="310" t="s">
        <v>152</v>
      </c>
      <c r="D134" s="310">
        <v>90</v>
      </c>
      <c r="E134" s="97">
        <f t="shared" si="9"/>
        <v>180</v>
      </c>
      <c r="F134" s="325" t="s">
        <v>403</v>
      </c>
      <c r="G134" s="325" t="s">
        <v>409</v>
      </c>
      <c r="H134" s="180"/>
      <c r="I134" s="180"/>
      <c r="J134" s="180"/>
      <c r="K134" s="180"/>
      <c r="L134" s="180"/>
      <c r="M134" s="180"/>
      <c r="N134" s="180"/>
      <c r="O134" s="180"/>
      <c r="P134" s="180"/>
      <c r="Q134" s="180"/>
      <c r="R134" s="180" t="s">
        <v>965</v>
      </c>
      <c r="S134" s="87"/>
      <c r="T134" s="87" t="s">
        <v>1606</v>
      </c>
      <c r="U134" s="87"/>
      <c r="V134" s="87" t="s">
        <v>405</v>
      </c>
      <c r="W134" s="87" t="s">
        <v>1607</v>
      </c>
      <c r="X134" s="87" t="s">
        <v>1594</v>
      </c>
      <c r="Y134" s="87" t="s">
        <v>1608</v>
      </c>
      <c r="Z134" s="87" t="s">
        <v>1596</v>
      </c>
      <c r="AA134" s="312">
        <f t="shared" si="10"/>
        <v>1</v>
      </c>
      <c r="AB134" s="310" t="s">
        <v>970</v>
      </c>
      <c r="AC134" s="204"/>
      <c r="AD134" s="314" t="str">
        <f>_xlfn.XLOOKUP(A134, 'Component Masterlist v2'!A:A, 'Component Masterlist v2'!G:G, "Not found")</f>
        <v>Sanyam Agrawal</v>
      </c>
      <c r="AE134" s="314" t="str">
        <f>_xlfn.XLOOKUP(A134, 'Component Masterlist v2'!A:A, 'Component Masterlist v2'!E:E, "Not found")</f>
        <v>Prashant Gupta, Vraj Solanki</v>
      </c>
      <c r="AF134" s="180" t="s">
        <v>1609</v>
      </c>
      <c r="AG134" s="82" t="s">
        <v>1610</v>
      </c>
      <c r="AH134" s="82" t="s">
        <v>1611</v>
      </c>
      <c r="AI134" s="204"/>
    </row>
    <row r="135" spans="1:35" hidden="1">
      <c r="A135" s="27" t="s">
        <v>54</v>
      </c>
      <c r="B135" s="88" t="s">
        <v>1612</v>
      </c>
      <c r="C135" s="310" t="s">
        <v>152</v>
      </c>
      <c r="D135" s="310">
        <v>60</v>
      </c>
      <c r="E135" s="97">
        <f t="shared" si="9"/>
        <v>120</v>
      </c>
      <c r="F135" s="325" t="s">
        <v>414</v>
      </c>
      <c r="G135" s="325" t="s">
        <v>417</v>
      </c>
      <c r="H135" s="180"/>
      <c r="I135" s="180"/>
      <c r="J135" s="180"/>
      <c r="K135" s="180"/>
      <c r="L135" s="180"/>
      <c r="M135" s="180"/>
      <c r="N135" s="180"/>
      <c r="O135" s="180"/>
      <c r="P135" s="180"/>
      <c r="Q135" s="180"/>
      <c r="R135" s="180" t="s">
        <v>965</v>
      </c>
      <c r="S135" s="87"/>
      <c r="T135" s="87" t="s">
        <v>1613</v>
      </c>
      <c r="U135" s="87"/>
      <c r="V135" s="87" t="s">
        <v>1614</v>
      </c>
      <c r="W135" s="211" t="s">
        <v>1615</v>
      </c>
      <c r="X135" s="87" t="s">
        <v>1616</v>
      </c>
      <c r="Y135" s="202" t="s">
        <v>1617</v>
      </c>
      <c r="Z135" s="87" t="s">
        <v>1596</v>
      </c>
      <c r="AA135" s="312">
        <f t="shared" si="10"/>
        <v>1</v>
      </c>
      <c r="AB135" s="310" t="s">
        <v>970</v>
      </c>
      <c r="AC135" s="204"/>
      <c r="AD135" s="314" t="str">
        <f>_xlfn.XLOOKUP(A135, 'Component Masterlist v2'!A:A, 'Component Masterlist v2'!G:G, "Not found")</f>
        <v>Sanyam Agrawal</v>
      </c>
      <c r="AE135" s="314" t="str">
        <f>_xlfn.XLOOKUP(A135, 'Component Masterlist v2'!A:A, 'Component Masterlist v2'!E:E, "Not found")</f>
        <v>Prashant Gupta, Vraj Solanki</v>
      </c>
      <c r="AF135" s="180"/>
      <c r="AG135" s="82" t="s">
        <v>1618</v>
      </c>
      <c r="AH135" s="82" t="s">
        <v>1619</v>
      </c>
      <c r="AI135" s="204"/>
    </row>
    <row r="136" spans="1:35" hidden="1">
      <c r="A136" s="27" t="s">
        <v>54</v>
      </c>
      <c r="B136" s="88" t="s">
        <v>1620</v>
      </c>
      <c r="C136" s="310" t="s">
        <v>152</v>
      </c>
      <c r="D136" s="310">
        <v>45</v>
      </c>
      <c r="E136" s="97">
        <f t="shared" si="9"/>
        <v>90</v>
      </c>
      <c r="F136" s="180" t="s">
        <v>429</v>
      </c>
      <c r="G136" s="325" t="s">
        <v>430</v>
      </c>
      <c r="H136" s="325" t="s">
        <v>431</v>
      </c>
      <c r="I136" s="180" t="s">
        <v>433</v>
      </c>
      <c r="J136" s="180"/>
      <c r="K136" s="180"/>
      <c r="L136" s="180"/>
      <c r="M136" s="180"/>
      <c r="N136" s="180"/>
      <c r="O136" s="180"/>
      <c r="P136" s="180"/>
      <c r="Q136" s="180"/>
      <c r="R136" s="180" t="s">
        <v>965</v>
      </c>
      <c r="S136" s="334"/>
      <c r="T136" s="334" t="s">
        <v>1621</v>
      </c>
      <c r="U136" s="335"/>
      <c r="V136" s="210"/>
      <c r="W136" s="87" t="s">
        <v>1622</v>
      </c>
      <c r="X136" s="213" t="s">
        <v>1623</v>
      </c>
      <c r="Y136" s="87" t="s">
        <v>1624</v>
      </c>
      <c r="Z136" s="87" t="s">
        <v>1625</v>
      </c>
      <c r="AA136" s="312">
        <f>(--(G136&lt;&gt;"") + --(T136&lt;&gt;"") + --(V136&lt;&gt;"") + --(W136&lt;&gt;"") + --(X136&lt;&gt;"") + --(Y136&lt;&gt;"") + --(Z136&lt;&gt;"")) / 7</f>
        <v>0.8571428571428571</v>
      </c>
      <c r="AB136" s="310" t="s">
        <v>970</v>
      </c>
      <c r="AC136" s="204"/>
      <c r="AD136" s="314" t="str">
        <f>_xlfn.XLOOKUP(A136, 'Component Masterlist v2'!A:A, 'Component Masterlist v2'!G:G, "Not found")</f>
        <v>Sanyam Agrawal</v>
      </c>
      <c r="AE136" s="314" t="str">
        <f>_xlfn.XLOOKUP(A136, 'Component Masterlist v2'!A:A, 'Component Masterlist v2'!E:E, "Not found")</f>
        <v>Prashant Gupta, Vraj Solanki</v>
      </c>
      <c r="AF136" s="180"/>
      <c r="AG136" s="82" t="s">
        <v>1626</v>
      </c>
      <c r="AH136" s="82" t="s">
        <v>1627</v>
      </c>
      <c r="AI136" s="204"/>
    </row>
    <row r="137" spans="1:35" hidden="1">
      <c r="A137" s="180" t="s">
        <v>99</v>
      </c>
      <c r="B137" s="317" t="s">
        <v>1628</v>
      </c>
      <c r="C137" s="310" t="s">
        <v>708</v>
      </c>
      <c r="D137" s="310">
        <v>43.5</v>
      </c>
      <c r="E137" s="320">
        <f t="shared" si="9"/>
        <v>87</v>
      </c>
      <c r="F137" s="180" t="s">
        <v>705</v>
      </c>
      <c r="G137" s="180" t="s">
        <v>711</v>
      </c>
      <c r="H137" s="180"/>
      <c r="I137" s="180"/>
      <c r="J137" s="180"/>
      <c r="K137" s="180"/>
      <c r="L137" s="180"/>
      <c r="M137" s="180"/>
      <c r="N137" s="180"/>
      <c r="O137" s="180"/>
      <c r="P137" s="180"/>
      <c r="Q137" s="180"/>
      <c r="R137" s="180" t="s">
        <v>965</v>
      </c>
      <c r="S137" s="180"/>
      <c r="T137" s="180" t="s">
        <v>1629</v>
      </c>
      <c r="U137" s="209"/>
      <c r="V137" s="209" t="s">
        <v>1630</v>
      </c>
      <c r="W137" s="180" t="s">
        <v>1631</v>
      </c>
      <c r="X137" s="212" t="s">
        <v>1632</v>
      </c>
      <c r="Y137" s="181" t="s">
        <v>1633</v>
      </c>
      <c r="Z137" s="180" t="s">
        <v>1020</v>
      </c>
      <c r="AA137" s="312">
        <f>(--(F137&lt;&gt;"") + --(T137&lt;&gt;"") + --(V137&lt;&gt;"") + --(W137&lt;&gt;"") + --(X137&lt;&gt;"") + --(Y137&lt;&gt;"") + --(Z137&lt;&gt;"")) / 7</f>
        <v>1</v>
      </c>
      <c r="AB137" s="310" t="s">
        <v>970</v>
      </c>
      <c r="AC137" s="204"/>
      <c r="AD137" s="314" t="str">
        <f>_xlfn.XLOOKUP(A137, 'Component Masterlist v2'!A:A, 'Component Masterlist v2'!G:G, "Not found")</f>
        <v>Turker Coskun</v>
      </c>
      <c r="AE137" s="314" t="str">
        <f>_xlfn.XLOOKUP(A137, 'Component Masterlist v2'!A:A, 'Component Masterlist v2'!E:E, "Not found")</f>
        <v>Prakash Mohan</v>
      </c>
      <c r="AF137" s="180"/>
      <c r="AG137" s="82" t="s">
        <v>1634</v>
      </c>
      <c r="AH137" s="82" t="s">
        <v>1635</v>
      </c>
      <c r="AI137" s="204"/>
    </row>
    <row r="138" spans="1:35" hidden="1">
      <c r="A138" s="180" t="s">
        <v>99</v>
      </c>
      <c r="B138" s="317" t="s">
        <v>1636</v>
      </c>
      <c r="C138" s="310" t="s">
        <v>708</v>
      </c>
      <c r="D138" s="310">
        <v>36</v>
      </c>
      <c r="E138" s="320">
        <f t="shared" si="9"/>
        <v>72</v>
      </c>
      <c r="F138" s="180" t="s">
        <v>709</v>
      </c>
      <c r="G138" s="180" t="s">
        <v>710</v>
      </c>
      <c r="H138" s="180"/>
      <c r="I138" s="180"/>
      <c r="J138" s="180"/>
      <c r="K138" s="180"/>
      <c r="L138" s="180"/>
      <c r="M138" s="180"/>
      <c r="N138" s="180"/>
      <c r="O138" s="180"/>
      <c r="P138" s="180"/>
      <c r="Q138" s="180"/>
      <c r="R138" s="180" t="s">
        <v>965</v>
      </c>
      <c r="S138" s="180"/>
      <c r="T138" s="180" t="s">
        <v>1629</v>
      </c>
      <c r="U138" s="209"/>
      <c r="V138" s="209" t="s">
        <v>1630</v>
      </c>
      <c r="W138" s="180" t="s">
        <v>1637</v>
      </c>
      <c r="X138" s="212" t="s">
        <v>1632</v>
      </c>
      <c r="Y138" s="181" t="s">
        <v>1638</v>
      </c>
      <c r="Z138" s="180" t="s">
        <v>1020</v>
      </c>
      <c r="AA138" s="312">
        <f>(--(F138&lt;&gt;"") + --(T138&lt;&gt;"") + --(V138&lt;&gt;"") + --(W138&lt;&gt;"") + --(X138&lt;&gt;"") + --(Y138&lt;&gt;"") + --(Z138&lt;&gt;"")) / 7</f>
        <v>1</v>
      </c>
      <c r="AB138" s="310" t="s">
        <v>970</v>
      </c>
      <c r="AC138" s="204"/>
      <c r="AD138" s="314" t="str">
        <f>_xlfn.XLOOKUP(A138, 'Component Masterlist v2'!A:A, 'Component Masterlist v2'!G:G, "Not found")</f>
        <v>Turker Coskun</v>
      </c>
      <c r="AE138" s="314" t="str">
        <f>_xlfn.XLOOKUP(A138, 'Component Masterlist v2'!A:A, 'Component Masterlist v2'!E:E, "Not found")</f>
        <v>Prakash Mohan</v>
      </c>
      <c r="AF138" s="180"/>
      <c r="AG138" s="82" t="s">
        <v>1639</v>
      </c>
      <c r="AH138" s="82" t="s">
        <v>1640</v>
      </c>
      <c r="AI138" s="204"/>
    </row>
    <row r="139" spans="1:35">
      <c r="A139" s="180" t="s">
        <v>26</v>
      </c>
      <c r="B139" s="317" t="s">
        <v>1641</v>
      </c>
      <c r="C139" s="310" t="s">
        <v>874</v>
      </c>
      <c r="D139" s="310">
        <v>60</v>
      </c>
      <c r="E139" s="320">
        <f>D139*2</f>
        <v>120</v>
      </c>
      <c r="F139" s="180" t="s">
        <v>870</v>
      </c>
      <c r="G139" s="180" t="s">
        <v>875</v>
      </c>
      <c r="H139" s="180" t="s">
        <v>876</v>
      </c>
      <c r="I139" s="180"/>
      <c r="J139" s="180"/>
      <c r="K139" s="180"/>
      <c r="L139" s="180"/>
      <c r="M139" s="180"/>
      <c r="N139" s="180"/>
      <c r="O139" s="180"/>
      <c r="P139" s="180"/>
      <c r="Q139" s="180"/>
      <c r="R139" s="180"/>
      <c r="S139" s="180"/>
      <c r="T139" s="180" t="s">
        <v>1483</v>
      </c>
      <c r="U139" s="180"/>
      <c r="V139" s="180" t="s">
        <v>249</v>
      </c>
      <c r="W139" s="180" t="s">
        <v>873</v>
      </c>
      <c r="X139" s="180" t="s">
        <v>1004</v>
      </c>
      <c r="Y139" s="181" t="s">
        <v>1642</v>
      </c>
      <c r="Z139" s="180" t="s">
        <v>1643</v>
      </c>
      <c r="AA139" s="162">
        <f>(--(F139&lt;&gt;"") + --(T139&lt;&gt;"") + --(V139&lt;&gt;"") + --(W139&lt;&gt;"") + --(X139&lt;&gt;"") + --(Y139&lt;&gt;"") + --(Z139&lt;&gt;"")) / 7</f>
        <v>1</v>
      </c>
      <c r="AB139" s="310"/>
      <c r="AC139" s="204"/>
      <c r="AD139" s="132" t="str">
        <f>_xlfn.XLOOKUP(A139, 'Component Masterlist v2'!A:A, 'Component Masterlist v2'!G:G, "Not found")</f>
        <v>Raghu Edalur</v>
      </c>
      <c r="AE139" s="132" t="str">
        <f>_xlfn.XLOOKUP(A139, 'Component Masterlist v2'!A:A, 'Component Masterlist v2'!E:E, "Not found")</f>
        <v>Jawahar Prasad</v>
      </c>
      <c r="AF139" s="180"/>
      <c r="AG139" s="180"/>
      <c r="AH139" s="180"/>
      <c r="AI139" s="204"/>
    </row>
    <row r="140" spans="1:35">
      <c r="A140" s="180" t="s">
        <v>16</v>
      </c>
      <c r="B140" s="180" t="s">
        <v>1644</v>
      </c>
      <c r="C140" s="310" t="s">
        <v>297</v>
      </c>
      <c r="D140" s="310">
        <f>7*11</f>
        <v>77</v>
      </c>
      <c r="E140" s="320">
        <f>D140*2</f>
        <v>154</v>
      </c>
      <c r="F140" s="126" t="s">
        <v>294</v>
      </c>
      <c r="G140" s="180" t="s">
        <v>298</v>
      </c>
      <c r="H140" s="180"/>
      <c r="I140" s="180"/>
      <c r="J140" s="180"/>
      <c r="K140" s="180"/>
      <c r="L140" s="180"/>
      <c r="M140" s="180"/>
      <c r="N140" s="180"/>
      <c r="O140" s="180"/>
      <c r="P140" s="180"/>
      <c r="Q140" s="180"/>
      <c r="R140" s="180" t="s">
        <v>965</v>
      </c>
      <c r="S140" s="29"/>
      <c r="T140" s="29" t="s">
        <v>295</v>
      </c>
      <c r="U140" s="29"/>
      <c r="V140" s="180" t="s">
        <v>1422</v>
      </c>
      <c r="W140" s="29" t="s">
        <v>1645</v>
      </c>
      <c r="X140" s="180"/>
      <c r="Y140" s="180" t="s">
        <v>1646</v>
      </c>
      <c r="Z140" s="180" t="s">
        <v>1004</v>
      </c>
      <c r="AA140" s="312">
        <f>(--(F140&lt;&gt;"") + --(T140&lt;&gt;"") + --(V140&lt;&gt;"") + --(W140&lt;&gt;"") + --(X140&lt;&gt;"") + --(Y140&lt;&gt;"") + --(Z140&lt;&gt;"")) / 7</f>
        <v>0.8571428571428571</v>
      </c>
      <c r="AB140" s="310" t="s">
        <v>970</v>
      </c>
      <c r="AC140" s="204"/>
      <c r="AD140" s="314" t="str">
        <f>_xlfn.XLOOKUP(A140, 'Component Masterlist v2'!A:A, 'Component Masterlist v2'!G:G, "Not found")</f>
        <v>Keith Wiseman</v>
      </c>
      <c r="AE140" s="314" t="str">
        <f>_xlfn.XLOOKUP(A140, 'Component Masterlist v2'!A:A, 'Component Masterlist v2'!E:E, "Not found")</f>
        <v>Bobby Alexander</v>
      </c>
      <c r="AF140" s="180"/>
      <c r="AG140" s="82" t="s">
        <v>1647</v>
      </c>
      <c r="AH140" s="82" t="s">
        <v>1648</v>
      </c>
      <c r="AI140" s="204"/>
    </row>
    <row r="145" spans="1:35">
      <c r="A145" s="180"/>
      <c r="B145" s="317"/>
      <c r="C145" s="310"/>
      <c r="D145" s="310"/>
      <c r="E145" s="320"/>
      <c r="F145" s="180"/>
      <c r="G145" s="180"/>
      <c r="H145" s="180"/>
      <c r="I145" s="180"/>
      <c r="J145" s="180"/>
      <c r="K145" s="180"/>
      <c r="L145" s="180"/>
      <c r="M145" s="180"/>
      <c r="N145" s="180"/>
      <c r="O145" s="180"/>
      <c r="P145" s="180"/>
      <c r="Q145" s="180"/>
      <c r="R145" s="180"/>
      <c r="S145" s="180"/>
      <c r="T145" s="180"/>
      <c r="U145" s="180"/>
      <c r="V145" s="180"/>
      <c r="W145" s="180"/>
      <c r="X145" s="180"/>
      <c r="Y145" s="181"/>
      <c r="Z145" s="180"/>
      <c r="AA145" s="336"/>
      <c r="AB145" s="310"/>
      <c r="AC145" s="204"/>
      <c r="AD145" s="180"/>
      <c r="AE145" s="180"/>
      <c r="AF145" s="180"/>
      <c r="AG145" s="180"/>
      <c r="AH145" s="180"/>
      <c r="AI145" s="204"/>
    </row>
    <row r="146" spans="1:35">
      <c r="A146" s="180"/>
      <c r="B146" s="317"/>
      <c r="C146" s="310"/>
      <c r="D146" s="310"/>
      <c r="E146" s="320"/>
      <c r="F146" s="180"/>
      <c r="G146" s="180"/>
      <c r="H146" s="180"/>
      <c r="I146" s="180"/>
      <c r="J146" s="180"/>
      <c r="K146" s="180"/>
      <c r="L146" s="180"/>
      <c r="M146" s="180"/>
      <c r="N146" s="180"/>
      <c r="O146" s="180"/>
      <c r="P146" s="180"/>
      <c r="Q146" s="180"/>
      <c r="R146" s="180"/>
      <c r="S146" s="180"/>
      <c r="T146" s="180"/>
      <c r="U146" s="180"/>
      <c r="V146" s="180"/>
      <c r="W146" s="180"/>
      <c r="X146" s="180"/>
      <c r="Y146" s="181"/>
      <c r="Z146" s="180"/>
      <c r="AA146" s="336"/>
      <c r="AB146" s="310"/>
      <c r="AC146" s="204"/>
      <c r="AD146" s="180"/>
      <c r="AE146" s="180"/>
      <c r="AF146" s="180"/>
      <c r="AG146" s="180"/>
      <c r="AH146" s="180"/>
      <c r="AI146" s="204"/>
    </row>
  </sheetData>
  <sheetProtection sheet="1" objects="1" scenarios="1" sort="0" autoFilter="0"/>
  <autoFilter ref="A1:AH140" xr:uid="{15B9BEE8-EC0E-4160-A9E2-B6774B1E32DA}">
    <filterColumn colId="29">
      <filters>
        <filter val="Keith Wiseman"/>
        <filter val="Raghu Edalur"/>
      </filters>
    </filterColumn>
  </autoFilter>
  <conditionalFormatting sqref="B2:B500">
    <cfRule type="duplicateValues" dxfId="49" priority="157"/>
  </conditionalFormatting>
  <conditionalFormatting sqref="F80">
    <cfRule type="duplicateValues" dxfId="48" priority="40"/>
  </conditionalFormatting>
  <conditionalFormatting sqref="V80">
    <cfRule type="containsText" dxfId="47" priority="33" operator="containsText" text="NA">
      <formula>NOT(ISERROR(SEARCH("NA",V80)))</formula>
    </cfRule>
    <cfRule type="containsText" dxfId="46" priority="34" operator="containsText" text="No">
      <formula>NOT(ISERROR(SEARCH("No",V80)))</formula>
    </cfRule>
  </conditionalFormatting>
  <conditionalFormatting sqref="X1:X104 X106:X1048576">
    <cfRule type="beginsWith" dxfId="45" priority="27" operator="beginsWith" text="NA">
      <formula>LEFT(X1,LEN("NA"))="NA"</formula>
    </cfRule>
  </conditionalFormatting>
  <conditionalFormatting sqref="X1:X1048576 Z36:AA63 Z76:AA108 Z112:AA124">
    <cfRule type="containsText" dxfId="44" priority="2" operator="containsText" text="No">
      <formula>NOT(ISERROR(SEARCH("No",X1)))</formula>
    </cfRule>
  </conditionalFormatting>
  <conditionalFormatting sqref="Z2:AA33 Y125 Z126:AA1010">
    <cfRule type="containsText" dxfId="43" priority="12" operator="containsText" text="No">
      <formula>NOT(ISERROR(SEARCH("No",Y2)))</formula>
    </cfRule>
  </conditionalFormatting>
  <conditionalFormatting sqref="Z2:AA33">
    <cfRule type="containsText" dxfId="42" priority="1" operator="containsText" text="NA">
      <formula>NOT(ISERROR(SEARCH("NA",Z2)))</formula>
    </cfRule>
  </conditionalFormatting>
  <conditionalFormatting sqref="Z36:AA63 X105">
    <cfRule type="containsText" dxfId="41" priority="22" operator="containsText" text="NA">
      <formula>NOT(ISERROR(SEARCH("NA",X36)))</formula>
    </cfRule>
  </conditionalFormatting>
  <conditionalFormatting sqref="Z72:AA73">
    <cfRule type="containsText" dxfId="40" priority="37" operator="containsText" text="NA">
      <formula>NOT(ISERROR(SEARCH("NA",Z72)))</formula>
    </cfRule>
    <cfRule type="containsText" dxfId="39" priority="39" operator="containsText" text="No">
      <formula>NOT(ISERROR(SEARCH("No",Z72)))</formula>
    </cfRule>
  </conditionalFormatting>
  <conditionalFormatting sqref="Z76:AA76">
    <cfRule type="beginsWith" dxfId="38" priority="29" operator="beginsWith" text="NA">
      <formula>LEFT(Z76,LEN("NA"))="NA"</formula>
    </cfRule>
  </conditionalFormatting>
  <conditionalFormatting sqref="Z77:AA101 Z112:AA124 Y125 Z126:AA1010">
    <cfRule type="containsText" dxfId="37" priority="11" operator="containsText" text="NA">
      <formula>NOT(ISERROR(SEARCH("NA",Y77)))</formula>
    </cfRule>
  </conditionalFormatting>
  <conditionalFormatting sqref="Z102:AA104">
    <cfRule type="beginsWith" dxfId="36" priority="25" operator="beginsWith" text="NA">
      <formula>LEFT(Z102,LEN("NA"))="NA"</formula>
    </cfRule>
  </conditionalFormatting>
  <conditionalFormatting sqref="Z105:AA108">
    <cfRule type="containsText" dxfId="35" priority="16" operator="containsText" text="NA">
      <formula>NOT(ISERROR(SEARCH("NA",Z105)))</formula>
    </cfRule>
  </conditionalFormatting>
  <conditionalFormatting sqref="AB1:AC1048576">
    <cfRule type="cellIs" dxfId="34" priority="41" operator="equal">
      <formula>"Yes"</formula>
    </cfRule>
  </conditionalFormatting>
  <hyperlinks>
    <hyperlink ref="AH127" r:id="rId1" xr:uid="{CD382D55-2D9A-4ABE-BEA1-8F6CC80EFB11}"/>
    <hyperlink ref="AH126" r:id="rId2" xr:uid="{5010C13E-101D-4621-9148-7AC60C69F153}"/>
    <hyperlink ref="AG127" r:id="rId3" xr:uid="{088FF085-0CBA-4FED-93EB-B0951A2A9A73}"/>
    <hyperlink ref="AG126" r:id="rId4" xr:uid="{695A73CB-3E98-44AE-9345-3CEF2FBF8289}"/>
    <hyperlink ref="AH130" r:id="rId5" xr:uid="{A394EFA1-AF99-4B27-80F9-F89025D389CB}"/>
    <hyperlink ref="AG130" r:id="rId6" xr:uid="{C70508D9-6F8D-41A2-ABBB-D7B71B48FCFD}"/>
    <hyperlink ref="AH129" r:id="rId7" xr:uid="{C064B698-3C0C-40E2-9DFE-BE0B7E8172AC}"/>
    <hyperlink ref="AG129" r:id="rId8" xr:uid="{E243BBB5-1C80-45AE-B6A9-40368F0DE378}"/>
    <hyperlink ref="AH58" r:id="rId9" xr:uid="{47E89B06-1467-4890-A248-D38C2839C8ED}"/>
    <hyperlink ref="AH57" r:id="rId10" xr:uid="{C53482E1-EFEB-4824-A144-FEDC34CC1973}"/>
    <hyperlink ref="AH56" r:id="rId11" xr:uid="{867874D1-E793-49EF-9E5F-C8B84B9B4181}"/>
    <hyperlink ref="AG57" r:id="rId12" xr:uid="{91FA7BAD-46AC-4DFC-850C-EA854A69EBC7}"/>
    <hyperlink ref="AG56" r:id="rId13" xr:uid="{4C377A2A-46F7-4F08-BCDF-C5D0A8ED5ACD}"/>
    <hyperlink ref="AG58" r:id="rId14" xr:uid="{773BBFC5-3251-41EB-9FA8-AEA9CFDBBBE3}"/>
    <hyperlink ref="AH85" r:id="rId15" xr:uid="{921187B4-C192-4B0B-89AE-AA6784457070}"/>
    <hyperlink ref="AG86" r:id="rId16" xr:uid="{D0097053-6366-4271-94AB-6CEC16F94570}"/>
    <hyperlink ref="AH86" r:id="rId17" xr:uid="{78D8CE23-ADE3-4053-8D2D-54FA5AD8CA69}"/>
    <hyperlink ref="AG84" r:id="rId18" xr:uid="{19C24E79-8BE8-44F4-BDF6-1C90FEB83952}"/>
    <hyperlink ref="AH84" r:id="rId19" xr:uid="{E7C5A4FD-76FB-4E7F-B99C-D1200CD5E2CD}"/>
    <hyperlink ref="AG85" r:id="rId20" xr:uid="{25AFE2F9-75A3-4F76-8A10-FA4B52F9872D}"/>
    <hyperlink ref="AG83" r:id="rId21" xr:uid="{94268F4B-72E0-4F2D-91E8-96330DD74158}"/>
    <hyperlink ref="AG82" r:id="rId22" xr:uid="{A1888BFB-5460-40D2-8B50-022089681138}"/>
    <hyperlink ref="AG44" r:id="rId23" xr:uid="{4F1CC3C8-CF9A-430A-9726-B1E568DE0029}"/>
    <hyperlink ref="AH44" r:id="rId24" xr:uid="{1C4E61A4-8B1F-435F-B57D-B75557A0942E}"/>
    <hyperlink ref="AG45" r:id="rId25" xr:uid="{85A2E564-E08C-41FE-BE04-BA967D31979B}"/>
    <hyperlink ref="AH45" r:id="rId26" xr:uid="{4FBAB209-F6BE-44C3-BDC1-60AD275A01E6}"/>
    <hyperlink ref="AH46" r:id="rId27" xr:uid="{8942BD63-576F-4F6E-AFD9-C5961839B23D}"/>
    <hyperlink ref="AG46" r:id="rId28" xr:uid="{6D830C15-D719-488E-9FEB-E5B52BC6798F}"/>
    <hyperlink ref="AH40" r:id="rId29" xr:uid="{936225CB-1643-4CD5-BE33-F7EA91A8B089}"/>
    <hyperlink ref="AG40" r:id="rId30" xr:uid="{BFE9D54B-E593-439A-833C-301EA5A44970}"/>
    <hyperlink ref="AH41" r:id="rId31" xr:uid="{651C898F-D260-46D0-BA37-422F067AFF4F}"/>
    <hyperlink ref="AG41" r:id="rId32" xr:uid="{3C6D9F3A-DC54-43B8-A8F4-1A2546C13EF1}"/>
    <hyperlink ref="AH42" r:id="rId33" xr:uid="{1A4DB4D8-BE3B-4CEC-B592-8CA74DF2E781}"/>
    <hyperlink ref="AG42" r:id="rId34" xr:uid="{28EC4E4D-1272-452E-AB20-772BDDDFB874}"/>
    <hyperlink ref="AH43" r:id="rId35" xr:uid="{21144818-53DF-42BE-BF8E-7E4B97EDDC79}"/>
    <hyperlink ref="AG43" r:id="rId36" xr:uid="{684E7574-B0DA-4060-9EA5-0BE9A90D96C6}"/>
    <hyperlink ref="AG18" r:id="rId37" xr:uid="{140E2701-922B-4D4F-A143-B10F751E1E7D}"/>
    <hyperlink ref="AH18" r:id="rId38" xr:uid="{C59BC3AE-EB1D-4FD3-93CC-831BD0EB5A33}"/>
    <hyperlink ref="AH16" r:id="rId39" xr:uid="{D6CBB799-9598-4A03-8085-45E4F74418F1}"/>
    <hyperlink ref="AG16" r:id="rId40" xr:uid="{AD2A5C33-92A4-4C8C-85B4-963B8B9576CB}"/>
    <hyperlink ref="AH15" r:id="rId41" xr:uid="{319B0322-42AE-469E-A019-D4E216484EE4}"/>
    <hyperlink ref="AH17" r:id="rId42" xr:uid="{42FE8859-4349-42C7-ACD3-FEB10FAFB1AD}"/>
    <hyperlink ref="AG17" r:id="rId43" xr:uid="{5A494E14-D516-45FA-9F8B-68777DB4FB56}"/>
    <hyperlink ref="AG15" r:id="rId44" xr:uid="{79A3DEA8-1C1A-464F-A2B9-27A007F663A2}"/>
    <hyperlink ref="AH22" r:id="rId45" xr:uid="{6D0B328E-16B8-45F8-929D-74F7458C684A}"/>
    <hyperlink ref="AG22" r:id="rId46" xr:uid="{217BB373-2555-4BF7-A201-242A40390653}"/>
    <hyperlink ref="AG21" r:id="rId47" xr:uid="{018C40F7-5CA8-4871-BB4D-A31ECBFC9FB5}"/>
    <hyperlink ref="AH21" r:id="rId48" xr:uid="{1F75FAA9-AA1E-4C7E-B79D-6B499D6DC03B}"/>
    <hyperlink ref="AH20" r:id="rId49" xr:uid="{577CD2FA-0DC9-44CF-BEBA-3AA478CADF47}"/>
    <hyperlink ref="AG20" r:id="rId50" xr:uid="{E3581C1A-6901-44A1-9073-082A7DC4B3AA}"/>
    <hyperlink ref="AG23" r:id="rId51" xr:uid="{10E8ED1C-4E5E-452F-9A17-5F1FE171DC99}"/>
    <hyperlink ref="AH23" r:id="rId52" xr:uid="{4A0816A9-55F5-4F25-BF6E-0F5DC6259C50}"/>
    <hyperlink ref="AH59" r:id="rId53" xr:uid="{75A1B76E-5063-49A9-A34B-59917D69DEB6}"/>
    <hyperlink ref="AG59" r:id="rId54" xr:uid="{004B0A7D-06A9-4C76-BE00-068A281106A5}"/>
    <hyperlink ref="AG61" r:id="rId55" xr:uid="{C1C55044-B523-40E0-AF09-33A316623A35}"/>
    <hyperlink ref="AH61" r:id="rId56" xr:uid="{1437B626-6BBF-436D-AD32-7AFBB24CE054}"/>
    <hyperlink ref="AG4" r:id="rId57" xr:uid="{EA9CFD22-A0F0-4F0B-A604-B16D63833006}"/>
    <hyperlink ref="AH4" r:id="rId58" xr:uid="{0D542249-34DB-4BD8-95AC-ABF8D5601DE6}"/>
    <hyperlink ref="AG5" r:id="rId59" xr:uid="{6C3E9E3E-624B-4CFF-B323-3DBD0A8F262B}"/>
    <hyperlink ref="AH5" r:id="rId60" xr:uid="{7C2D1CA5-2B4F-4C13-B11F-B627E1158373}"/>
    <hyperlink ref="AG3" r:id="rId61" xr:uid="{0FD0BAB8-B93C-4BD3-B187-B067B06B78E6}"/>
    <hyperlink ref="AH3" r:id="rId62" xr:uid="{BD875735-262B-46D2-9793-D4A145E14205}"/>
    <hyperlink ref="AG6" r:id="rId63" xr:uid="{AACE9189-000D-4CAB-843B-7ADDF73799FF}"/>
    <hyperlink ref="AH6" r:id="rId64" xr:uid="{9DBFC325-7915-41DD-B43B-7034DA992A41}"/>
    <hyperlink ref="AG2" r:id="rId65" xr:uid="{119A3B3B-A11D-4DC9-AAA4-7844343749F8}"/>
    <hyperlink ref="AH2" r:id="rId66" xr:uid="{9112191C-3CA1-4597-97A4-5721D9AFD036}"/>
    <hyperlink ref="AG121" r:id="rId67" xr:uid="{0CF2459D-8309-404A-8A51-79D8FCF58809}"/>
    <hyperlink ref="AG122" r:id="rId68" xr:uid="{AB9BBFAA-0F81-443B-8699-415C2ED60FF6}"/>
    <hyperlink ref="AH122" r:id="rId69" xr:uid="{5A0DA33E-D815-4926-9DD0-41E7F2A6C422}"/>
    <hyperlink ref="AH121" r:id="rId70" xr:uid="{D3B578FF-9BFA-4110-896B-00C10BA17D8E}"/>
    <hyperlink ref="AG116" r:id="rId71" xr:uid="{FD877699-FEE9-4622-B99E-CFA261E75D02}"/>
    <hyperlink ref="AH116" r:id="rId72" xr:uid="{F5192B74-C64B-4819-A635-6B5B7332A8A5}"/>
    <hyperlink ref="AG115" r:id="rId73" xr:uid="{3A445E34-B571-4462-8602-D499779C2942}"/>
    <hyperlink ref="AH115" r:id="rId74" xr:uid="{09C3CCFB-F37F-4D7F-98C2-5595D82BA97C}"/>
    <hyperlink ref="AG120" r:id="rId75" xr:uid="{0463B5FC-6C0B-4A9F-8C42-1BFA8CC8FCD0}"/>
    <hyperlink ref="AH120" r:id="rId76" xr:uid="{E183547F-1B5D-4AE8-85E2-FBBF68E03181}"/>
    <hyperlink ref="AG119" r:id="rId77" xr:uid="{9AE76A40-EFBE-4018-ABA3-139942ED873E}"/>
    <hyperlink ref="AH119" r:id="rId78" xr:uid="{72166CEE-C439-41C0-96AE-28AC2495F27F}"/>
    <hyperlink ref="AG117" r:id="rId79" xr:uid="{721BD972-0986-4474-A817-239CD47AFED5}"/>
    <hyperlink ref="AH117" r:id="rId80" xr:uid="{D9BBF73D-3858-4AB3-B7EA-6A3A50EC535D}"/>
    <hyperlink ref="AG118" r:id="rId81" xr:uid="{98161536-D53E-472D-88ED-6E6DDF4D126A}"/>
    <hyperlink ref="AH118" r:id="rId82" xr:uid="{BB5A5FA7-1086-48E7-9A03-BB4C19A8FC86}"/>
    <hyperlink ref="AG114" r:id="rId83" xr:uid="{A38F7724-EAC0-4147-9B64-7AB32012EAEA}"/>
    <hyperlink ref="AH114" r:id="rId84" xr:uid="{D819BA03-8226-424A-98CB-024EBBFCF932}"/>
    <hyperlink ref="AG134" r:id="rId85" xr:uid="{DD9089DE-9B82-423B-8AAE-97CE474021F8}"/>
    <hyperlink ref="AH134" r:id="rId86" xr:uid="{C05F21A0-D897-4B72-BB75-9DB866D0A4DB}"/>
    <hyperlink ref="AG132" r:id="rId87" xr:uid="{8C357DDF-1848-49C5-9157-080C607829AF}"/>
    <hyperlink ref="AH132" r:id="rId88" xr:uid="{EF63FDC5-7804-41C7-805B-8774D31AE09D}"/>
    <hyperlink ref="AG131" r:id="rId89" xr:uid="{CF62C975-2C3F-4FBB-BF98-2A910B5403A6}"/>
    <hyperlink ref="AH131" r:id="rId90" xr:uid="{11CC3BB1-B4D3-4FE7-A379-EE9D0063A2D9}"/>
    <hyperlink ref="AG133" r:id="rId91" xr:uid="{7AA35E1F-B243-4445-ACFF-001A73D6F9A1}"/>
    <hyperlink ref="AH133" r:id="rId92" xr:uid="{41113BFC-9229-4190-AE32-4147B400E41F}"/>
    <hyperlink ref="AG135" r:id="rId93" xr:uid="{E77CD5F6-BC7A-4F71-9C44-712A2FC28340}"/>
    <hyperlink ref="AH135" r:id="rId94" xr:uid="{F9D5147A-05DF-4B28-A173-0F5F7FC8CEE8}"/>
    <hyperlink ref="AG136" r:id="rId95" xr:uid="{F1F312F2-C3F9-4893-AE0B-A77DF67A2F67}"/>
    <hyperlink ref="AH136" r:id="rId96" xr:uid="{A9AEACA2-587F-4317-838E-8FA7F5C94BC9}"/>
    <hyperlink ref="AH51" r:id="rId97" xr:uid="{245E04DF-C09C-460D-86E0-9FF6CD7DD55E}"/>
    <hyperlink ref="AH47" r:id="rId98" xr:uid="{11AC9378-AB3F-4AA1-8D64-AC26FAA9C3AE}"/>
    <hyperlink ref="AH50" r:id="rId99" xr:uid="{6746DDAE-3A39-4481-98B5-CF2EA48F2A64}"/>
    <hyperlink ref="AH53" r:id="rId100" xr:uid="{8893F4C2-FBB8-40B8-8875-27B087B03459}"/>
    <hyperlink ref="AH52" r:id="rId101" xr:uid="{1D203FC1-36A6-4427-8C64-3BA37F1EDD10}"/>
    <hyperlink ref="AG52" r:id="rId102" xr:uid="{B3F6B66B-F8FC-459D-8D83-8C8780E57784}"/>
    <hyperlink ref="AG53" r:id="rId103" xr:uid="{99E3EF3D-0507-47EE-8D0E-D8283F798543}"/>
    <hyperlink ref="AG50" r:id="rId104" xr:uid="{11EE9544-5811-4589-AE2E-B5FD6A6931AC}"/>
    <hyperlink ref="AG51" r:id="rId105" xr:uid="{98BA935B-6BCA-45FA-9F09-0EE6596081F3}"/>
    <hyperlink ref="AG47" r:id="rId106" xr:uid="{C736F745-2B0B-4A2B-9124-B94047A46934}"/>
    <hyperlink ref="AH82" r:id="rId107" xr:uid="{5DC9657A-908A-4878-8F6D-EF114D9A3B16}"/>
    <hyperlink ref="AH83" r:id="rId108" xr:uid="{6387A5A9-5A45-4CE7-BBEF-CFFA09876552}"/>
    <hyperlink ref="AH87" r:id="rId109" xr:uid="{7160CCFD-7F47-45F1-8FA0-0513138422F8}"/>
    <hyperlink ref="AG87" r:id="rId110" xr:uid="{41FB08A7-1AF9-4076-B5A9-5717AF47A7B3}"/>
    <hyperlink ref="AG128" r:id="rId111" xr:uid="{B8FE7615-0AA5-415A-819D-B2985B0E1FA6}"/>
    <hyperlink ref="AH128" r:id="rId112" xr:uid="{E3BB4CD2-6946-4D24-9553-00660716D85D}"/>
    <hyperlink ref="AG125" r:id="rId113" xr:uid="{56DFA48D-AA3E-4835-9D72-96D62ED16C47}"/>
    <hyperlink ref="AH125" r:id="rId114" xr:uid="{D33E8F75-207F-4246-B375-E24992DC16BF}"/>
    <hyperlink ref="AG34" r:id="rId115" xr:uid="{B1F3840E-ADCC-41B7-BA45-3760D46FEFC6}"/>
    <hyperlink ref="AH34" r:id="rId116" xr:uid="{6B8E5A88-A14D-4850-9263-AFF29FA0EBB7}"/>
    <hyperlink ref="AG33" r:id="rId117" xr:uid="{A2A30473-2046-4F91-BC3F-A3AA507567B7}"/>
    <hyperlink ref="AH33" r:id="rId118" xr:uid="{205A8A5E-AA12-4CC4-A1FC-A1C2C6710DD0}"/>
    <hyperlink ref="AG36" r:id="rId119" xr:uid="{EFA5B672-A1C0-4F61-B810-FE97E5104B90}"/>
    <hyperlink ref="AH36" r:id="rId120" xr:uid="{7A3F0CDD-1EFE-430A-ACE6-F0070D2A421F}"/>
    <hyperlink ref="AG39" r:id="rId121" xr:uid="{52DBCEEB-36ED-48E4-93E2-D2CBF3D7DDC6}"/>
    <hyperlink ref="AH39" r:id="rId122" xr:uid="{42455BED-41A6-4369-8492-15FA3D5F073D}"/>
    <hyperlink ref="AG38" r:id="rId123" xr:uid="{97B6758D-962D-4D4C-A82F-B97EA608DED8}"/>
    <hyperlink ref="AH38" r:id="rId124" xr:uid="{D7B709FB-623E-4614-9A77-E7F1653B64CD}"/>
    <hyperlink ref="AG35" r:id="rId125" xr:uid="{0C47755D-B888-4044-892E-EA10DB43B58B}"/>
    <hyperlink ref="AH35" r:id="rId126" xr:uid="{C330CDDE-318C-4604-867A-333171199934}"/>
    <hyperlink ref="AG37" r:id="rId127" xr:uid="{9A7246B3-A092-4CF9-A3C2-2190AFFC1954}"/>
    <hyperlink ref="AH37" r:id="rId128" xr:uid="{35D481F0-23DC-4F48-87DC-9F0C87A84835}"/>
    <hyperlink ref="AG95" r:id="rId129" xr:uid="{BCF05CA5-7ED0-41A3-A785-4380046CE2B6}"/>
    <hyperlink ref="AH95" r:id="rId130" xr:uid="{9BC9EE2E-869E-4EC3-AF4A-1ADA9E3A7CF7}"/>
    <hyperlink ref="AG90" r:id="rId131" xr:uid="{FEF591FC-9107-4220-AA5C-500BA71AFB23}"/>
    <hyperlink ref="AH90" r:id="rId132" xr:uid="{303E0AE9-227D-44D4-A7E1-2183107C462D}"/>
    <hyperlink ref="AG93" r:id="rId133" xr:uid="{C205635A-539E-4EB3-BB66-55B54ADD0394}"/>
    <hyperlink ref="AH93" r:id="rId134" xr:uid="{F52E487E-6A44-46BB-A5AF-0EC32E6811F0}"/>
    <hyperlink ref="AG89" r:id="rId135" xr:uid="{BF2ECF6B-3320-4DD9-B32E-7E8C662807A2}"/>
    <hyperlink ref="AH89" r:id="rId136" xr:uid="{FB6DDE36-E711-430C-A464-7720FB7C1ED0}"/>
    <hyperlink ref="AG98" r:id="rId137" xr:uid="{17E76887-E619-412A-A5EC-B7628D12495B}"/>
    <hyperlink ref="AH98" r:id="rId138" xr:uid="{0E2E54EF-7F09-468E-9454-D9F1F9C4BD39}"/>
    <hyperlink ref="AG96" r:id="rId139" xr:uid="{6C458E5C-9607-45BD-BD9A-41E0A75C2FAC}"/>
    <hyperlink ref="AH96" r:id="rId140" xr:uid="{00ED8E41-595D-4E29-BE86-75F9F7B21D98}"/>
    <hyperlink ref="AG99" r:id="rId141" xr:uid="{A6D40E53-3AD7-4A9F-9222-B4FEB8E67A23}"/>
    <hyperlink ref="AH99" r:id="rId142" xr:uid="{2626F16D-6A9D-49B6-B34E-45C5633A70BD}"/>
    <hyperlink ref="AG97" r:id="rId143" xr:uid="{BCC9929B-B706-41F0-A3B6-8A4E1ECD28E4}"/>
    <hyperlink ref="AH97" r:id="rId144" xr:uid="{716CF9AA-8D06-417D-B461-253863205797}"/>
    <hyperlink ref="AG91" r:id="rId145" xr:uid="{B83B5A5C-4A77-4887-A883-D3BB34CF8934}"/>
    <hyperlink ref="AH91" r:id="rId146" xr:uid="{436AAA2D-75FB-422C-817D-A954B72F4959}"/>
    <hyperlink ref="AG94" r:id="rId147" xr:uid="{A4D5812F-A17C-4857-928D-B35C0F6E964D}"/>
    <hyperlink ref="AH94" r:id="rId148" xr:uid="{4223BA2C-165C-4871-BE19-C1D334A9705B}"/>
    <hyperlink ref="AG92" r:id="rId149" xr:uid="{8AB72B93-DFE2-461C-96C9-056590AA6585}"/>
    <hyperlink ref="AH92" r:id="rId150" xr:uid="{A9D54747-A40E-4928-8BB0-614F87982F12}"/>
    <hyperlink ref="AG140" r:id="rId151" xr:uid="{59FC18DE-03D6-4D43-9767-C356C2DBC68E}"/>
    <hyperlink ref="AH140" r:id="rId152" xr:uid="{56BD677E-328F-49A4-B311-9F59E9F11EC5}"/>
    <hyperlink ref="AG105" r:id="rId153" xr:uid="{1C6AC525-4794-461B-8DA9-D3DFC4DD2697}"/>
    <hyperlink ref="AH105" r:id="rId154" xr:uid="{47FC5835-5487-4E3F-9211-26901CAC0C11}"/>
    <hyperlink ref="AG108" r:id="rId155" xr:uid="{44A6FF87-EDC4-4046-981F-B33AE10DD31D}"/>
    <hyperlink ref="AH108" r:id="rId156" xr:uid="{15271BDF-2DA7-43F8-9202-8192444CAD90}"/>
    <hyperlink ref="AG103" r:id="rId157" xr:uid="{A1165384-E47E-4E4B-9016-5314ADCD39EB}"/>
    <hyperlink ref="AH103" r:id="rId158" xr:uid="{823865A6-95C7-4B5E-9D91-C772C8CBA19B}"/>
    <hyperlink ref="AG123" r:id="rId159" xr:uid="{49DC7909-DB35-4F3F-A6BB-1511A3D82D0C}"/>
    <hyperlink ref="AH123" r:id="rId160" xr:uid="{ABDEA728-20BA-4C66-A2B9-953428870095}"/>
    <hyperlink ref="AG124" r:id="rId161" xr:uid="{4770A1C2-A7E8-488B-8638-106A28D92EED}"/>
    <hyperlink ref="AH124" r:id="rId162" xr:uid="{43EF5114-5407-492E-889E-A0CA5A743D9F}"/>
    <hyperlink ref="AG26" r:id="rId163" xr:uid="{C50F6D61-6396-4D1A-92E6-992F21CE2EB7}"/>
    <hyperlink ref="AH26" r:id="rId164" xr:uid="{6329C441-B62E-4D42-B815-35FD33A537EB}"/>
    <hyperlink ref="AG27" r:id="rId165" xr:uid="{462FCBA4-5D16-45C2-9E28-8F09B18DE0F3}"/>
    <hyperlink ref="AH27" r:id="rId166" xr:uid="{CB342CC3-A652-44D9-90BC-5B0C3E58FC3F}"/>
    <hyperlink ref="AG137" r:id="rId167" xr:uid="{36C98BE5-B18F-494B-BCDF-7C0D605317D4}"/>
    <hyperlink ref="AH137" r:id="rId168" xr:uid="{F8C705B3-EE54-4A29-9951-0292D3B7F1C0}"/>
    <hyperlink ref="AH138" r:id="rId169" xr:uid="{22296DEE-11D0-4E05-B82D-9C0A7F570C97}"/>
    <hyperlink ref="AG138" r:id="rId170" xr:uid="{12ADABDC-A2A0-44D0-8DBB-8AFBE40B03BC}"/>
    <hyperlink ref="AG32" r:id="rId171" xr:uid="{5DA5220E-9112-4D37-B3D9-74351585084A}"/>
    <hyperlink ref="AH32" r:id="rId172" xr:uid="{E7B3A0A9-F73C-4796-AFAD-B0EB162D905F}"/>
    <hyperlink ref="AG29" r:id="rId173" xr:uid="{E7CFACC1-9B8A-40E4-8CC3-BCEACE988748}"/>
    <hyperlink ref="AH29" r:id="rId174" xr:uid="{D1BEA126-4797-47A1-B61D-8645F10D61C5}"/>
    <hyperlink ref="AG31" r:id="rId175" xr:uid="{C2CB97C3-EAF5-4FAA-A3F1-0BA44520DA0E}"/>
    <hyperlink ref="AH31" r:id="rId176" xr:uid="{8FE57CD2-6128-4D6D-8861-AED8829E6E57}"/>
    <hyperlink ref="AG30" r:id="rId177" xr:uid="{D05CB99E-4828-4CD4-AB42-0CF25E54ADED}"/>
    <hyperlink ref="AH30" r:id="rId178" xr:uid="{0E7EECCC-F95E-4FB6-92CC-926B21C28336}"/>
    <hyperlink ref="AG19" r:id="rId179" xr:uid="{44A28AC3-5C97-4C7A-88CC-492B6CE1AA68}"/>
    <hyperlink ref="AH19" r:id="rId180" xr:uid="{6294A7FF-995F-4BC6-BC5D-06A90E240F55}"/>
    <hyperlink ref="AG11" r:id="rId181" xr:uid="{4558B949-B2D6-4319-92B9-24F8FBAF34C5}"/>
    <hyperlink ref="AG10" r:id="rId182" xr:uid="{AD2E4E71-5E5D-46D9-91D7-AD9B77C47397}"/>
    <hyperlink ref="AG9" r:id="rId183" xr:uid="{E2D0EE7E-4760-43ED-930C-5D22C07058FF}"/>
    <hyperlink ref="AH11" r:id="rId184" xr:uid="{4654386E-1105-4854-A4D1-C980188CCA3B}"/>
    <hyperlink ref="AH10" r:id="rId185" xr:uid="{C617B442-583B-4AD8-83C2-50F42DEC5EDC}"/>
    <hyperlink ref="AH9" r:id="rId186" xr:uid="{D0067CC1-A621-47B3-9C60-F75531FAE347}"/>
    <hyperlink ref="W103" r:id="rId187" display="Shivakumar Kinagi" xr:uid="{3BB0D498-BADD-4C84-B780-ED814410B3EA}"/>
    <hyperlink ref="AG104" r:id="rId188" xr:uid="{95C589ED-0648-4336-9C71-32274810A34E}"/>
    <hyperlink ref="AH104" r:id="rId189" xr:uid="{984494F2-BC89-43D9-BAEE-4EF33A9E1151}"/>
    <hyperlink ref="AG101" r:id="rId190" xr:uid="{006145F3-DD39-418C-97A5-02194D3E0BFC}"/>
    <hyperlink ref="AH101" r:id="rId191" xr:uid="{7183C3BA-FAB0-495C-8C4E-3AC9894D67BB}"/>
    <hyperlink ref="AG102" r:id="rId192" xr:uid="{B3AD7CC0-0A06-451F-AB85-A353C16BBD9D}"/>
    <hyperlink ref="AH102" r:id="rId193" xr:uid="{EEFA07AC-6E94-42F2-98D8-D1CA6D31B264}"/>
    <hyperlink ref="W104" r:id="rId194" xr:uid="{6F93B273-4C91-4AD9-9F0F-048F0AD7A120}"/>
    <hyperlink ref="W101" r:id="rId195" xr:uid="{26AE2416-58AB-4CC2-A5CB-0D3F8B1B3C27}"/>
    <hyperlink ref="W102" r:id="rId196" xr:uid="{2D57FD32-AF43-491E-9082-65748AE49941}"/>
    <hyperlink ref="AG49" r:id="rId197" xr:uid="{8606B891-0462-4247-BAFA-0C73634C7630}"/>
    <hyperlink ref="AH49" r:id="rId198" xr:uid="{48D06519-4530-449B-AA0B-4C451412A0FD}"/>
    <hyperlink ref="AG77" r:id="rId199" xr:uid="{CA9D7693-CBF5-4929-9D8D-D17645BD446B}"/>
    <hyperlink ref="AG78" r:id="rId200" xr:uid="{96444148-2BEA-4383-918B-1458A51AF00C}"/>
    <hyperlink ref="AG75" r:id="rId201" xr:uid="{BDA47DE5-A8FE-4560-AFC6-74CED94F442E}"/>
    <hyperlink ref="AG76" r:id="rId202" xr:uid="{E478FA0D-78AE-4884-871A-5BC6A4501665}"/>
    <hyperlink ref="AG81" r:id="rId203" xr:uid="{5482DC2C-C446-490C-99D1-3C91B5A39D76}"/>
    <hyperlink ref="AG60" r:id="rId204" xr:uid="{B34A522E-D597-482B-AD73-12DF870E64B7}"/>
    <hyperlink ref="AG80" r:id="rId205" xr:uid="{3FA3C529-4427-4CB6-8A67-38C074C00026}"/>
    <hyperlink ref="AH80" r:id="rId206" xr:uid="{F3B86EFF-329E-4D9F-915C-506D9E180031}"/>
    <hyperlink ref="AG48" r:id="rId207" xr:uid="{16E0934F-3C35-4B68-90D6-01BFE2503D26}"/>
    <hyperlink ref="AH48" r:id="rId208" xr:uid="{A66AFF06-3178-420F-97E8-E83AA34C8F8F}"/>
    <hyperlink ref="AG88" r:id="rId209" xr:uid="{FA51E2AC-BDD0-43D8-BB41-88A969582269}"/>
    <hyperlink ref="AH88" r:id="rId210" xr:uid="{C4CE018C-9232-4132-B881-18E165202489}"/>
    <hyperlink ref="AH107" r:id="rId211" xr:uid="{7EFC9D83-79CD-45A0-B6F6-A4FFBC079FDE}"/>
    <hyperlink ref="AG107" r:id="rId212" xr:uid="{F28A41CD-570C-4A49-8D28-9207D7144C71}"/>
    <hyperlink ref="AG109" r:id="rId213" xr:uid="{E1337C32-C10A-4C12-BB2F-3D24622331B9}"/>
    <hyperlink ref="AH109" r:id="rId214" xr:uid="{841EF354-604D-4B9D-8281-383556AA183D}"/>
    <hyperlink ref="AG28" r:id="rId215" xr:uid="{D0437EB7-7706-4D07-8BA5-3BBD38144E3D}"/>
    <hyperlink ref="AH28" r:id="rId216" xr:uid="{09053DF6-CDC9-4571-B9D6-0FBEB34B2C90}"/>
  </hyperlink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230" id="{FF78EFB2-2681-4BA1-A3C2-1E3F14D59649}">
            <xm:f>COUNTIF(Capacity!$M$2:$M$505, B2)=0</xm:f>
            <x14:dxf>
              <font>
                <color rgb="FF9C5700"/>
              </font>
              <fill>
                <patternFill>
                  <bgColor rgb="FFFFEB9C"/>
                </patternFill>
              </fill>
            </x14:dxf>
          </x14:cfRule>
          <xm:sqref>B2:B134 B139:B144 B146:B1007 F54:F55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83983-C697-446D-B0E8-59DAEA8C05A5}">
  <sheetPr>
    <tabColor rgb="FFDEB3FF"/>
  </sheetPr>
  <dimension ref="A1:LD175"/>
  <sheetViews>
    <sheetView workbookViewId="0">
      <pane ySplit="1" topLeftCell="A2" activePane="bottomLeft" state="frozen"/>
      <selection pane="bottomLeft" activeCell="I9" sqref="I9"/>
    </sheetView>
  </sheetViews>
  <sheetFormatPr defaultColWidth="9.140625" defaultRowHeight="15"/>
  <cols>
    <col min="1" max="1" width="18.42578125" style="25" customWidth="1"/>
    <col min="2" max="2" width="16.85546875" style="7" customWidth="1"/>
    <col min="3" max="3" width="9.140625" style="25"/>
    <col min="4" max="4" width="11.28515625" style="94" customWidth="1"/>
    <col min="5" max="6" width="9.140625" style="25"/>
    <col min="7" max="7" width="16.140625" style="25" customWidth="1"/>
    <col min="8" max="8" width="18" style="25" customWidth="1"/>
    <col min="9" max="9" width="11" style="25" customWidth="1"/>
    <col min="10" max="10" width="9.140625" style="25"/>
    <col min="11" max="11" width="16.42578125" style="25" customWidth="1"/>
    <col min="12" max="12" width="11.7109375" style="25" customWidth="1"/>
    <col min="13" max="13" width="9.140625" style="25"/>
    <col min="14" max="14" width="15.42578125" style="25" customWidth="1"/>
    <col min="15" max="15" width="12.5703125" style="7" customWidth="1"/>
    <col min="16" max="19" width="9.140625" style="25"/>
    <col min="20" max="20" width="18" style="94" customWidth="1"/>
    <col min="21" max="21" width="11" style="7" customWidth="1"/>
    <col min="22" max="16384" width="9.140625" style="25"/>
  </cols>
  <sheetData>
    <row r="1" spans="1:316" s="5" customFormat="1" ht="54.75">
      <c r="A1" s="92" t="s">
        <v>960</v>
      </c>
      <c r="B1" s="92" t="s">
        <v>216</v>
      </c>
      <c r="C1" s="93" t="s">
        <v>1649</v>
      </c>
      <c r="D1" s="143" t="s">
        <v>1650</v>
      </c>
      <c r="G1" s="133" t="s">
        <v>3</v>
      </c>
      <c r="H1" s="139" t="s">
        <v>935</v>
      </c>
      <c r="I1" s="141" t="s">
        <v>1650</v>
      </c>
      <c r="K1" s="92" t="s">
        <v>3</v>
      </c>
      <c r="L1" s="143" t="s">
        <v>1650</v>
      </c>
      <c r="N1" s="152" t="s">
        <v>3</v>
      </c>
      <c r="O1" s="55" t="s">
        <v>1651</v>
      </c>
      <c r="Q1" s="54" t="s">
        <v>916</v>
      </c>
      <c r="R1" s="55" t="s">
        <v>1652</v>
      </c>
      <c r="T1" s="154" t="s">
        <v>215</v>
      </c>
      <c r="U1" t="s">
        <v>1653</v>
      </c>
      <c r="V1"/>
    </row>
    <row r="2" spans="1:316">
      <c r="A2" s="27" t="s">
        <v>9</v>
      </c>
      <c r="B2" s="27" t="s">
        <v>11</v>
      </c>
      <c r="C2" s="78">
        <v>3</v>
      </c>
      <c r="D2" s="83">
        <v>0.90476190476190477</v>
      </c>
      <c r="G2" s="25" t="s">
        <v>49</v>
      </c>
      <c r="H2" s="25" t="s">
        <v>387</v>
      </c>
      <c r="I2" s="142">
        <v>0.8571428571428571</v>
      </c>
      <c r="K2" s="27" t="s">
        <v>49</v>
      </c>
      <c r="L2" s="83">
        <v>0.8571428571428571</v>
      </c>
      <c r="N2" s="27" t="s">
        <v>49</v>
      </c>
      <c r="O2" s="151" t="str" cm="1">
        <f t="array" ref="O2">IF(COUNTIF('Scrum Teams'!A:A, N2)=0,
    "No",
    IF(SUMPRODUCT(('Scrum Teams'!A:A=N2)*('Scrum Teams'!B:B&lt;&gt;""))&gt;0,
        "Yes",
        "No"
    )
)</f>
        <v>Yes</v>
      </c>
      <c r="Q2" s="27" t="s">
        <v>1654</v>
      </c>
      <c r="R2" s="78"/>
      <c r="T2"/>
      <c r="U2"/>
      <c r="V2"/>
    </row>
    <row r="3" spans="1:316">
      <c r="A3" s="27"/>
      <c r="B3" s="27" t="s">
        <v>274</v>
      </c>
      <c r="C3" s="78">
        <v>7</v>
      </c>
      <c r="D3" s="83">
        <v>0.87755102040816324</v>
      </c>
      <c r="H3" s="25" t="s">
        <v>964</v>
      </c>
      <c r="I3" s="142">
        <v>0.8571428571428571</v>
      </c>
      <c r="K3" s="27" t="s">
        <v>32</v>
      </c>
      <c r="L3" s="83">
        <v>0.7857142857142857</v>
      </c>
      <c r="N3" s="27" t="s">
        <v>62</v>
      </c>
      <c r="O3" s="151" t="str" cm="1">
        <f t="array" ref="O3">IF(COUNTIF('Scrum Teams'!A:A, N3)=0,
    "No",
    IF(SUMPRODUCT(('Scrum Teams'!A:A=N3)*('Scrum Teams'!B:B&lt;&gt;""))&gt;0,
        "Yes",
        "No"
    )
)</f>
        <v>Yes</v>
      </c>
      <c r="Q3" s="27" t="s">
        <v>110</v>
      </c>
      <c r="R3" s="78">
        <v>26</v>
      </c>
      <c r="T3" s="149" t="s">
        <v>4</v>
      </c>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row>
    <row r="4" spans="1:316">
      <c r="A4" s="27"/>
      <c r="B4" s="27" t="s">
        <v>623</v>
      </c>
      <c r="C4" s="78">
        <v>9</v>
      </c>
      <c r="D4" s="83">
        <v>0.79365079365079361</v>
      </c>
      <c r="H4" s="25" t="s">
        <v>973</v>
      </c>
      <c r="I4" s="142">
        <v>0.8571428571428571</v>
      </c>
      <c r="K4" s="27" t="s">
        <v>62</v>
      </c>
      <c r="L4" s="83">
        <v>1</v>
      </c>
      <c r="N4" s="27" t="s">
        <v>90</v>
      </c>
      <c r="O4" s="151" t="str" cm="1">
        <f t="array" ref="O4">IF(COUNTIF('Scrum Teams'!A:A, N4)=0,
    "No",
    IF(SUMPRODUCT(('Scrum Teams'!A:A=N4)*('Scrum Teams'!B:B&lt;&gt;""))&gt;0,
        "Yes",
        "No"
    )
)</f>
        <v>Yes</v>
      </c>
      <c r="Q4" s="27" t="s">
        <v>107</v>
      </c>
      <c r="R4" s="91">
        <v>20</v>
      </c>
      <c r="T4" s="271">
        <v>83</v>
      </c>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row>
    <row r="5" spans="1:316">
      <c r="A5" s="27"/>
      <c r="B5" s="27" t="s">
        <v>297</v>
      </c>
      <c r="C5" s="78">
        <v>1</v>
      </c>
      <c r="D5" s="83">
        <v>0.8571428571428571</v>
      </c>
      <c r="H5" s="25" t="s">
        <v>980</v>
      </c>
      <c r="I5" s="142">
        <v>0.8571428571428571</v>
      </c>
      <c r="K5" s="27" t="s">
        <v>90</v>
      </c>
      <c r="L5" s="83">
        <v>1</v>
      </c>
      <c r="N5" s="27" t="s">
        <v>67</v>
      </c>
      <c r="O5" s="151" t="str" cm="1">
        <f t="array" ref="O5">IF(COUNTIF('Scrum Teams'!A:A, N5)=0,
    "No",
    IF(SUMPRODUCT(('Scrum Teams'!A:A=N5)*('Scrum Teams'!B:B&lt;&gt;""))&gt;0,
        "Yes",
        "No"
    )
)</f>
        <v>Yes</v>
      </c>
      <c r="Q5" s="27" t="s">
        <v>1655</v>
      </c>
      <c r="R5" s="78">
        <v>24</v>
      </c>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row>
    <row r="6" spans="1:316">
      <c r="A6" s="337" t="s">
        <v>1656</v>
      </c>
      <c r="B6" s="337"/>
      <c r="C6" s="338">
        <v>20</v>
      </c>
      <c r="D6" s="339">
        <v>0.84285714285714275</v>
      </c>
      <c r="H6" s="25" t="s">
        <v>988</v>
      </c>
      <c r="I6" s="142">
        <v>0.8571428571428571</v>
      </c>
      <c r="K6" s="27" t="s">
        <v>67</v>
      </c>
      <c r="L6" s="83">
        <v>0.38095238095238093</v>
      </c>
      <c r="N6" s="27" t="s">
        <v>68</v>
      </c>
      <c r="O6" s="151" t="str" cm="1">
        <f t="array" ref="O6">IF(COUNTIF('Scrum Teams'!A:A, N6)=0,
    "No",
    IF(SUMPRODUCT(('Scrum Teams'!A:A=N6)*('Scrum Teams'!B:B&lt;&gt;""))&gt;0,
        "Yes",
        "No"
    )
)</f>
        <v>Yes</v>
      </c>
      <c r="Q6" s="27" t="s">
        <v>1657</v>
      </c>
      <c r="R6" s="78">
        <v>26</v>
      </c>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row>
    <row r="7" spans="1:316">
      <c r="A7" s="27" t="s">
        <v>23</v>
      </c>
      <c r="B7" s="27" t="s">
        <v>480</v>
      </c>
      <c r="C7" s="78">
        <v>12</v>
      </c>
      <c r="D7" s="83">
        <v>0.84523809523809523</v>
      </c>
      <c r="H7" s="25" t="s">
        <v>993</v>
      </c>
      <c r="I7" s="142">
        <v>0.8571428571428571</v>
      </c>
      <c r="K7" s="27" t="s">
        <v>68</v>
      </c>
      <c r="L7" s="83">
        <v>0.5714285714285714</v>
      </c>
      <c r="N7" s="27" t="s">
        <v>57</v>
      </c>
      <c r="O7" s="151" t="str" cm="1">
        <f t="array" ref="O7">IF(COUNTIF('Scrum Teams'!A:A, N7)=0,
    "No",
    IF(SUMPRODUCT(('Scrum Teams'!A:A=N7)*('Scrum Teams'!B:B&lt;&gt;""))&gt;0,
        "Yes",
        "No"
    )
)</f>
        <v>Yes</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row>
    <row r="8" spans="1:316">
      <c r="A8" s="27"/>
      <c r="B8" s="27" t="s">
        <v>697</v>
      </c>
      <c r="C8" s="78">
        <v>2</v>
      </c>
      <c r="D8" s="83">
        <v>0.42857142857142855</v>
      </c>
      <c r="G8" s="340" t="s">
        <v>1658</v>
      </c>
      <c r="H8" s="340"/>
      <c r="I8" s="341">
        <v>0.8571428571428571</v>
      </c>
      <c r="K8" s="27" t="s">
        <v>33</v>
      </c>
      <c r="L8" s="83">
        <v>0.14285714285714285</v>
      </c>
      <c r="N8" s="27" t="s">
        <v>11</v>
      </c>
      <c r="O8" s="151" t="str" cm="1">
        <f t="array" ref="O8">IF(COUNTIF('Scrum Teams'!A:A, N8)=0,
    "No",
    IF(SUMPRODUCT(('Scrum Teams'!A:A=N8)*('Scrum Teams'!B:B&lt;&gt;""))&gt;0,
        "Yes",
        "No"
    )
)</f>
        <v>Yes</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row>
    <row r="9" spans="1:316">
      <c r="A9" s="27"/>
      <c r="B9" s="27" t="s">
        <v>874</v>
      </c>
      <c r="C9" s="78">
        <v>1</v>
      </c>
      <c r="D9" s="83">
        <v>1</v>
      </c>
      <c r="G9" s="25" t="s">
        <v>32</v>
      </c>
      <c r="H9" s="25" t="s">
        <v>1003</v>
      </c>
      <c r="I9" s="142">
        <v>0.7142857142857143</v>
      </c>
      <c r="K9" s="27" t="s">
        <v>57</v>
      </c>
      <c r="L9" s="83">
        <v>1</v>
      </c>
      <c r="N9" s="27" t="s">
        <v>63</v>
      </c>
      <c r="O9" s="151" t="str" cm="1">
        <f t="array" ref="O9">IF(COUNTIF('Scrum Teams'!A:A, N9)=0,
    "No",
    IF(SUMPRODUCT(('Scrum Teams'!A:A=N9)*('Scrum Teams'!B:B&lt;&gt;""))&gt;0,
        "Yes",
        "No"
    )
)</f>
        <v>Yes</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row>
    <row r="10" spans="1:316">
      <c r="A10" s="337" t="s">
        <v>1659</v>
      </c>
      <c r="B10" s="337"/>
      <c r="C10" s="338">
        <v>15</v>
      </c>
      <c r="D10" s="339">
        <v>0.8</v>
      </c>
      <c r="H10" s="25" t="s">
        <v>1006</v>
      </c>
      <c r="I10" s="142">
        <v>0.8571428571428571</v>
      </c>
      <c r="K10" s="27" t="s">
        <v>11</v>
      </c>
      <c r="L10" s="83">
        <v>0.90476190476190477</v>
      </c>
      <c r="N10" s="27" t="s">
        <v>61</v>
      </c>
      <c r="O10" s="151" t="str" cm="1">
        <f t="array" ref="O10">IF(COUNTIF('Scrum Teams'!A:A, N10)=0,
    "No",
    IF(SUMPRODUCT(('Scrum Teams'!A:A=N10)*('Scrum Teams'!B:B&lt;&gt;""))&gt;0,
        "Yes",
        "No"
    )
)</f>
        <v>Yes</v>
      </c>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row>
    <row r="11" spans="1:316">
      <c r="A11" s="27" t="s">
        <v>30</v>
      </c>
      <c r="B11" s="27" t="s">
        <v>880</v>
      </c>
      <c r="C11" s="78">
        <v>4</v>
      </c>
      <c r="D11" s="83">
        <v>0.7857142857142857</v>
      </c>
      <c r="H11" s="25" t="s">
        <v>1011</v>
      </c>
      <c r="I11" s="142">
        <v>0.8571428571428571</v>
      </c>
      <c r="K11" s="27" t="s">
        <v>63</v>
      </c>
      <c r="L11" s="83">
        <v>1</v>
      </c>
      <c r="N11" s="153" t="s">
        <v>50</v>
      </c>
      <c r="O11" s="78" t="str" cm="1">
        <f t="array" ref="O11">IF(COUNTIF('Scrum Teams'!A:A, N11)=0,
    "No",
    IF(SUMPRODUCT(('Scrum Teams'!A:A=N11)*('Scrum Teams'!B:B&lt;&gt;""))&gt;0,
        "Yes",
        "No"
    )
)</f>
        <v>Yes</v>
      </c>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row>
    <row r="12" spans="1:316">
      <c r="A12" s="27"/>
      <c r="B12" s="27" t="s">
        <v>591</v>
      </c>
      <c r="C12" s="78">
        <v>5</v>
      </c>
      <c r="D12" s="83">
        <v>1</v>
      </c>
      <c r="H12" s="25" t="s">
        <v>1014</v>
      </c>
      <c r="I12" s="142">
        <v>0.7142857142857143</v>
      </c>
      <c r="K12" s="27" t="s">
        <v>13</v>
      </c>
      <c r="L12" s="83">
        <v>0.87755102040816324</v>
      </c>
      <c r="N12" s="27" t="s">
        <v>13</v>
      </c>
      <c r="O12" s="78" t="str" cm="1">
        <f t="array" ref="O12">IF(COUNTIF('Scrum Teams'!A:A, N12)=0,
    "No",
    IF(SUMPRODUCT(('Scrum Teams'!A:A=N12)*('Scrum Teams'!B:B&lt;&gt;""))&gt;0,
        "Yes",
        "No"
    )
)</f>
        <v>Yes</v>
      </c>
      <c r="T12" s="150" t="s">
        <v>1660</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row>
    <row r="13" spans="1:316">
      <c r="A13" s="27"/>
      <c r="B13" s="27" t="s">
        <v>33</v>
      </c>
      <c r="C13" s="78">
        <v>1</v>
      </c>
      <c r="D13" s="83">
        <v>0.14285714285714285</v>
      </c>
      <c r="G13" s="340" t="s">
        <v>1661</v>
      </c>
      <c r="H13" s="340"/>
      <c r="I13" s="341">
        <v>0.7857142857142857</v>
      </c>
      <c r="K13" s="27" t="s">
        <v>61</v>
      </c>
      <c r="L13" s="83">
        <v>1</v>
      </c>
      <c r="N13" s="27" t="s">
        <v>82</v>
      </c>
      <c r="O13" s="78" t="str" cm="1">
        <f t="array" ref="O13">IF(COUNTIF('Scrum Teams'!A:A, N13)=0,
    "No",
    IF(SUMPRODUCT(('Scrum Teams'!A:A=N13)*('Scrum Teams'!B:B&lt;&gt;""))&gt;0,
        "Yes",
        "No"
    )
)</f>
        <v>Yes</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row>
    <row r="14" spans="1:316">
      <c r="A14" s="27"/>
      <c r="B14" s="27" t="s">
        <v>795</v>
      </c>
      <c r="C14" s="78">
        <v>13</v>
      </c>
      <c r="D14" s="83">
        <v>0.98901098901098905</v>
      </c>
      <c r="G14" s="25" t="s">
        <v>62</v>
      </c>
      <c r="H14" s="25" t="s">
        <v>1019</v>
      </c>
      <c r="I14" s="142">
        <v>1</v>
      </c>
      <c r="K14" s="27" t="s">
        <v>81</v>
      </c>
      <c r="L14" s="83">
        <v>0.8571428571428571</v>
      </c>
      <c r="N14" s="27" t="s">
        <v>71</v>
      </c>
      <c r="O14" s="78" t="str" cm="1">
        <f t="array" ref="O14">IF(COUNTIF('Scrum Teams'!A:A, N14)=0,
    "No",
    IF(SUMPRODUCT(('Scrum Teams'!A:A=N14)*('Scrum Teams'!B:B&lt;&gt;""))&gt;0,
        "Yes",
        "No"
    )
)</f>
        <v>No</v>
      </c>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row>
    <row r="15" spans="1:316">
      <c r="A15" s="27"/>
      <c r="B15" s="27" t="s">
        <v>154</v>
      </c>
      <c r="C15" s="78">
        <v>1</v>
      </c>
      <c r="D15" s="83">
        <v>1</v>
      </c>
      <c r="H15" s="25" t="s">
        <v>1024</v>
      </c>
      <c r="I15" s="142">
        <v>1</v>
      </c>
      <c r="K15" s="27" t="s">
        <v>50</v>
      </c>
      <c r="L15" s="83">
        <v>1</v>
      </c>
      <c r="N15" s="27" t="s">
        <v>65</v>
      </c>
      <c r="O15" s="78" t="str" cm="1">
        <f t="array" ref="O15">IF(COUNTIF('Scrum Teams'!A:A, N15)=0,
    "No",
    IF(SUMPRODUCT(('Scrum Teams'!A:A=N15)*('Scrum Teams'!B:B&lt;&gt;""))&gt;0,
        "Yes",
        "No"
    )
)</f>
        <v>Yes</v>
      </c>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row>
    <row r="16" spans="1:316">
      <c r="A16" s="27"/>
      <c r="B16" s="27" t="s">
        <v>38</v>
      </c>
      <c r="C16" s="78">
        <v>1</v>
      </c>
      <c r="D16" s="83">
        <v>1</v>
      </c>
      <c r="H16" s="25" t="s">
        <v>1029</v>
      </c>
      <c r="I16" s="142">
        <v>1</v>
      </c>
      <c r="K16" s="27" t="s">
        <v>91</v>
      </c>
      <c r="L16" s="83">
        <v>0.7142857142857143</v>
      </c>
      <c r="N16" s="27" t="s">
        <v>1662</v>
      </c>
      <c r="O16" s="78" t="str" cm="1">
        <f t="array" ref="O16">IF(COUNTIF('Scrum Teams'!A:A, N16)=0,
    "No",
    IF(SUMPRODUCT(('Scrum Teams'!A:A=N16)*('Scrum Teams'!B:B&lt;&gt;""))&gt;0,
        "Yes",
        "No"
    )
)</f>
        <v>No</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row>
    <row r="17" spans="1:316">
      <c r="A17" s="337" t="s">
        <v>1663</v>
      </c>
      <c r="B17" s="337"/>
      <c r="C17" s="338">
        <v>25</v>
      </c>
      <c r="D17" s="339">
        <v>0.92571428571428571</v>
      </c>
      <c r="H17" s="25" t="s">
        <v>1033</v>
      </c>
      <c r="I17" s="142">
        <v>1</v>
      </c>
      <c r="K17" s="27" t="s">
        <v>82</v>
      </c>
      <c r="L17" s="83">
        <v>0.8928571428571429</v>
      </c>
      <c r="N17" s="27" t="s">
        <v>92</v>
      </c>
      <c r="O17" s="78" t="str" cm="1">
        <f t="array" ref="O17">IF(COUNTIF('Scrum Teams'!A:A, N17)=0,
    "No",
    IF(SUMPRODUCT(('Scrum Teams'!A:A=N17)*('Scrum Teams'!B:B&lt;&gt;""))&gt;0,
        "Yes",
        "No"
    )
)</f>
        <v>Yes</v>
      </c>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row>
    <row r="18" spans="1:316">
      <c r="A18" s="27" t="s">
        <v>43</v>
      </c>
      <c r="B18" s="27" t="s">
        <v>128</v>
      </c>
      <c r="C18" s="78">
        <v>6</v>
      </c>
      <c r="D18" s="83">
        <v>0.8571428571428571</v>
      </c>
      <c r="G18" s="340" t="s">
        <v>1664</v>
      </c>
      <c r="H18" s="340"/>
      <c r="I18" s="341">
        <v>1</v>
      </c>
      <c r="K18" s="27" t="s">
        <v>65</v>
      </c>
      <c r="L18" s="83">
        <v>1</v>
      </c>
      <c r="N18" s="27" t="s">
        <v>51</v>
      </c>
      <c r="O18" s="78" t="str" cm="1">
        <f t="array" ref="O18">IF(COUNTIF('Scrum Teams'!A:A, N18)=0,
    "No",
    IF(SUMPRODUCT(('Scrum Teams'!A:A=N18)*('Scrum Teams'!B:B&lt;&gt;""))&gt;0,
        "Yes",
        "No"
    )
)</f>
        <v>Yes</v>
      </c>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row>
    <row r="19" spans="1:316">
      <c r="A19" s="27"/>
      <c r="B19" s="27" t="s">
        <v>402</v>
      </c>
      <c r="C19" s="78">
        <v>1</v>
      </c>
      <c r="D19" s="83">
        <v>1</v>
      </c>
      <c r="G19" s="25" t="s">
        <v>90</v>
      </c>
      <c r="H19" s="25" t="s">
        <v>90</v>
      </c>
      <c r="I19" s="142">
        <v>1</v>
      </c>
      <c r="K19" s="27" t="s">
        <v>92</v>
      </c>
      <c r="L19" s="83">
        <v>0.8571428571428571</v>
      </c>
      <c r="N19" s="27" t="s">
        <v>84</v>
      </c>
      <c r="O19" s="78" t="str" cm="1">
        <f t="array" ref="O19">IF(COUNTIF('Scrum Teams'!A:A, N19)=0,
    "No",
    IF(SUMPRODUCT(('Scrum Teams'!A:A=N19)*('Scrum Teams'!B:B&lt;&gt;""))&gt;0,
        "Yes",
        "No"
    )
)</f>
        <v>Yes</v>
      </c>
      <c r="T19"/>
      <c r="U19"/>
      <c r="V19"/>
    </row>
    <row r="20" spans="1:316">
      <c r="A20" s="27"/>
      <c r="B20" s="27" t="s">
        <v>399</v>
      </c>
      <c r="C20" s="78">
        <v>1</v>
      </c>
      <c r="D20" s="83">
        <v>1</v>
      </c>
      <c r="G20" s="340" t="s">
        <v>1665</v>
      </c>
      <c r="H20" s="340"/>
      <c r="I20" s="341">
        <v>1</v>
      </c>
      <c r="K20" s="27" t="s">
        <v>40</v>
      </c>
      <c r="L20" s="83">
        <v>0.98901098901098905</v>
      </c>
      <c r="N20" s="27" t="s">
        <v>85</v>
      </c>
      <c r="O20" s="78" t="str" cm="1">
        <f t="array" ref="O20">IF(COUNTIF('Scrum Teams'!A:A, N20)=0,
    "No",
    IF(SUMPRODUCT(('Scrum Teams'!A:A=N20)*('Scrum Teams'!B:B&lt;&gt;""))&gt;0,
        "Yes",
        "No"
    )
)</f>
        <v>Yes</v>
      </c>
      <c r="V20"/>
    </row>
    <row r="21" spans="1:316">
      <c r="A21" s="27"/>
      <c r="B21" s="27" t="s">
        <v>149</v>
      </c>
      <c r="C21" s="78">
        <v>7</v>
      </c>
      <c r="D21" s="83">
        <v>0.85714285714285698</v>
      </c>
      <c r="G21" s="25" t="s">
        <v>67</v>
      </c>
      <c r="H21" s="25" t="s">
        <v>1044</v>
      </c>
      <c r="I21" s="142">
        <v>0.2857142857142857</v>
      </c>
      <c r="K21" s="27" t="s">
        <v>35</v>
      </c>
      <c r="L21" s="83">
        <v>1</v>
      </c>
      <c r="N21" s="27" t="s">
        <v>109</v>
      </c>
      <c r="O21" s="78" t="str" cm="1">
        <f t="array" ref="O21">IF(COUNTIF('Scrum Teams'!A:A, N21)=0,
    "No",
    IF(SUMPRODUCT(('Scrum Teams'!A:A=N21)*('Scrum Teams'!B:B&lt;&gt;""))&gt;0,
        "Yes",
        "No"
    )
)</f>
        <v>No</v>
      </c>
      <c r="V21"/>
    </row>
    <row r="22" spans="1:316">
      <c r="A22" s="27"/>
      <c r="B22" s="27" t="s">
        <v>391</v>
      </c>
      <c r="C22" s="78">
        <v>2</v>
      </c>
      <c r="D22" s="83">
        <v>1</v>
      </c>
      <c r="H22" s="25" t="s">
        <v>1047</v>
      </c>
      <c r="I22" s="142">
        <v>0.2857142857142857</v>
      </c>
      <c r="K22" s="27" t="s">
        <v>36</v>
      </c>
      <c r="L22" s="83">
        <v>1</v>
      </c>
      <c r="N22" s="27" t="s">
        <v>111</v>
      </c>
      <c r="O22" s="78" t="str" cm="1">
        <f t="array" ref="O22">IF(COUNTIF('Scrum Teams'!A:A, N22)=0,
    "No",
    IF(SUMPRODUCT(('Scrum Teams'!A:A=N22)*('Scrum Teams'!B:B&lt;&gt;""))&gt;0,
        "Yes",
        "No"
    )
)</f>
        <v>No</v>
      </c>
      <c r="V22"/>
    </row>
    <row r="23" spans="1:316">
      <c r="A23" s="27"/>
      <c r="B23" s="27" t="s">
        <v>141</v>
      </c>
      <c r="C23" s="78">
        <v>2</v>
      </c>
      <c r="D23" s="83">
        <v>1</v>
      </c>
      <c r="H23" s="25" t="s">
        <v>1050</v>
      </c>
      <c r="I23" s="142">
        <v>0.5714285714285714</v>
      </c>
      <c r="K23" s="27" t="s">
        <v>51</v>
      </c>
      <c r="L23" s="83">
        <v>1</v>
      </c>
      <c r="N23" s="27" t="s">
        <v>25</v>
      </c>
      <c r="O23" s="78" t="str" cm="1">
        <f t="array" ref="O23">IF(COUNTIF('Scrum Teams'!A:A, N23)=0,
    "No",
    IF(SUMPRODUCT(('Scrum Teams'!A:A=N23)*('Scrum Teams'!B:B&lt;&gt;""))&gt;0,
        "Yes",
        "No"
    )
)</f>
        <v>Yes</v>
      </c>
      <c r="V23"/>
    </row>
    <row r="24" spans="1:316">
      <c r="A24" s="27"/>
      <c r="B24" s="27" t="s">
        <v>152</v>
      </c>
      <c r="C24" s="78">
        <v>6</v>
      </c>
      <c r="D24" s="83">
        <v>0.97619047619047616</v>
      </c>
      <c r="G24" s="340" t="s">
        <v>1666</v>
      </c>
      <c r="H24" s="340"/>
      <c r="I24" s="341">
        <v>0.38095238095238093</v>
      </c>
      <c r="K24" s="27" t="s">
        <v>37</v>
      </c>
      <c r="L24" s="83">
        <v>1</v>
      </c>
      <c r="N24" s="27" t="s">
        <v>47</v>
      </c>
      <c r="O24" s="78" t="str" cm="1">
        <f t="array" ref="O24">IF(COUNTIF('Scrum Teams'!A:A, N24)=0,
    "No",
    IF(SUMPRODUCT(('Scrum Teams'!A:A=N24)*('Scrum Teams'!B:B&lt;&gt;""))&gt;0,
        "Yes",
        "No"
    )
)</f>
        <v>Yes</v>
      </c>
      <c r="V24"/>
    </row>
    <row r="25" spans="1:316">
      <c r="A25" s="337" t="s">
        <v>1667</v>
      </c>
      <c r="B25" s="337"/>
      <c r="C25" s="338">
        <v>25</v>
      </c>
      <c r="D25" s="339">
        <v>0.92000000000000015</v>
      </c>
      <c r="G25" s="25" t="s">
        <v>68</v>
      </c>
      <c r="H25" s="25" t="s">
        <v>68</v>
      </c>
      <c r="I25" s="142">
        <v>0.5714285714285714</v>
      </c>
      <c r="K25" s="27" t="s">
        <v>84</v>
      </c>
      <c r="L25" s="83">
        <v>1</v>
      </c>
      <c r="N25" s="27" t="s">
        <v>52</v>
      </c>
      <c r="O25" s="78" t="str" cm="1">
        <f t="array" ref="O25">IF(COUNTIF('Scrum Teams'!A:A, N25)=0,
    "No",
    IF(SUMPRODUCT(('Scrum Teams'!A:A=N25)*('Scrum Teams'!B:B&lt;&gt;""))&gt;0,
        "Yes",
        "No"
    )
)</f>
        <v>Yes</v>
      </c>
      <c r="V25"/>
    </row>
    <row r="26" spans="1:316">
      <c r="A26" s="27" t="s">
        <v>55</v>
      </c>
      <c r="B26" s="27" t="s">
        <v>858</v>
      </c>
      <c r="C26" s="78">
        <v>4</v>
      </c>
      <c r="D26" s="83">
        <v>1</v>
      </c>
      <c r="G26" s="340" t="s">
        <v>1668</v>
      </c>
      <c r="H26" s="340"/>
      <c r="I26" s="341">
        <v>0.5714285714285714</v>
      </c>
      <c r="K26" s="27" t="s">
        <v>85</v>
      </c>
      <c r="L26" s="83">
        <v>1</v>
      </c>
      <c r="N26" s="27" t="s">
        <v>45</v>
      </c>
      <c r="O26" s="78" t="str" cm="1">
        <f t="array" ref="O26">IF(COUNTIF('Scrum Teams'!A:A, N26)=0,
    "No",
    IF(SUMPRODUCT(('Scrum Teams'!A:A=N26)*('Scrum Teams'!B:B&lt;&gt;""))&gt;0,
        "Yes",
        "No"
    )
)</f>
        <v>Yes</v>
      </c>
      <c r="V26"/>
    </row>
    <row r="27" spans="1:316">
      <c r="A27" s="27"/>
      <c r="B27" s="27" t="s">
        <v>780</v>
      </c>
      <c r="C27" s="78">
        <v>4</v>
      </c>
      <c r="D27" s="83">
        <v>0.42857142857142855</v>
      </c>
      <c r="G27" s="25" t="s">
        <v>33</v>
      </c>
      <c r="H27" s="25" t="s">
        <v>33</v>
      </c>
      <c r="I27" s="142">
        <v>0.14285714285714285</v>
      </c>
      <c r="K27" s="27" t="s">
        <v>28</v>
      </c>
      <c r="L27" s="83">
        <v>0.84523809523809523</v>
      </c>
      <c r="N27" s="27" t="s">
        <v>28</v>
      </c>
      <c r="O27" s="78" t="s">
        <v>970</v>
      </c>
      <c r="V27"/>
    </row>
    <row r="28" spans="1:316">
      <c r="A28" s="27"/>
      <c r="B28" s="27" t="s">
        <v>533</v>
      </c>
      <c r="C28" s="78">
        <v>1</v>
      </c>
      <c r="D28" s="83">
        <v>1</v>
      </c>
      <c r="G28" s="340" t="s">
        <v>1669</v>
      </c>
      <c r="H28" s="340"/>
      <c r="I28" s="341">
        <v>0.14285714285714285</v>
      </c>
      <c r="K28" s="27" t="s">
        <v>38</v>
      </c>
      <c r="L28" s="83">
        <v>1</v>
      </c>
      <c r="N28" s="27" t="s">
        <v>634</v>
      </c>
      <c r="O28" s="78" t="str" cm="1">
        <f t="array" ref="O28">IF(COUNTIF('Scrum Teams'!A:A, N28)=0,
    "No",
    IF(SUMPRODUCT(('Scrum Teams'!A:A=N28)*('Scrum Teams'!B:B&lt;&gt;""))&gt;0,
        "Yes",
        "No"
    )
)</f>
        <v>No</v>
      </c>
      <c r="V28"/>
    </row>
    <row r="29" spans="1:316">
      <c r="A29" s="27"/>
      <c r="B29" s="27" t="s">
        <v>63</v>
      </c>
      <c r="C29" s="78">
        <v>4</v>
      </c>
      <c r="D29" s="83">
        <v>1</v>
      </c>
      <c r="G29" s="25" t="s">
        <v>57</v>
      </c>
      <c r="H29" s="25" t="s">
        <v>1057</v>
      </c>
      <c r="I29" s="142">
        <v>1</v>
      </c>
      <c r="K29" s="27" t="s">
        <v>15</v>
      </c>
      <c r="L29" s="83">
        <v>0.79365079365079361</v>
      </c>
      <c r="N29" s="27" t="s">
        <v>88</v>
      </c>
      <c r="O29" s="78" t="str" cm="1">
        <f t="array" ref="O29">IF(COUNTIF('Scrum Teams'!A:A, N29)=0,
    "No",
    IF(SUMPRODUCT(('Scrum Teams'!A:A=N29)*('Scrum Teams'!B:B&lt;&gt;""))&gt;0,
        "Yes",
        "No"
    )
)</f>
        <v>Yes</v>
      </c>
      <c r="V29"/>
    </row>
    <row r="30" spans="1:316">
      <c r="A30" s="27"/>
      <c r="B30" s="27" t="s">
        <v>511</v>
      </c>
      <c r="C30" s="78">
        <v>3</v>
      </c>
      <c r="D30" s="83">
        <v>1</v>
      </c>
      <c r="G30" s="340" t="s">
        <v>1670</v>
      </c>
      <c r="H30" s="340"/>
      <c r="I30" s="341">
        <v>1</v>
      </c>
      <c r="K30" s="27" t="s">
        <v>25</v>
      </c>
      <c r="L30" s="83">
        <v>0.42857142857142855</v>
      </c>
      <c r="N30" s="27" t="s">
        <v>105</v>
      </c>
      <c r="O30" s="78" t="str" cm="1">
        <f t="array" ref="O30">IF(COUNTIF('Scrum Teams'!A:A, N30)=0,
    "No",
    IF(SUMPRODUCT(('Scrum Teams'!A:A=N30)*('Scrum Teams'!B:B&lt;&gt;""))&gt;0,
        "Yes",
        "No"
    )
)</f>
        <v>No</v>
      </c>
      <c r="V30"/>
    </row>
    <row r="31" spans="1:316">
      <c r="A31" s="27"/>
      <c r="B31" s="27" t="s">
        <v>306</v>
      </c>
      <c r="C31" s="78">
        <v>7</v>
      </c>
      <c r="D31" s="83">
        <v>1</v>
      </c>
      <c r="G31" s="25" t="s">
        <v>11</v>
      </c>
      <c r="H31" s="25" t="s">
        <v>1076</v>
      </c>
      <c r="I31" s="142">
        <v>0.7142857142857143</v>
      </c>
      <c r="K31" s="27" t="s">
        <v>47</v>
      </c>
      <c r="L31" s="83">
        <v>0.85714285714285698</v>
      </c>
      <c r="N31" s="27" t="s">
        <v>54</v>
      </c>
      <c r="O31" s="78" t="str" cm="1">
        <f t="array" ref="O31">IF(COUNTIF('Scrum Teams'!A:A, N31)=0,
    "No",
    IF(SUMPRODUCT(('Scrum Teams'!A:A=N31)*('Scrum Teams'!B:B&lt;&gt;""))&gt;0,
        "Yes",
        "No"
    )
)</f>
        <v>Yes</v>
      </c>
      <c r="V31"/>
    </row>
    <row r="32" spans="1:316">
      <c r="A32" s="27"/>
      <c r="B32" s="27" t="s">
        <v>708</v>
      </c>
      <c r="C32" s="78">
        <v>2</v>
      </c>
      <c r="D32" s="83">
        <v>1</v>
      </c>
      <c r="H32" s="25" t="s">
        <v>1062</v>
      </c>
      <c r="I32" s="142">
        <v>1</v>
      </c>
      <c r="K32" s="27" t="s">
        <v>52</v>
      </c>
      <c r="L32" s="83">
        <v>1</v>
      </c>
      <c r="N32" s="27" t="s">
        <v>99</v>
      </c>
      <c r="O32" s="78" t="str" cm="1">
        <f t="array" ref="O32">IF(COUNTIF('Scrum Teams'!A:A, N32)=0,
    "No",
    IF(SUMPRODUCT(('Scrum Teams'!A:A=N32)*('Scrum Teams'!B:B&lt;&gt;""))&gt;0,
        "Yes",
        "No"
    )
)</f>
        <v>Yes</v>
      </c>
      <c r="V32"/>
    </row>
    <row r="33" spans="1:22">
      <c r="A33" s="337" t="s">
        <v>1671</v>
      </c>
      <c r="B33" s="337"/>
      <c r="C33" s="338">
        <v>25</v>
      </c>
      <c r="D33" s="339">
        <v>0.90857142857142859</v>
      </c>
      <c r="H33" s="25" t="s">
        <v>1071</v>
      </c>
      <c r="I33" s="142">
        <v>1</v>
      </c>
      <c r="K33" s="27" t="s">
        <v>45</v>
      </c>
      <c r="L33" s="83">
        <v>1</v>
      </c>
      <c r="N33" s="27" t="s">
        <v>16</v>
      </c>
      <c r="O33" s="78" t="str" cm="1">
        <f t="array" ref="O33">IF(COUNTIF('Scrum Teams'!A:A, N33)=0,
    "No",
    IF(SUMPRODUCT(('Scrum Teams'!A:A=N33)*('Scrum Teams'!B:B&lt;&gt;""))&gt;0,
        "Yes",
        "No"
    )
)</f>
        <v>Yes</v>
      </c>
      <c r="V33"/>
    </row>
    <row r="34" spans="1:22">
      <c r="A34" s="27" t="s">
        <v>79</v>
      </c>
      <c r="B34" s="27" t="s">
        <v>155</v>
      </c>
      <c r="C34" s="78">
        <v>1</v>
      </c>
      <c r="D34" s="83">
        <v>1</v>
      </c>
      <c r="G34" s="340" t="s">
        <v>1672</v>
      </c>
      <c r="H34" s="340"/>
      <c r="I34" s="341">
        <v>0.90476190476190477</v>
      </c>
      <c r="K34" s="27" t="s">
        <v>88</v>
      </c>
      <c r="L34" s="83">
        <v>0.7857142857142857</v>
      </c>
      <c r="V34"/>
    </row>
    <row r="35" spans="1:22">
      <c r="A35" s="27"/>
      <c r="B35" s="27" t="s">
        <v>260</v>
      </c>
      <c r="C35" s="78">
        <v>1</v>
      </c>
      <c r="D35" s="83">
        <v>0.7142857142857143</v>
      </c>
      <c r="G35" s="25" t="s">
        <v>63</v>
      </c>
      <c r="H35" s="25" t="s">
        <v>1079</v>
      </c>
      <c r="I35" s="142">
        <v>1</v>
      </c>
      <c r="K35" s="27" t="s">
        <v>54</v>
      </c>
      <c r="L35" s="83">
        <v>0.97619047619047616</v>
      </c>
      <c r="V35"/>
    </row>
    <row r="36" spans="1:22">
      <c r="A36" s="27"/>
      <c r="B36" s="27" t="s">
        <v>82</v>
      </c>
      <c r="C36" s="78">
        <v>7</v>
      </c>
      <c r="D36" s="83">
        <v>0.88571428571428557</v>
      </c>
      <c r="H36" s="25" t="s">
        <v>1086</v>
      </c>
      <c r="I36" s="142">
        <v>1</v>
      </c>
      <c r="K36" s="27" t="s">
        <v>99</v>
      </c>
      <c r="L36" s="83">
        <v>1</v>
      </c>
      <c r="V36"/>
    </row>
    <row r="37" spans="1:22">
      <c r="A37" s="27"/>
      <c r="B37" s="27" t="s">
        <v>523</v>
      </c>
      <c r="C37" s="78">
        <v>3</v>
      </c>
      <c r="D37" s="83">
        <v>0.8571428571428571</v>
      </c>
      <c r="H37" s="25" t="s">
        <v>1090</v>
      </c>
      <c r="I37" s="142">
        <v>1</v>
      </c>
      <c r="K37" s="27" t="s">
        <v>26</v>
      </c>
      <c r="L37" s="83">
        <v>1</v>
      </c>
      <c r="V37"/>
    </row>
    <row r="38" spans="1:22">
      <c r="A38" s="27"/>
      <c r="B38" s="27" t="s">
        <v>145</v>
      </c>
      <c r="C38" s="78">
        <v>5</v>
      </c>
      <c r="D38" s="83">
        <v>1</v>
      </c>
      <c r="H38" s="25" t="s">
        <v>1097</v>
      </c>
      <c r="I38" s="142">
        <v>1</v>
      </c>
      <c r="K38" s="27" t="s">
        <v>16</v>
      </c>
      <c r="L38" s="83">
        <v>0.8571428571428571</v>
      </c>
      <c r="V38"/>
    </row>
    <row r="39" spans="1:22">
      <c r="A39" s="27"/>
      <c r="B39" s="27" t="s">
        <v>146</v>
      </c>
      <c r="C39" s="78">
        <v>1</v>
      </c>
      <c r="D39" s="83">
        <v>1</v>
      </c>
      <c r="G39" s="340" t="s">
        <v>1673</v>
      </c>
      <c r="H39" s="340"/>
      <c r="I39" s="341">
        <v>1</v>
      </c>
      <c r="K39" s="27" t="s">
        <v>97</v>
      </c>
      <c r="L39" s="83"/>
      <c r="V39"/>
    </row>
    <row r="40" spans="1:22">
      <c r="A40" s="27"/>
      <c r="B40" s="27" t="s">
        <v>151</v>
      </c>
      <c r="C40" s="78">
        <v>6</v>
      </c>
      <c r="D40" s="83">
        <v>0.7857142857142857</v>
      </c>
      <c r="G40" s="25" t="s">
        <v>13</v>
      </c>
      <c r="H40" s="25" t="s">
        <v>1104</v>
      </c>
      <c r="I40" s="142">
        <v>0.8571428571428571</v>
      </c>
      <c r="K40" s="27" t="s">
        <v>102</v>
      </c>
      <c r="L40" s="83">
        <v>0.88767720828789565</v>
      </c>
      <c r="V40"/>
    </row>
    <row r="41" spans="1:22">
      <c r="A41" s="337" t="s">
        <v>1674</v>
      </c>
      <c r="B41" s="337"/>
      <c r="C41" s="338">
        <v>24</v>
      </c>
      <c r="D41" s="339">
        <v>0.88435374149659873</v>
      </c>
      <c r="H41" s="25" t="s">
        <v>1111</v>
      </c>
      <c r="I41" s="142">
        <v>0.8571428571428571</v>
      </c>
      <c r="K41"/>
      <c r="L41"/>
      <c r="V41"/>
    </row>
    <row r="42" spans="1:22">
      <c r="A42" s="27" t="s">
        <v>97</v>
      </c>
      <c r="B42" s="27" t="s">
        <v>97</v>
      </c>
      <c r="C42" s="78"/>
      <c r="D42" s="83"/>
      <c r="H42" s="25" t="s">
        <v>1118</v>
      </c>
      <c r="I42" s="142">
        <v>0.8571428571428571</v>
      </c>
      <c r="K42"/>
      <c r="L42"/>
      <c r="V42"/>
    </row>
    <row r="43" spans="1:22">
      <c r="A43" s="27" t="s">
        <v>1675</v>
      </c>
      <c r="B43" s="27"/>
      <c r="C43" s="78"/>
      <c r="D43" s="83"/>
      <c r="H43" s="25" t="s">
        <v>1125</v>
      </c>
      <c r="I43" s="142">
        <v>0.8571428571428571</v>
      </c>
      <c r="K43"/>
      <c r="L43"/>
      <c r="V43"/>
    </row>
    <row r="44" spans="1:22">
      <c r="A44" s="27" t="s">
        <v>102</v>
      </c>
      <c r="B44" s="27"/>
      <c r="C44" s="78">
        <v>134</v>
      </c>
      <c r="D44" s="83">
        <v>0.8876772082878952</v>
      </c>
      <c r="H44" s="25" t="s">
        <v>1131</v>
      </c>
      <c r="I44" s="142">
        <v>1</v>
      </c>
      <c r="K44"/>
      <c r="L44"/>
      <c r="V44"/>
    </row>
    <row r="45" spans="1:22">
      <c r="A45"/>
      <c r="B45"/>
      <c r="C45"/>
      <c r="D45"/>
      <c r="H45" s="25" t="s">
        <v>1137</v>
      </c>
      <c r="I45" s="142">
        <v>0.8571428571428571</v>
      </c>
      <c r="K45"/>
      <c r="L45"/>
      <c r="V45"/>
    </row>
    <row r="46" spans="1:22">
      <c r="H46" s="25" t="s">
        <v>1143</v>
      </c>
      <c r="I46" s="142">
        <v>0.8571428571428571</v>
      </c>
      <c r="K46"/>
      <c r="L46"/>
      <c r="V46"/>
    </row>
    <row r="47" spans="1:22">
      <c r="G47" s="340" t="s">
        <v>1676</v>
      </c>
      <c r="H47" s="340"/>
      <c r="I47" s="341">
        <v>0.87755102040816324</v>
      </c>
      <c r="K47"/>
      <c r="L47"/>
      <c r="V47"/>
    </row>
    <row r="48" spans="1:22">
      <c r="G48" s="25" t="s">
        <v>61</v>
      </c>
      <c r="H48" s="25" t="s">
        <v>1149</v>
      </c>
      <c r="I48" s="142">
        <v>1</v>
      </c>
      <c r="K48"/>
      <c r="L48"/>
      <c r="V48"/>
    </row>
    <row r="49" spans="7:22">
      <c r="H49" s="25" t="s">
        <v>1156</v>
      </c>
      <c r="I49" s="142">
        <v>1</v>
      </c>
      <c r="K49"/>
      <c r="L49"/>
      <c r="V49"/>
    </row>
    <row r="50" spans="7:22">
      <c r="H50" s="25" t="s">
        <v>1163</v>
      </c>
      <c r="I50" s="142">
        <v>1</v>
      </c>
      <c r="K50"/>
      <c r="L50"/>
      <c r="V50"/>
    </row>
    <row r="51" spans="7:22">
      <c r="H51" s="25" t="s">
        <v>1169</v>
      </c>
      <c r="I51" s="142">
        <v>1</v>
      </c>
      <c r="K51"/>
      <c r="L51"/>
      <c r="V51"/>
    </row>
    <row r="52" spans="7:22">
      <c r="H52" s="25" t="s">
        <v>1176</v>
      </c>
      <c r="I52" s="142">
        <v>1</v>
      </c>
      <c r="K52"/>
      <c r="L52"/>
      <c r="V52"/>
    </row>
    <row r="53" spans="7:22">
      <c r="H53" s="25" t="s">
        <v>1183</v>
      </c>
      <c r="I53" s="142">
        <v>1</v>
      </c>
      <c r="K53"/>
      <c r="L53"/>
      <c r="V53"/>
    </row>
    <row r="54" spans="7:22">
      <c r="H54" s="25" t="s">
        <v>1190</v>
      </c>
      <c r="I54" s="142">
        <v>1</v>
      </c>
      <c r="K54"/>
      <c r="L54"/>
      <c r="V54"/>
    </row>
    <row r="55" spans="7:22">
      <c r="G55" s="340" t="s">
        <v>1677</v>
      </c>
      <c r="H55" s="340"/>
      <c r="I55" s="341">
        <v>1</v>
      </c>
      <c r="K55"/>
      <c r="L55"/>
      <c r="V55"/>
    </row>
    <row r="56" spans="7:22">
      <c r="G56" s="25" t="s">
        <v>81</v>
      </c>
      <c r="H56" s="25" t="s">
        <v>1195</v>
      </c>
      <c r="I56" s="142">
        <v>0.8571428571428571</v>
      </c>
      <c r="K56"/>
      <c r="L56"/>
      <c r="V56"/>
    </row>
    <row r="57" spans="7:22">
      <c r="G57" s="340" t="s">
        <v>1678</v>
      </c>
      <c r="H57" s="340"/>
      <c r="I57" s="341">
        <v>0.8571428571428571</v>
      </c>
      <c r="K57"/>
      <c r="L57"/>
      <c r="V57"/>
    </row>
    <row r="58" spans="7:22">
      <c r="G58" s="25" t="s">
        <v>50</v>
      </c>
      <c r="H58" s="25" t="s">
        <v>50</v>
      </c>
      <c r="I58" s="142">
        <v>1</v>
      </c>
      <c r="K58"/>
      <c r="L58"/>
      <c r="V58"/>
    </row>
    <row r="59" spans="7:22">
      <c r="G59" s="340" t="s">
        <v>1679</v>
      </c>
      <c r="H59" s="340"/>
      <c r="I59" s="341">
        <v>1</v>
      </c>
      <c r="K59"/>
      <c r="L59"/>
      <c r="V59"/>
    </row>
    <row r="60" spans="7:22">
      <c r="G60" s="25" t="s">
        <v>91</v>
      </c>
      <c r="H60" s="25" t="s">
        <v>91</v>
      </c>
      <c r="I60" s="142">
        <v>0.7142857142857143</v>
      </c>
      <c r="K60"/>
      <c r="L60"/>
      <c r="V60"/>
    </row>
    <row r="61" spans="7:22">
      <c r="G61" s="340" t="s">
        <v>1680</v>
      </c>
      <c r="H61" s="340"/>
      <c r="I61" s="341">
        <v>0.7142857142857143</v>
      </c>
      <c r="K61"/>
      <c r="L61"/>
      <c r="V61"/>
    </row>
    <row r="62" spans="7:22">
      <c r="G62" s="25" t="s">
        <v>82</v>
      </c>
      <c r="H62" s="25" t="s">
        <v>252</v>
      </c>
      <c r="I62" s="142"/>
      <c r="K62"/>
      <c r="L62"/>
      <c r="V62"/>
    </row>
    <row r="63" spans="7:22">
      <c r="H63" s="25" t="s">
        <v>254</v>
      </c>
      <c r="I63" s="142"/>
      <c r="K63"/>
      <c r="L63"/>
      <c r="V63"/>
    </row>
    <row r="64" spans="7:22">
      <c r="H64" s="25" t="s">
        <v>1214</v>
      </c>
      <c r="I64" s="142">
        <v>0.8571428571428571</v>
      </c>
      <c r="K64"/>
      <c r="L64"/>
      <c r="V64"/>
    </row>
    <row r="65" spans="7:22">
      <c r="H65" s="25" t="s">
        <v>1217</v>
      </c>
      <c r="I65" s="142">
        <v>0.8571428571428571</v>
      </c>
      <c r="K65"/>
      <c r="L65"/>
      <c r="V65"/>
    </row>
    <row r="66" spans="7:22">
      <c r="H66" s="25" t="s">
        <v>1220</v>
      </c>
      <c r="I66" s="142">
        <v>1</v>
      </c>
      <c r="K66"/>
      <c r="L66"/>
      <c r="V66"/>
    </row>
    <row r="67" spans="7:22">
      <c r="H67" s="25" t="s">
        <v>1224</v>
      </c>
      <c r="I67" s="142">
        <v>0.8571428571428571</v>
      </c>
      <c r="K67"/>
      <c r="L67"/>
      <c r="V67"/>
    </row>
    <row r="68" spans="7:22">
      <c r="G68" s="340" t="s">
        <v>1681</v>
      </c>
      <c r="H68" s="340"/>
      <c r="I68" s="341">
        <v>0.8928571428571429</v>
      </c>
      <c r="K68"/>
      <c r="L68"/>
      <c r="V68"/>
    </row>
    <row r="69" spans="7:22">
      <c r="G69" s="25" t="s">
        <v>65</v>
      </c>
      <c r="H69" s="25" t="s">
        <v>1227</v>
      </c>
      <c r="I69" s="142">
        <v>1</v>
      </c>
      <c r="K69"/>
      <c r="L69"/>
      <c r="V69"/>
    </row>
    <row r="70" spans="7:22">
      <c r="H70" s="25" t="s">
        <v>1233</v>
      </c>
      <c r="I70" s="142">
        <v>1</v>
      </c>
      <c r="K70"/>
      <c r="L70"/>
      <c r="V70"/>
    </row>
    <row r="71" spans="7:22">
      <c r="H71" s="25" t="s">
        <v>1240</v>
      </c>
      <c r="I71" s="142">
        <v>1</v>
      </c>
      <c r="K71"/>
      <c r="L71"/>
      <c r="V71"/>
    </row>
    <row r="72" spans="7:22">
      <c r="G72" s="340" t="s">
        <v>1682</v>
      </c>
      <c r="H72" s="340"/>
      <c r="I72" s="341">
        <v>1</v>
      </c>
      <c r="K72"/>
      <c r="L72"/>
      <c r="V72"/>
    </row>
    <row r="73" spans="7:22">
      <c r="G73" s="25" t="s">
        <v>92</v>
      </c>
      <c r="H73" s="25" t="s">
        <v>1246</v>
      </c>
      <c r="I73" s="142">
        <v>0.8571428571428571</v>
      </c>
      <c r="K73"/>
      <c r="L73"/>
      <c r="V73"/>
    </row>
    <row r="74" spans="7:22">
      <c r="H74" s="25" t="s">
        <v>1251</v>
      </c>
      <c r="I74" s="142"/>
      <c r="K74"/>
      <c r="L74"/>
      <c r="V74"/>
    </row>
    <row r="75" spans="7:22">
      <c r="H75" s="25" t="s">
        <v>1255</v>
      </c>
      <c r="I75" s="142">
        <v>0.8571428571428571</v>
      </c>
      <c r="K75"/>
      <c r="L75"/>
      <c r="V75"/>
    </row>
    <row r="76" spans="7:22">
      <c r="G76" s="340" t="s">
        <v>1683</v>
      </c>
      <c r="H76" s="340"/>
      <c r="I76" s="341">
        <v>0.8571428571428571</v>
      </c>
      <c r="K76"/>
      <c r="L76"/>
      <c r="V76"/>
    </row>
    <row r="77" spans="7:22">
      <c r="G77" s="25" t="s">
        <v>40</v>
      </c>
      <c r="H77" s="25" t="s">
        <v>1259</v>
      </c>
      <c r="I77" s="142">
        <v>1</v>
      </c>
      <c r="K77"/>
      <c r="L77"/>
      <c r="V77"/>
    </row>
    <row r="78" spans="7:22">
      <c r="H78" s="25" t="s">
        <v>1266</v>
      </c>
      <c r="I78" s="142">
        <v>0.8571428571428571</v>
      </c>
      <c r="K78"/>
      <c r="L78"/>
      <c r="V78"/>
    </row>
    <row r="79" spans="7:22">
      <c r="H79" s="25" t="s">
        <v>1270</v>
      </c>
      <c r="I79" s="142">
        <v>1</v>
      </c>
      <c r="K79"/>
      <c r="L79"/>
      <c r="V79"/>
    </row>
    <row r="80" spans="7:22">
      <c r="H80" s="25" t="s">
        <v>1275</v>
      </c>
      <c r="I80" s="142">
        <v>1</v>
      </c>
      <c r="K80"/>
      <c r="L80"/>
      <c r="V80"/>
    </row>
    <row r="81" spans="7:22">
      <c r="H81" s="25" t="s">
        <v>1279</v>
      </c>
      <c r="I81" s="142">
        <v>1</v>
      </c>
      <c r="K81"/>
      <c r="L81"/>
      <c r="V81"/>
    </row>
    <row r="82" spans="7:22">
      <c r="H82" s="25" t="s">
        <v>1284</v>
      </c>
      <c r="I82" s="142">
        <v>1</v>
      </c>
      <c r="K82"/>
      <c r="L82"/>
      <c r="V82"/>
    </row>
    <row r="83" spans="7:22">
      <c r="H83" s="25" t="s">
        <v>1287</v>
      </c>
      <c r="I83" s="142">
        <v>1</v>
      </c>
      <c r="K83"/>
      <c r="L83"/>
      <c r="V83"/>
    </row>
    <row r="84" spans="7:22">
      <c r="H84" s="25" t="s">
        <v>1291</v>
      </c>
      <c r="I84" s="142">
        <v>1</v>
      </c>
      <c r="K84"/>
      <c r="L84"/>
      <c r="V84"/>
    </row>
    <row r="85" spans="7:22">
      <c r="H85" s="25" t="s">
        <v>1296</v>
      </c>
      <c r="I85" s="142">
        <v>1</v>
      </c>
      <c r="K85"/>
      <c r="L85"/>
      <c r="V85"/>
    </row>
    <row r="86" spans="7:22">
      <c r="H86" s="25" t="s">
        <v>1300</v>
      </c>
      <c r="I86" s="142">
        <v>1</v>
      </c>
      <c r="K86"/>
      <c r="L86"/>
      <c r="V86"/>
    </row>
    <row r="87" spans="7:22">
      <c r="H87" s="25" t="s">
        <v>1303</v>
      </c>
      <c r="I87" s="142">
        <v>1</v>
      </c>
      <c r="K87"/>
      <c r="L87"/>
      <c r="V87"/>
    </row>
    <row r="88" spans="7:22">
      <c r="H88" s="25" t="s">
        <v>1306</v>
      </c>
      <c r="I88" s="142">
        <v>1</v>
      </c>
      <c r="K88"/>
      <c r="L88"/>
      <c r="V88"/>
    </row>
    <row r="89" spans="7:22">
      <c r="H89" s="25" t="s">
        <v>1309</v>
      </c>
      <c r="I89" s="142">
        <v>1</v>
      </c>
      <c r="K89"/>
      <c r="L89"/>
      <c r="V89"/>
    </row>
    <row r="90" spans="7:22">
      <c r="G90" s="340" t="s">
        <v>1684</v>
      </c>
      <c r="H90" s="340"/>
      <c r="I90" s="341">
        <v>0.98901098901098905</v>
      </c>
      <c r="K90"/>
      <c r="L90"/>
      <c r="V90"/>
    </row>
    <row r="91" spans="7:22">
      <c r="G91" s="25" t="s">
        <v>35</v>
      </c>
      <c r="H91" s="25" t="s">
        <v>1313</v>
      </c>
      <c r="I91" s="142">
        <v>1</v>
      </c>
      <c r="K91"/>
      <c r="L91"/>
      <c r="V91"/>
    </row>
    <row r="92" spans="7:22">
      <c r="H92" s="25" t="s">
        <v>1320</v>
      </c>
      <c r="I92" s="142">
        <v>1</v>
      </c>
      <c r="K92"/>
      <c r="L92"/>
      <c r="V92"/>
    </row>
    <row r="93" spans="7:22">
      <c r="H93" s="25" t="s">
        <v>1324</v>
      </c>
      <c r="I93" s="142">
        <v>1</v>
      </c>
      <c r="K93"/>
      <c r="L93"/>
      <c r="V93"/>
    </row>
    <row r="94" spans="7:22">
      <c r="H94" s="25" t="s">
        <v>1329</v>
      </c>
      <c r="I94" s="142">
        <v>1</v>
      </c>
      <c r="K94"/>
      <c r="L94"/>
      <c r="V94"/>
    </row>
    <row r="95" spans="7:22">
      <c r="G95" s="340" t="s">
        <v>1685</v>
      </c>
      <c r="H95" s="340"/>
      <c r="I95" s="341">
        <v>1</v>
      </c>
      <c r="K95"/>
      <c r="L95"/>
      <c r="V95"/>
    </row>
    <row r="96" spans="7:22">
      <c r="G96" s="25" t="s">
        <v>36</v>
      </c>
      <c r="H96" s="25" t="s">
        <v>1334</v>
      </c>
      <c r="I96" s="142">
        <v>1</v>
      </c>
      <c r="K96"/>
      <c r="L96"/>
      <c r="V96"/>
    </row>
    <row r="97" spans="7:22">
      <c r="G97" s="340" t="s">
        <v>1686</v>
      </c>
      <c r="H97" s="340"/>
      <c r="I97" s="341">
        <v>1</v>
      </c>
      <c r="K97"/>
      <c r="L97"/>
      <c r="V97"/>
    </row>
    <row r="98" spans="7:22">
      <c r="G98" s="25" t="s">
        <v>51</v>
      </c>
      <c r="H98" s="25" t="s">
        <v>51</v>
      </c>
      <c r="I98" s="142">
        <v>1</v>
      </c>
      <c r="K98"/>
      <c r="L98"/>
      <c r="V98"/>
    </row>
    <row r="99" spans="7:22">
      <c r="G99" s="340" t="s">
        <v>1687</v>
      </c>
      <c r="H99" s="340"/>
      <c r="I99" s="341">
        <v>1</v>
      </c>
      <c r="K99"/>
      <c r="L99"/>
      <c r="V99"/>
    </row>
    <row r="100" spans="7:22">
      <c r="G100" s="25" t="s">
        <v>37</v>
      </c>
      <c r="H100" s="25" t="s">
        <v>1345</v>
      </c>
      <c r="I100" s="142">
        <v>1</v>
      </c>
      <c r="K100"/>
      <c r="L100"/>
      <c r="V100"/>
    </row>
    <row r="101" spans="7:22">
      <c r="G101" s="340" t="s">
        <v>1688</v>
      </c>
      <c r="H101" s="340"/>
      <c r="I101" s="341">
        <v>1</v>
      </c>
      <c r="K101"/>
      <c r="L101"/>
      <c r="V101"/>
    </row>
    <row r="102" spans="7:22">
      <c r="G102" s="25" t="s">
        <v>84</v>
      </c>
      <c r="H102" s="25" t="s">
        <v>1350</v>
      </c>
      <c r="I102" s="142">
        <v>1</v>
      </c>
      <c r="K102"/>
      <c r="L102"/>
      <c r="V102"/>
    </row>
    <row r="103" spans="7:22">
      <c r="H103" s="25" t="s">
        <v>1357</v>
      </c>
      <c r="I103" s="142">
        <v>1</v>
      </c>
      <c r="K103"/>
      <c r="L103"/>
      <c r="V103"/>
    </row>
    <row r="104" spans="7:22">
      <c r="H104" s="25" t="s">
        <v>1364</v>
      </c>
      <c r="I104" s="142">
        <v>1</v>
      </c>
      <c r="K104"/>
      <c r="L104"/>
      <c r="V104"/>
    </row>
    <row r="105" spans="7:22">
      <c r="H105" s="25" t="s">
        <v>1369</v>
      </c>
      <c r="I105" s="142">
        <v>1</v>
      </c>
      <c r="K105"/>
      <c r="L105"/>
      <c r="V105"/>
    </row>
    <row r="106" spans="7:22">
      <c r="H106" s="25" t="s">
        <v>1374</v>
      </c>
      <c r="I106" s="142">
        <v>1</v>
      </c>
      <c r="K106"/>
      <c r="L106"/>
      <c r="V106"/>
    </row>
    <row r="107" spans="7:22">
      <c r="G107" s="340" t="s">
        <v>1689</v>
      </c>
      <c r="H107" s="340"/>
      <c r="I107" s="341">
        <v>1</v>
      </c>
      <c r="K107"/>
      <c r="L107"/>
      <c r="V107"/>
    </row>
    <row r="108" spans="7:22">
      <c r="G108" s="25" t="s">
        <v>85</v>
      </c>
      <c r="H108" s="25" t="s">
        <v>1379</v>
      </c>
      <c r="I108" s="142">
        <v>1</v>
      </c>
      <c r="K108"/>
      <c r="L108"/>
      <c r="V108"/>
    </row>
    <row r="109" spans="7:22">
      <c r="G109" s="340" t="s">
        <v>1690</v>
      </c>
      <c r="H109" s="340"/>
      <c r="I109" s="341">
        <v>1</v>
      </c>
      <c r="K109"/>
      <c r="L109"/>
      <c r="V109"/>
    </row>
    <row r="110" spans="7:22">
      <c r="G110" s="25" t="s">
        <v>28</v>
      </c>
      <c r="H110" s="25" t="s">
        <v>499</v>
      </c>
      <c r="I110" s="142">
        <v>0.8571428571428571</v>
      </c>
      <c r="K110"/>
      <c r="L110"/>
      <c r="V110"/>
    </row>
    <row r="111" spans="7:22">
      <c r="H111" s="25" t="s">
        <v>494</v>
      </c>
      <c r="I111" s="142">
        <v>0.8571428571428571</v>
      </c>
      <c r="K111"/>
      <c r="L111"/>
      <c r="V111"/>
    </row>
    <row r="112" spans="7:22">
      <c r="H112" s="25" t="s">
        <v>485</v>
      </c>
      <c r="I112" s="142">
        <v>0.8571428571428571</v>
      </c>
      <c r="K112"/>
      <c r="L112"/>
      <c r="V112"/>
    </row>
    <row r="113" spans="7:22">
      <c r="H113" s="25" t="s">
        <v>488</v>
      </c>
      <c r="I113" s="142">
        <v>0.8571428571428571</v>
      </c>
      <c r="K113"/>
      <c r="L113"/>
      <c r="V113"/>
    </row>
    <row r="114" spans="7:22">
      <c r="H114" s="25" t="s">
        <v>490</v>
      </c>
      <c r="I114" s="142">
        <v>0.8571428571428571</v>
      </c>
      <c r="K114"/>
      <c r="L114"/>
      <c r="V114"/>
    </row>
    <row r="115" spans="7:22">
      <c r="H115" s="25" t="s">
        <v>491</v>
      </c>
      <c r="I115" s="142">
        <v>0.8571428571428571</v>
      </c>
      <c r="K115"/>
      <c r="L115"/>
      <c r="V115"/>
    </row>
    <row r="116" spans="7:22">
      <c r="H116" s="25" t="s">
        <v>489</v>
      </c>
      <c r="I116" s="142">
        <v>0.8571428571428571</v>
      </c>
      <c r="K116"/>
      <c r="L116"/>
      <c r="V116"/>
    </row>
    <row r="117" spans="7:22">
      <c r="H117" s="25" t="s">
        <v>477</v>
      </c>
      <c r="I117" s="142">
        <v>0.8571428571428571</v>
      </c>
      <c r="K117"/>
      <c r="L117"/>
      <c r="V117"/>
    </row>
    <row r="118" spans="7:22">
      <c r="H118" s="25" t="s">
        <v>482</v>
      </c>
      <c r="I118" s="142">
        <v>0.8571428571428571</v>
      </c>
      <c r="K118"/>
      <c r="L118"/>
      <c r="V118"/>
    </row>
    <row r="119" spans="7:22">
      <c r="H119" s="25" t="s">
        <v>484</v>
      </c>
      <c r="I119" s="142">
        <v>0.7142857142857143</v>
      </c>
      <c r="K119"/>
      <c r="L119"/>
      <c r="V119"/>
    </row>
    <row r="120" spans="7:22">
      <c r="H120" s="25" t="s">
        <v>496</v>
      </c>
      <c r="I120" s="142">
        <v>0.8571428571428571</v>
      </c>
      <c r="K120"/>
      <c r="L120"/>
      <c r="V120"/>
    </row>
    <row r="121" spans="7:22">
      <c r="H121" s="25" t="s">
        <v>483</v>
      </c>
      <c r="I121" s="142">
        <v>0.8571428571428571</v>
      </c>
      <c r="K121"/>
      <c r="L121"/>
      <c r="V121"/>
    </row>
    <row r="122" spans="7:22">
      <c r="G122" s="340" t="s">
        <v>1691</v>
      </c>
      <c r="H122" s="340"/>
      <c r="I122" s="341">
        <v>0.84523809523809523</v>
      </c>
      <c r="K122"/>
      <c r="L122"/>
      <c r="V122"/>
    </row>
    <row r="123" spans="7:22">
      <c r="G123" s="25" t="s">
        <v>38</v>
      </c>
      <c r="H123" s="25" t="s">
        <v>38</v>
      </c>
      <c r="I123" s="142">
        <v>1</v>
      </c>
      <c r="K123"/>
      <c r="L123"/>
    </row>
    <row r="124" spans="7:22">
      <c r="G124" s="340" t="s">
        <v>1692</v>
      </c>
      <c r="H124" s="340"/>
      <c r="I124" s="341">
        <v>1</v>
      </c>
      <c r="K124"/>
      <c r="L124"/>
    </row>
    <row r="125" spans="7:22">
      <c r="G125" s="25" t="s">
        <v>15</v>
      </c>
      <c r="H125" s="25" t="s">
        <v>1433</v>
      </c>
      <c r="I125" s="142">
        <v>0.7142857142857143</v>
      </c>
      <c r="K125"/>
      <c r="L125"/>
    </row>
    <row r="126" spans="7:22">
      <c r="H126" s="25" t="s">
        <v>1440</v>
      </c>
      <c r="I126" s="142">
        <v>0.5714285714285714</v>
      </c>
      <c r="K126"/>
      <c r="L126"/>
    </row>
    <row r="127" spans="7:22">
      <c r="H127" s="25" t="s">
        <v>1443</v>
      </c>
      <c r="I127" s="142">
        <v>0.8571428571428571</v>
      </c>
      <c r="K127"/>
      <c r="L127"/>
    </row>
    <row r="128" spans="7:22">
      <c r="H128" s="25" t="s">
        <v>1450</v>
      </c>
      <c r="I128" s="142">
        <v>0.7142857142857143</v>
      </c>
      <c r="K128"/>
      <c r="L128"/>
    </row>
    <row r="129" spans="7:12">
      <c r="H129" s="25" t="s">
        <v>634</v>
      </c>
      <c r="I129" s="142">
        <v>0.8571428571428571</v>
      </c>
      <c r="K129"/>
      <c r="L129"/>
    </row>
    <row r="130" spans="7:12">
      <c r="H130" s="25" t="s">
        <v>1459</v>
      </c>
      <c r="I130" s="142">
        <v>0.5714285714285714</v>
      </c>
      <c r="K130"/>
      <c r="L130"/>
    </row>
    <row r="131" spans="7:12">
      <c r="H131" s="25" t="s">
        <v>1460</v>
      </c>
      <c r="I131" s="142">
        <v>1</v>
      </c>
      <c r="K131"/>
      <c r="L131"/>
    </row>
    <row r="132" spans="7:12">
      <c r="H132" s="25" t="s">
        <v>1467</v>
      </c>
      <c r="I132" s="142">
        <v>0.8571428571428571</v>
      </c>
      <c r="K132"/>
      <c r="L132"/>
    </row>
    <row r="133" spans="7:12">
      <c r="H133" s="25" t="s">
        <v>1472</v>
      </c>
      <c r="I133" s="142">
        <v>1</v>
      </c>
      <c r="K133"/>
      <c r="L133"/>
    </row>
    <row r="134" spans="7:12">
      <c r="G134" s="340" t="s">
        <v>1693</v>
      </c>
      <c r="H134" s="340"/>
      <c r="I134" s="341">
        <v>0.79365079365079361</v>
      </c>
      <c r="K134"/>
      <c r="L134"/>
    </row>
    <row r="135" spans="7:12">
      <c r="G135" s="25" t="s">
        <v>25</v>
      </c>
      <c r="H135" s="25" t="s">
        <v>1484</v>
      </c>
      <c r="I135" s="142">
        <v>0.42857142857142855</v>
      </c>
      <c r="K135"/>
      <c r="L135"/>
    </row>
    <row r="136" spans="7:12">
      <c r="H136" s="25" t="s">
        <v>1482</v>
      </c>
      <c r="I136" s="142">
        <v>0.42857142857142855</v>
      </c>
      <c r="K136"/>
      <c r="L136"/>
    </row>
    <row r="137" spans="7:12">
      <c r="G137" s="340" t="s">
        <v>1694</v>
      </c>
      <c r="H137" s="340"/>
      <c r="I137" s="341">
        <v>0.42857142857142855</v>
      </c>
      <c r="K137"/>
      <c r="L137"/>
    </row>
    <row r="138" spans="7:12">
      <c r="G138" s="25" t="s">
        <v>47</v>
      </c>
      <c r="H138" s="25" t="s">
        <v>1485</v>
      </c>
      <c r="I138" s="142">
        <v>0.8571428571428571</v>
      </c>
      <c r="K138"/>
      <c r="L138"/>
    </row>
    <row r="139" spans="7:12">
      <c r="H139" s="25" t="s">
        <v>1492</v>
      </c>
      <c r="I139" s="142">
        <v>0.8571428571428571</v>
      </c>
      <c r="K139"/>
      <c r="L139"/>
    </row>
    <row r="140" spans="7:12">
      <c r="H140" s="25" t="s">
        <v>1498</v>
      </c>
      <c r="I140" s="142">
        <v>0.8571428571428571</v>
      </c>
      <c r="K140"/>
      <c r="L140"/>
    </row>
    <row r="141" spans="7:12">
      <c r="H141" s="25" t="s">
        <v>1505</v>
      </c>
      <c r="I141" s="142">
        <v>0.8571428571428571</v>
      </c>
      <c r="K141"/>
      <c r="L141"/>
    </row>
    <row r="142" spans="7:12">
      <c r="H142" s="25" t="s">
        <v>1513</v>
      </c>
      <c r="I142" s="142">
        <v>0.8571428571428571</v>
      </c>
      <c r="K142"/>
      <c r="L142"/>
    </row>
    <row r="143" spans="7:12">
      <c r="H143" s="25" t="s">
        <v>1519</v>
      </c>
      <c r="I143" s="142">
        <v>0.8571428571428571</v>
      </c>
      <c r="K143"/>
      <c r="L143"/>
    </row>
    <row r="144" spans="7:12">
      <c r="H144" s="25" t="s">
        <v>1525</v>
      </c>
      <c r="I144" s="142">
        <v>0.8571428571428571</v>
      </c>
      <c r="K144"/>
      <c r="L144"/>
    </row>
    <row r="145" spans="7:12">
      <c r="G145" s="340" t="s">
        <v>1695</v>
      </c>
      <c r="H145" s="340"/>
      <c r="I145" s="341">
        <v>0.85714285714285698</v>
      </c>
      <c r="K145"/>
      <c r="L145"/>
    </row>
    <row r="146" spans="7:12">
      <c r="G146" s="25" t="s">
        <v>52</v>
      </c>
      <c r="H146" s="25" t="s">
        <v>1531</v>
      </c>
      <c r="I146" s="142">
        <v>1</v>
      </c>
    </row>
    <row r="147" spans="7:12">
      <c r="H147" s="25" t="s">
        <v>1538</v>
      </c>
      <c r="I147" s="142">
        <v>1</v>
      </c>
    </row>
    <row r="148" spans="7:12">
      <c r="G148" s="340" t="s">
        <v>1696</v>
      </c>
      <c r="H148" s="340"/>
      <c r="I148" s="341">
        <v>1</v>
      </c>
    </row>
    <row r="149" spans="7:12">
      <c r="G149" s="25" t="s">
        <v>45</v>
      </c>
      <c r="H149" s="25" t="s">
        <v>1543</v>
      </c>
      <c r="I149" s="142">
        <v>1</v>
      </c>
    </row>
    <row r="150" spans="7:12">
      <c r="H150" s="25" t="s">
        <v>1550</v>
      </c>
      <c r="I150" s="142">
        <v>1</v>
      </c>
    </row>
    <row r="151" spans="7:12">
      <c r="G151" s="340" t="s">
        <v>1697</v>
      </c>
      <c r="H151" s="340"/>
      <c r="I151" s="341">
        <v>1</v>
      </c>
    </row>
    <row r="152" spans="7:12">
      <c r="G152" s="25" t="s">
        <v>88</v>
      </c>
      <c r="H152" s="25" t="s">
        <v>1554</v>
      </c>
      <c r="I152" s="142">
        <v>0.7142857142857143</v>
      </c>
    </row>
    <row r="153" spans="7:12">
      <c r="H153" s="25" t="s">
        <v>1560</v>
      </c>
      <c r="I153" s="142">
        <v>0.8571428571428571</v>
      </c>
    </row>
    <row r="154" spans="7:12">
      <c r="H154" s="25" t="s">
        <v>1565</v>
      </c>
      <c r="I154" s="142">
        <v>0.8571428571428571</v>
      </c>
    </row>
    <row r="155" spans="7:12">
      <c r="H155" s="25" t="s">
        <v>1570</v>
      </c>
      <c r="I155" s="142">
        <v>0.7142857142857143</v>
      </c>
    </row>
    <row r="156" spans="7:12">
      <c r="H156" s="25" t="s">
        <v>1574</v>
      </c>
      <c r="I156" s="142">
        <v>0.7142857142857143</v>
      </c>
    </row>
    <row r="157" spans="7:12">
      <c r="H157" s="25" t="s">
        <v>1579</v>
      </c>
      <c r="I157" s="142">
        <v>0.8571428571428571</v>
      </c>
    </row>
    <row r="158" spans="7:12">
      <c r="G158" s="340" t="s">
        <v>1698</v>
      </c>
      <c r="H158" s="340"/>
      <c r="I158" s="341">
        <v>0.7857142857142857</v>
      </c>
    </row>
    <row r="159" spans="7:12">
      <c r="G159" s="25" t="s">
        <v>54</v>
      </c>
      <c r="H159" s="25" t="s">
        <v>1584</v>
      </c>
      <c r="I159" s="142">
        <v>1</v>
      </c>
    </row>
    <row r="160" spans="7:12">
      <c r="H160" s="25" t="s">
        <v>1591</v>
      </c>
      <c r="I160" s="142">
        <v>1</v>
      </c>
    </row>
    <row r="161" spans="7:9">
      <c r="H161" s="25" t="s">
        <v>112</v>
      </c>
      <c r="I161" s="142">
        <v>1</v>
      </c>
    </row>
    <row r="162" spans="7:9">
      <c r="H162" s="25" t="s">
        <v>1605</v>
      </c>
      <c r="I162" s="142">
        <v>1</v>
      </c>
    </row>
    <row r="163" spans="7:9">
      <c r="H163" s="25" t="s">
        <v>1612</v>
      </c>
      <c r="I163" s="142">
        <v>1</v>
      </c>
    </row>
    <row r="164" spans="7:9">
      <c r="H164" s="25" t="s">
        <v>1620</v>
      </c>
      <c r="I164" s="142">
        <v>0.8571428571428571</v>
      </c>
    </row>
    <row r="165" spans="7:9">
      <c r="G165" s="340" t="s">
        <v>1699</v>
      </c>
      <c r="H165" s="340"/>
      <c r="I165" s="341">
        <v>0.97619047619047616</v>
      </c>
    </row>
    <row r="166" spans="7:9">
      <c r="G166" s="25" t="s">
        <v>99</v>
      </c>
      <c r="H166" s="25" t="s">
        <v>1628</v>
      </c>
      <c r="I166" s="142">
        <v>1</v>
      </c>
    </row>
    <row r="167" spans="7:9">
      <c r="H167" s="25" t="s">
        <v>1636</v>
      </c>
      <c r="I167" s="142">
        <v>1</v>
      </c>
    </row>
    <row r="168" spans="7:9">
      <c r="G168" s="340" t="s">
        <v>1700</v>
      </c>
      <c r="H168" s="340"/>
      <c r="I168" s="341">
        <v>1</v>
      </c>
    </row>
    <row r="169" spans="7:9">
      <c r="G169" s="25" t="s">
        <v>26</v>
      </c>
      <c r="H169" s="25" t="s">
        <v>1641</v>
      </c>
      <c r="I169" s="142">
        <v>1</v>
      </c>
    </row>
    <row r="170" spans="7:9">
      <c r="G170" s="340" t="s">
        <v>1701</v>
      </c>
      <c r="H170" s="340"/>
      <c r="I170" s="341">
        <v>1</v>
      </c>
    </row>
    <row r="171" spans="7:9">
      <c r="G171" s="25" t="s">
        <v>16</v>
      </c>
      <c r="H171" s="25" t="s">
        <v>1644</v>
      </c>
      <c r="I171" s="142">
        <v>0.8571428571428571</v>
      </c>
    </row>
    <row r="172" spans="7:9">
      <c r="G172" s="340" t="s">
        <v>1702</v>
      </c>
      <c r="H172" s="340"/>
      <c r="I172" s="341">
        <v>0.8571428571428571</v>
      </c>
    </row>
    <row r="173" spans="7:9">
      <c r="G173" s="25" t="s">
        <v>97</v>
      </c>
      <c r="H173" s="25" t="s">
        <v>97</v>
      </c>
      <c r="I173" s="142"/>
    </row>
    <row r="174" spans="7:9">
      <c r="G174" s="25" t="s">
        <v>1675</v>
      </c>
      <c r="I174" s="142"/>
    </row>
    <row r="175" spans="7:9">
      <c r="G175" s="25" t="s">
        <v>102</v>
      </c>
      <c r="I175" s="142">
        <v>0.88767720828789565</v>
      </c>
    </row>
  </sheetData>
  <sheetProtection sheet="1" objects="1" scenarios="1"/>
  <sortState xmlns:xlrd2="http://schemas.microsoft.com/office/spreadsheetml/2017/richdata2" ref="N2:N31">
    <sortCondition ref="N2:N31"/>
  </sortState>
  <conditionalFormatting sqref="O2:O33">
    <cfRule type="containsText" dxfId="32" priority="1" operator="containsText" text="Yes">
      <formula>NOT(ISERROR(SEARCH("Yes",O2)))</formula>
    </cfRule>
    <cfRule type="containsText" dxfId="31" priority="2" operator="containsText" text="No">
      <formula>NOT(ISERROR(SEARCH("No",O2)))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94A2-3F61-42E8-A205-22E9BF35D656}">
  <sheetPr>
    <tabColor rgb="FF00B0F0"/>
  </sheetPr>
  <dimension ref="A1:X58"/>
  <sheetViews>
    <sheetView workbookViewId="0">
      <pane ySplit="1" topLeftCell="A32" activePane="bottomLeft" state="frozen"/>
      <selection pane="bottomLeft" activeCell="D38" sqref="D38:J38"/>
    </sheetView>
  </sheetViews>
  <sheetFormatPr defaultColWidth="9.140625" defaultRowHeight="15" customHeight="1"/>
  <cols>
    <col min="1" max="1" width="16.85546875" style="6" customWidth="1"/>
    <col min="2" max="2" width="15" style="5" customWidth="1"/>
    <col min="3" max="3" width="16.140625" style="2" customWidth="1"/>
    <col min="4" max="4" width="15.42578125" style="64" customWidth="1"/>
    <col min="5" max="5" width="7.42578125" style="64" customWidth="1"/>
    <col min="6" max="6" width="22.42578125" style="64" customWidth="1"/>
    <col min="7" max="7" width="8.85546875" style="64" hidden="1" customWidth="1"/>
    <col min="8" max="8" width="13" style="64" customWidth="1"/>
    <col min="9" max="9" width="13" style="5" hidden="1" customWidth="1"/>
    <col min="10" max="10" width="14.42578125" style="5" customWidth="1"/>
    <col min="11" max="11" width="10.28515625" style="5" hidden="1" customWidth="1"/>
    <col min="12" max="12" width="12.28515625" style="5" hidden="1" customWidth="1"/>
    <col min="13" max="13" width="42.5703125" style="5" customWidth="1"/>
    <col min="14" max="14" width="19.5703125" style="25" customWidth="1"/>
    <col min="15" max="15" width="25.7109375" style="25" customWidth="1"/>
    <col min="16" max="20" width="9.140625" style="5"/>
    <col min="21" max="21" width="9.140625" style="25"/>
    <col min="22" max="16380" width="9.140625" style="5"/>
    <col min="16381" max="16384" width="9.140625" style="5" bestFit="1" customWidth="1"/>
  </cols>
  <sheetData>
    <row r="1" spans="1:24" ht="54.75">
      <c r="A1" s="66" t="s">
        <v>1703</v>
      </c>
      <c r="B1" s="65" t="s">
        <v>1704</v>
      </c>
      <c r="C1" s="65" t="s">
        <v>3</v>
      </c>
      <c r="D1" s="66" t="s">
        <v>1705</v>
      </c>
      <c r="E1" s="66" t="s">
        <v>123</v>
      </c>
      <c r="F1" s="66" t="s">
        <v>1706</v>
      </c>
      <c r="G1" s="66" t="s">
        <v>125</v>
      </c>
      <c r="H1" s="66" t="s">
        <v>1707</v>
      </c>
      <c r="I1" s="66" t="s">
        <v>1708</v>
      </c>
      <c r="J1" s="66" t="s">
        <v>1709</v>
      </c>
      <c r="K1" s="66" t="s">
        <v>1710</v>
      </c>
      <c r="L1" s="66" t="s">
        <v>1711</v>
      </c>
      <c r="M1" s="166" t="s">
        <v>161</v>
      </c>
      <c r="N1" s="54" t="s">
        <v>1712</v>
      </c>
      <c r="O1" s="54" t="s">
        <v>1713</v>
      </c>
      <c r="X1" s="2"/>
    </row>
    <row r="2" spans="1:24" ht="27.75">
      <c r="A2" s="364" t="s">
        <v>79</v>
      </c>
      <c r="B2" s="30" t="s">
        <v>89</v>
      </c>
      <c r="C2" s="77" t="s">
        <v>92</v>
      </c>
      <c r="D2" s="56" t="s">
        <v>926</v>
      </c>
      <c r="E2" s="56" t="s">
        <v>523</v>
      </c>
      <c r="F2" s="73" t="s">
        <v>1714</v>
      </c>
      <c r="G2" s="56"/>
      <c r="H2" s="56" t="s">
        <v>1715</v>
      </c>
      <c r="I2" s="56" t="s">
        <v>1716</v>
      </c>
      <c r="J2" s="56" t="s">
        <v>1717</v>
      </c>
      <c r="K2" s="56" t="s">
        <v>1718</v>
      </c>
      <c r="L2" s="56" t="s">
        <v>1717</v>
      </c>
      <c r="M2" s="68"/>
      <c r="N2" s="82" t="s">
        <v>1719</v>
      </c>
      <c r="O2" s="82" t="s">
        <v>1720</v>
      </c>
      <c r="U2" s="25" t="s">
        <v>1715</v>
      </c>
    </row>
    <row r="3" spans="1:24" ht="26.25" customHeight="1">
      <c r="A3" s="364"/>
      <c r="B3" s="30" t="s">
        <v>89</v>
      </c>
      <c r="C3" s="77" t="s">
        <v>90</v>
      </c>
      <c r="D3" s="56" t="s">
        <v>90</v>
      </c>
      <c r="E3" s="56" t="s">
        <v>155</v>
      </c>
      <c r="F3" s="73" t="s">
        <v>1721</v>
      </c>
      <c r="G3" s="56"/>
      <c r="H3" s="56" t="s">
        <v>1722</v>
      </c>
      <c r="I3" s="56"/>
      <c r="J3" s="56" t="s">
        <v>1717</v>
      </c>
      <c r="K3" s="56"/>
      <c r="L3" s="56" t="s">
        <v>1717</v>
      </c>
      <c r="M3" s="68"/>
      <c r="N3" s="82" t="s">
        <v>1043</v>
      </c>
      <c r="O3" s="27"/>
      <c r="U3" s="25" t="s">
        <v>1723</v>
      </c>
    </row>
    <row r="4" spans="1:24">
      <c r="A4" s="364"/>
      <c r="B4" s="30" t="s">
        <v>80</v>
      </c>
      <c r="C4" s="77" t="s">
        <v>82</v>
      </c>
      <c r="D4" s="362" t="s">
        <v>82</v>
      </c>
      <c r="E4" s="362" t="s">
        <v>82</v>
      </c>
      <c r="F4" s="368" t="s">
        <v>1724</v>
      </c>
      <c r="G4" s="365">
        <v>560</v>
      </c>
      <c r="H4" s="362" t="s">
        <v>1722</v>
      </c>
      <c r="I4" s="56"/>
      <c r="J4" s="362" t="s">
        <v>1717</v>
      </c>
      <c r="K4" s="56" t="s">
        <v>1718</v>
      </c>
      <c r="L4" s="56" t="s">
        <v>1717</v>
      </c>
      <c r="M4" s="68"/>
      <c r="N4" s="82" t="s">
        <v>1725</v>
      </c>
      <c r="O4" s="82" t="s">
        <v>1726</v>
      </c>
      <c r="U4" s="25" t="s">
        <v>1717</v>
      </c>
    </row>
    <row r="5" spans="1:24">
      <c r="A5" s="364"/>
      <c r="B5" s="30" t="s">
        <v>80</v>
      </c>
      <c r="C5" s="77" t="s">
        <v>81</v>
      </c>
      <c r="D5" s="363"/>
      <c r="E5" s="363"/>
      <c r="F5" s="369"/>
      <c r="G5" s="365"/>
      <c r="H5" s="363"/>
      <c r="I5" s="56"/>
      <c r="J5" s="363"/>
      <c r="K5" s="56"/>
      <c r="L5" s="56"/>
      <c r="M5" s="68"/>
      <c r="N5" s="82"/>
      <c r="O5" s="82"/>
    </row>
    <row r="6" spans="1:24" ht="27.75">
      <c r="A6" s="364"/>
      <c r="B6" s="30" t="s">
        <v>89</v>
      </c>
      <c r="C6" s="77" t="s">
        <v>91</v>
      </c>
      <c r="D6" s="56" t="s">
        <v>91</v>
      </c>
      <c r="E6" s="56" t="s">
        <v>260</v>
      </c>
      <c r="F6" s="160" t="s">
        <v>1727</v>
      </c>
      <c r="G6" s="365"/>
      <c r="H6" s="56" t="s">
        <v>1717</v>
      </c>
      <c r="I6" s="56"/>
      <c r="J6" s="56" t="s">
        <v>1717</v>
      </c>
      <c r="K6" s="56" t="s">
        <v>1718</v>
      </c>
      <c r="L6" s="56" t="s">
        <v>1717</v>
      </c>
      <c r="M6" s="68"/>
      <c r="N6" s="82" t="s">
        <v>1728</v>
      </c>
      <c r="O6" s="27"/>
    </row>
    <row r="7" spans="1:24" ht="27.75">
      <c r="A7" s="364"/>
      <c r="B7" s="30" t="s">
        <v>83</v>
      </c>
      <c r="C7" s="77" t="s">
        <v>84</v>
      </c>
      <c r="D7" s="56" t="s">
        <v>84</v>
      </c>
      <c r="E7" s="56" t="s">
        <v>145</v>
      </c>
      <c r="F7" s="73" t="s">
        <v>1729</v>
      </c>
      <c r="G7" s="56">
        <v>216</v>
      </c>
      <c r="H7" s="56" t="s">
        <v>1722</v>
      </c>
      <c r="I7" s="56" t="s">
        <v>1730</v>
      </c>
      <c r="J7" s="56" t="s">
        <v>1717</v>
      </c>
      <c r="K7" s="56" t="s">
        <v>1718</v>
      </c>
      <c r="L7" s="56" t="s">
        <v>1717</v>
      </c>
      <c r="M7" s="68"/>
      <c r="N7" s="82" t="s">
        <v>1731</v>
      </c>
      <c r="O7" s="82"/>
      <c r="U7" s="25" t="s">
        <v>1732</v>
      </c>
    </row>
    <row r="8" spans="1:24" ht="27.75">
      <c r="A8" s="364"/>
      <c r="B8" s="30" t="s">
        <v>83</v>
      </c>
      <c r="C8" s="77" t="s">
        <v>85</v>
      </c>
      <c r="D8" s="56" t="s">
        <v>85</v>
      </c>
      <c r="E8" s="56" t="s">
        <v>146</v>
      </c>
      <c r="F8" s="73" t="s">
        <v>1733</v>
      </c>
      <c r="G8" s="56">
        <v>120</v>
      </c>
      <c r="H8" s="56" t="s">
        <v>1722</v>
      </c>
      <c r="I8" s="56"/>
      <c r="J8" s="56" t="s">
        <v>1717</v>
      </c>
      <c r="K8" s="56" t="s">
        <v>1718</v>
      </c>
      <c r="L8" s="56" t="s">
        <v>1717</v>
      </c>
      <c r="M8" s="68"/>
      <c r="N8" s="82" t="s">
        <v>1734</v>
      </c>
      <c r="O8" s="82" t="s">
        <v>1735</v>
      </c>
      <c r="U8" s="25" t="s">
        <v>1736</v>
      </c>
    </row>
    <row r="9" spans="1:24" ht="27.75">
      <c r="A9" s="364"/>
      <c r="B9" s="30" t="s">
        <v>87</v>
      </c>
      <c r="C9" s="77" t="s">
        <v>88</v>
      </c>
      <c r="D9" s="56" t="s">
        <v>88</v>
      </c>
      <c r="E9" s="56" t="s">
        <v>151</v>
      </c>
      <c r="F9" s="73" t="s">
        <v>1737</v>
      </c>
      <c r="G9" s="56"/>
      <c r="H9" s="56" t="s">
        <v>1722</v>
      </c>
      <c r="I9" s="56"/>
      <c r="J9" s="56" t="s">
        <v>1717</v>
      </c>
      <c r="K9" s="56" t="s">
        <v>1718</v>
      </c>
      <c r="L9" s="56" t="s">
        <v>1717</v>
      </c>
      <c r="M9" s="68" t="s">
        <v>1738</v>
      </c>
      <c r="N9" s="82" t="s">
        <v>1739</v>
      </c>
      <c r="O9" s="27"/>
      <c r="U9" s="25" t="s">
        <v>1740</v>
      </c>
    </row>
    <row r="10" spans="1:24" ht="27.75">
      <c r="A10" s="371" t="s">
        <v>43</v>
      </c>
      <c r="B10" s="30" t="s">
        <v>48</v>
      </c>
      <c r="C10" s="77" t="s">
        <v>49</v>
      </c>
      <c r="D10" s="56" t="s">
        <v>49</v>
      </c>
      <c r="E10" s="56" t="s">
        <v>128</v>
      </c>
      <c r="F10" s="73" t="s">
        <v>1741</v>
      </c>
      <c r="G10" s="56">
        <v>360</v>
      </c>
      <c r="H10" s="56" t="s">
        <v>1715</v>
      </c>
      <c r="I10" s="56" t="s">
        <v>1716</v>
      </c>
      <c r="J10" s="56" t="s">
        <v>1717</v>
      </c>
      <c r="K10" s="56" t="s">
        <v>1718</v>
      </c>
      <c r="L10" s="56" t="s">
        <v>1717</v>
      </c>
      <c r="M10" s="68"/>
      <c r="N10" s="82" t="s">
        <v>1742</v>
      </c>
      <c r="O10" s="82" t="s">
        <v>1743</v>
      </c>
      <c r="U10" s="25" t="s">
        <v>1744</v>
      </c>
    </row>
    <row r="11" spans="1:24" ht="27.75">
      <c r="A11" s="372"/>
      <c r="B11" s="30" t="s">
        <v>48</v>
      </c>
      <c r="C11" s="77" t="s">
        <v>52</v>
      </c>
      <c r="D11" s="56" t="s">
        <v>52</v>
      </c>
      <c r="E11" s="56" t="s">
        <v>391</v>
      </c>
      <c r="F11" s="73" t="s">
        <v>1745</v>
      </c>
      <c r="G11" s="56">
        <v>150</v>
      </c>
      <c r="H11" s="56" t="s">
        <v>1715</v>
      </c>
      <c r="I11" s="56" t="s">
        <v>1716</v>
      </c>
      <c r="J11" s="56" t="s">
        <v>1717</v>
      </c>
      <c r="K11" s="56" t="s">
        <v>1718</v>
      </c>
      <c r="L11" s="56" t="s">
        <v>1717</v>
      </c>
      <c r="M11" s="68"/>
      <c r="N11" s="82" t="s">
        <v>1746</v>
      </c>
      <c r="O11" s="82" t="s">
        <v>1747</v>
      </c>
    </row>
    <row r="12" spans="1:24" ht="27.75">
      <c r="A12" s="372"/>
      <c r="B12" s="30" t="s">
        <v>48</v>
      </c>
      <c r="C12" s="77" t="s">
        <v>50</v>
      </c>
      <c r="D12" s="56" t="s">
        <v>50</v>
      </c>
      <c r="E12" s="56" t="s">
        <v>402</v>
      </c>
      <c r="F12" s="73" t="s">
        <v>1748</v>
      </c>
      <c r="G12" s="56"/>
      <c r="H12" s="56" t="s">
        <v>1717</v>
      </c>
      <c r="I12" s="56"/>
      <c r="J12" s="56" t="s">
        <v>1717</v>
      </c>
      <c r="K12" s="56"/>
      <c r="L12" s="56"/>
      <c r="M12" s="68" t="s">
        <v>1749</v>
      </c>
      <c r="N12" s="82" t="s">
        <v>1750</v>
      </c>
      <c r="O12" s="82" t="s">
        <v>1751</v>
      </c>
    </row>
    <row r="13" spans="1:24" ht="27.75">
      <c r="A13" s="372"/>
      <c r="B13" s="30" t="s">
        <v>48</v>
      </c>
      <c r="C13" s="77" t="s">
        <v>51</v>
      </c>
      <c r="D13" s="56" t="s">
        <v>51</v>
      </c>
      <c r="E13" s="56" t="s">
        <v>399</v>
      </c>
      <c r="F13" s="73" t="s">
        <v>1752</v>
      </c>
      <c r="G13" s="56"/>
      <c r="H13" s="56" t="s">
        <v>1717</v>
      </c>
      <c r="I13" s="56"/>
      <c r="J13" s="56" t="s">
        <v>1717</v>
      </c>
      <c r="K13" s="56"/>
      <c r="L13" s="56"/>
      <c r="M13" s="68" t="s">
        <v>1749</v>
      </c>
      <c r="N13" s="82" t="s">
        <v>1753</v>
      </c>
      <c r="O13" s="82" t="s">
        <v>1754</v>
      </c>
    </row>
    <row r="14" spans="1:24" ht="27.75">
      <c r="A14" s="372"/>
      <c r="B14" s="30" t="s">
        <v>174</v>
      </c>
      <c r="C14" s="77" t="s">
        <v>47</v>
      </c>
      <c r="D14" s="56" t="s">
        <v>47</v>
      </c>
      <c r="E14" s="56" t="s">
        <v>149</v>
      </c>
      <c r="F14" s="73" t="s">
        <v>1755</v>
      </c>
      <c r="G14" s="56">
        <v>504</v>
      </c>
      <c r="H14" s="56" t="s">
        <v>1715</v>
      </c>
      <c r="I14" s="56" t="s">
        <v>1716</v>
      </c>
      <c r="J14" s="56" t="s">
        <v>1717</v>
      </c>
      <c r="K14" s="56" t="s">
        <v>1718</v>
      </c>
      <c r="L14" s="56" t="s">
        <v>1717</v>
      </c>
      <c r="M14" s="68"/>
      <c r="N14" s="82" t="s">
        <v>1756</v>
      </c>
      <c r="O14" s="82" t="s">
        <v>1757</v>
      </c>
    </row>
    <row r="15" spans="1:24" ht="33.75" customHeight="1">
      <c r="A15" s="372"/>
      <c r="B15" s="30" t="s">
        <v>166</v>
      </c>
      <c r="C15" s="77" t="s">
        <v>54</v>
      </c>
      <c r="D15" s="56" t="s">
        <v>54</v>
      </c>
      <c r="E15" s="56" t="s">
        <v>152</v>
      </c>
      <c r="F15" s="73" t="s">
        <v>1758</v>
      </c>
      <c r="G15" s="56">
        <v>576</v>
      </c>
      <c r="H15" s="56" t="s">
        <v>1715</v>
      </c>
      <c r="I15" s="56" t="s">
        <v>1716</v>
      </c>
      <c r="J15" s="56" t="s">
        <v>1717</v>
      </c>
      <c r="K15" s="56" t="s">
        <v>1718</v>
      </c>
      <c r="L15" s="56" t="s">
        <v>1717</v>
      </c>
      <c r="M15" s="68"/>
      <c r="N15" s="82" t="s">
        <v>1759</v>
      </c>
      <c r="O15" s="82" t="s">
        <v>1760</v>
      </c>
    </row>
    <row r="16" spans="1:24" ht="33.75" customHeight="1">
      <c r="A16" s="373"/>
      <c r="B16" s="30" t="s">
        <v>44</v>
      </c>
      <c r="C16" s="77" t="s">
        <v>45</v>
      </c>
      <c r="D16" s="56" t="s">
        <v>45</v>
      </c>
      <c r="E16" s="156" t="s">
        <v>141</v>
      </c>
      <c r="F16" s="190" t="s">
        <v>1761</v>
      </c>
      <c r="G16" s="56">
        <v>170</v>
      </c>
      <c r="H16" s="56" t="s">
        <v>1722</v>
      </c>
      <c r="I16" s="56"/>
      <c r="J16" s="56" t="s">
        <v>1717</v>
      </c>
      <c r="K16" s="56" t="s">
        <v>1718</v>
      </c>
      <c r="L16" s="56" t="s">
        <v>1717</v>
      </c>
      <c r="M16" s="68"/>
      <c r="N16" s="170" t="s">
        <v>1762</v>
      </c>
      <c r="O16" s="82" t="s">
        <v>1763</v>
      </c>
    </row>
    <row r="17" spans="1:15" ht="41.25">
      <c r="A17" s="374" t="s">
        <v>9</v>
      </c>
      <c r="B17" s="30" t="s">
        <v>10</v>
      </c>
      <c r="C17" s="77" t="s">
        <v>11</v>
      </c>
      <c r="D17" s="56" t="s">
        <v>11</v>
      </c>
      <c r="E17" s="56" t="s">
        <v>11</v>
      </c>
      <c r="F17" s="73" t="s">
        <v>1764</v>
      </c>
      <c r="G17" s="56"/>
      <c r="H17" s="56" t="s">
        <v>1715</v>
      </c>
      <c r="I17" s="56" t="s">
        <v>1716</v>
      </c>
      <c r="J17" s="56" t="s">
        <v>1717</v>
      </c>
      <c r="K17" s="56" t="s">
        <v>1718</v>
      </c>
      <c r="L17" s="56" t="s">
        <v>1717</v>
      </c>
      <c r="M17" s="167"/>
      <c r="N17" s="170" t="s">
        <v>1765</v>
      </c>
      <c r="O17" s="82" t="s">
        <v>1763</v>
      </c>
    </row>
    <row r="18" spans="1:15" ht="41.25">
      <c r="A18" s="375"/>
      <c r="B18" s="30" t="s">
        <v>168</v>
      </c>
      <c r="C18" s="77" t="s">
        <v>16</v>
      </c>
      <c r="D18" s="56" t="s">
        <v>16</v>
      </c>
      <c r="E18" s="63" t="s">
        <v>297</v>
      </c>
      <c r="F18" s="189" t="s">
        <v>1766</v>
      </c>
      <c r="G18" s="56"/>
      <c r="H18" s="56" t="s">
        <v>1715</v>
      </c>
      <c r="I18" s="56" t="s">
        <v>1730</v>
      </c>
      <c r="J18" s="56" t="s">
        <v>1717</v>
      </c>
      <c r="K18" s="56" t="s">
        <v>1718</v>
      </c>
      <c r="L18" s="56" t="s">
        <v>1717</v>
      </c>
      <c r="M18" s="167" t="s">
        <v>1767</v>
      </c>
      <c r="N18" s="171" t="s">
        <v>1648</v>
      </c>
      <c r="O18" s="82" t="s">
        <v>1763</v>
      </c>
    </row>
    <row r="19" spans="1:15" ht="29.25" customHeight="1">
      <c r="A19" s="375"/>
      <c r="B19" s="30" t="s">
        <v>168</v>
      </c>
      <c r="C19" s="77" t="s">
        <v>13</v>
      </c>
      <c r="D19" s="191" t="s">
        <v>1768</v>
      </c>
      <c r="E19" s="56" t="s">
        <v>274</v>
      </c>
      <c r="F19" s="73" t="s">
        <v>1769</v>
      </c>
      <c r="G19" s="192"/>
      <c r="H19" s="56" t="s">
        <v>1715</v>
      </c>
      <c r="I19" s="56" t="s">
        <v>1716</v>
      </c>
      <c r="J19" s="56" t="s">
        <v>1717</v>
      </c>
      <c r="K19" s="56" t="s">
        <v>1718</v>
      </c>
      <c r="L19" s="56" t="s">
        <v>1717</v>
      </c>
      <c r="M19" s="167"/>
      <c r="N19" s="173" t="s">
        <v>1770</v>
      </c>
      <c r="O19" s="135" t="s">
        <v>1763</v>
      </c>
    </row>
    <row r="20" spans="1:15" ht="41.25">
      <c r="A20" s="375"/>
      <c r="B20" s="30" t="s">
        <v>168</v>
      </c>
      <c r="C20" s="77" t="s">
        <v>15</v>
      </c>
      <c r="D20" s="191" t="s">
        <v>925</v>
      </c>
      <c r="E20" s="56" t="s">
        <v>623</v>
      </c>
      <c r="F20" s="73" t="s">
        <v>1771</v>
      </c>
      <c r="G20" s="192"/>
      <c r="H20" s="56" t="s">
        <v>1715</v>
      </c>
      <c r="I20" s="56" t="s">
        <v>1716</v>
      </c>
      <c r="J20" s="56" t="s">
        <v>1717</v>
      </c>
      <c r="K20" s="56" t="s">
        <v>1718</v>
      </c>
      <c r="L20" s="56" t="s">
        <v>1717</v>
      </c>
      <c r="M20" s="68"/>
      <c r="N20" s="170" t="s">
        <v>1772</v>
      </c>
      <c r="O20" s="82" t="s">
        <v>1763</v>
      </c>
    </row>
    <row r="21" spans="1:15" ht="27.75">
      <c r="A21" s="370" t="s">
        <v>55</v>
      </c>
      <c r="B21" s="185" t="s">
        <v>60</v>
      </c>
      <c r="C21" s="77" t="s">
        <v>61</v>
      </c>
      <c r="D21" s="56" t="s">
        <v>139</v>
      </c>
      <c r="E21" s="56" t="s">
        <v>306</v>
      </c>
      <c r="F21" s="73" t="s">
        <v>1773</v>
      </c>
      <c r="G21" s="56"/>
      <c r="H21" s="56" t="s">
        <v>1715</v>
      </c>
      <c r="I21" s="56" t="s">
        <v>1730</v>
      </c>
      <c r="J21" s="56" t="s">
        <v>1717</v>
      </c>
      <c r="K21" s="56" t="s">
        <v>1718</v>
      </c>
      <c r="L21" s="56" t="s">
        <v>1717</v>
      </c>
      <c r="M21" s="68"/>
      <c r="N21" s="27"/>
      <c r="O21" s="27"/>
    </row>
    <row r="22" spans="1:15" ht="27.75">
      <c r="A22" s="370"/>
      <c r="B22" s="185" t="s">
        <v>60</v>
      </c>
      <c r="C22" s="77" t="s">
        <v>99</v>
      </c>
      <c r="D22" s="56" t="s">
        <v>931</v>
      </c>
      <c r="E22" s="56" t="s">
        <v>708</v>
      </c>
      <c r="F22" s="73" t="s">
        <v>1774</v>
      </c>
      <c r="G22" s="56"/>
      <c r="H22" s="56" t="s">
        <v>1715</v>
      </c>
      <c r="I22" s="56" t="s">
        <v>1716</v>
      </c>
      <c r="J22" s="56" t="s">
        <v>1717</v>
      </c>
      <c r="K22" s="56"/>
      <c r="L22" s="56" t="s">
        <v>1717</v>
      </c>
      <c r="M22" s="68"/>
      <c r="N22" s="27"/>
      <c r="O22" s="27"/>
    </row>
    <row r="23" spans="1:15" ht="27.75">
      <c r="A23" s="370"/>
      <c r="B23" s="185" t="s">
        <v>163</v>
      </c>
      <c r="C23" s="77" t="s">
        <v>57</v>
      </c>
      <c r="D23" s="56" t="s">
        <v>57</v>
      </c>
      <c r="E23" s="56" t="s">
        <v>533</v>
      </c>
      <c r="F23" s="73" t="s">
        <v>1775</v>
      </c>
      <c r="G23" s="56"/>
      <c r="H23" s="56" t="s">
        <v>1715</v>
      </c>
      <c r="I23" s="56" t="s">
        <v>1730</v>
      </c>
      <c r="J23" s="56" t="s">
        <v>1717</v>
      </c>
      <c r="K23" s="56"/>
      <c r="L23" s="56" t="s">
        <v>1717</v>
      </c>
      <c r="M23" s="68"/>
      <c r="N23" s="27"/>
      <c r="O23" s="27"/>
    </row>
    <row r="24" spans="1:15" ht="27.75">
      <c r="A24" s="370"/>
      <c r="B24" s="185" t="s">
        <v>1776</v>
      </c>
      <c r="C24" s="77" t="s">
        <v>63</v>
      </c>
      <c r="D24" s="56" t="s">
        <v>63</v>
      </c>
      <c r="E24" s="56" t="s">
        <v>63</v>
      </c>
      <c r="F24" s="73" t="s">
        <v>1777</v>
      </c>
      <c r="G24" s="56"/>
      <c r="H24" s="30" t="s">
        <v>1715</v>
      </c>
      <c r="I24" s="56" t="s">
        <v>1730</v>
      </c>
      <c r="J24" s="56" t="s">
        <v>1717</v>
      </c>
      <c r="K24" s="56" t="s">
        <v>1718</v>
      </c>
      <c r="L24" s="56" t="s">
        <v>1717</v>
      </c>
      <c r="M24" s="68"/>
      <c r="N24" s="27"/>
      <c r="O24" s="27"/>
    </row>
    <row r="25" spans="1:15" ht="27.75">
      <c r="A25" s="370"/>
      <c r="B25" s="185" t="s">
        <v>169</v>
      </c>
      <c r="C25" s="77" t="s">
        <v>65</v>
      </c>
      <c r="D25" s="56" t="s">
        <v>924</v>
      </c>
      <c r="E25" s="56" t="s">
        <v>511</v>
      </c>
      <c r="F25" s="73" t="s">
        <v>1778</v>
      </c>
      <c r="G25" s="56"/>
      <c r="H25" s="56" t="s">
        <v>1715</v>
      </c>
      <c r="I25" s="56" t="s">
        <v>1730</v>
      </c>
      <c r="J25" s="56" t="s">
        <v>1717</v>
      </c>
      <c r="K25" s="56" t="s">
        <v>1718</v>
      </c>
      <c r="L25" s="56" t="s">
        <v>1717</v>
      </c>
      <c r="M25" s="68"/>
      <c r="N25" s="27"/>
      <c r="O25" s="27"/>
    </row>
    <row r="26" spans="1:15" ht="27.75">
      <c r="A26" s="370"/>
      <c r="B26" s="185" t="s">
        <v>169</v>
      </c>
      <c r="C26" s="77" t="s">
        <v>68</v>
      </c>
      <c r="D26" s="362" t="s">
        <v>923</v>
      </c>
      <c r="E26" s="362" t="s">
        <v>780</v>
      </c>
      <c r="F26" s="368" t="s">
        <v>1779</v>
      </c>
      <c r="G26" s="56"/>
      <c r="H26" s="56" t="s">
        <v>1715</v>
      </c>
      <c r="I26" s="56" t="s">
        <v>1780</v>
      </c>
      <c r="J26" s="56" t="s">
        <v>1717</v>
      </c>
      <c r="K26" s="56"/>
      <c r="L26" s="56" t="s">
        <v>1717</v>
      </c>
      <c r="M26" s="68"/>
      <c r="N26" s="27"/>
      <c r="O26" s="27"/>
    </row>
    <row r="27" spans="1:15" ht="27.75">
      <c r="A27" s="370"/>
      <c r="B27" s="186" t="s">
        <v>169</v>
      </c>
      <c r="C27" s="77" t="s">
        <v>67</v>
      </c>
      <c r="D27" s="367"/>
      <c r="E27" s="367"/>
      <c r="F27" s="369"/>
      <c r="G27" s="56"/>
      <c r="H27" s="56" t="s">
        <v>1717</v>
      </c>
      <c r="I27" s="56" t="s">
        <v>1780</v>
      </c>
      <c r="J27" s="56" t="s">
        <v>1717</v>
      </c>
      <c r="K27" s="56"/>
      <c r="L27" s="56" t="s">
        <v>1717</v>
      </c>
      <c r="M27" s="68"/>
      <c r="N27" s="27"/>
      <c r="O27" s="27"/>
    </row>
    <row r="28" spans="1:15" ht="32.25" customHeight="1">
      <c r="A28" s="371"/>
      <c r="B28" s="186" t="s">
        <v>55</v>
      </c>
      <c r="C28" s="358" t="s">
        <v>62</v>
      </c>
      <c r="D28" s="63" t="s">
        <v>858</v>
      </c>
      <c r="E28" s="63" t="s">
        <v>858</v>
      </c>
      <c r="F28" s="189" t="s">
        <v>1781</v>
      </c>
      <c r="G28" s="221"/>
      <c r="H28" s="63" t="s">
        <v>1717</v>
      </c>
      <c r="I28" s="63" t="s">
        <v>1780</v>
      </c>
      <c r="J28" s="63" t="s">
        <v>1717</v>
      </c>
      <c r="K28" s="63"/>
      <c r="L28" s="63" t="s">
        <v>1717</v>
      </c>
      <c r="M28" s="169"/>
      <c r="N28" s="40"/>
      <c r="O28" s="40"/>
    </row>
    <row r="29" spans="1:15" ht="33" customHeight="1">
      <c r="A29" s="364" t="s">
        <v>30</v>
      </c>
      <c r="B29" s="30" t="s">
        <v>39</v>
      </c>
      <c r="C29" s="77" t="s">
        <v>40</v>
      </c>
      <c r="D29" s="56" t="s">
        <v>1782</v>
      </c>
      <c r="E29" s="56" t="s">
        <v>795</v>
      </c>
      <c r="F29" s="73" t="s">
        <v>1783</v>
      </c>
      <c r="G29" s="56"/>
      <c r="H29" s="56" t="s">
        <v>1717</v>
      </c>
      <c r="I29" s="67"/>
      <c r="J29" s="56" t="s">
        <v>1717</v>
      </c>
      <c r="K29" s="67"/>
      <c r="L29" s="67"/>
      <c r="M29" s="30"/>
      <c r="N29" s="27"/>
      <c r="O29" s="27"/>
    </row>
    <row r="30" spans="1:15">
      <c r="A30" s="364"/>
      <c r="B30" s="30" t="s">
        <v>34</v>
      </c>
      <c r="C30" s="77" t="s">
        <v>35</v>
      </c>
      <c r="D30" s="365" t="s">
        <v>927</v>
      </c>
      <c r="E30" s="365" t="s">
        <v>591</v>
      </c>
      <c r="F30" s="366" t="s">
        <v>1784</v>
      </c>
      <c r="G30" s="56"/>
      <c r="H30" s="56" t="s">
        <v>1717</v>
      </c>
      <c r="I30" s="56" t="s">
        <v>1780</v>
      </c>
      <c r="J30" s="56" t="s">
        <v>1717</v>
      </c>
      <c r="K30" s="56" t="s">
        <v>1718</v>
      </c>
      <c r="L30" s="56" t="s">
        <v>1717</v>
      </c>
      <c r="M30" s="30"/>
      <c r="N30" s="27"/>
      <c r="O30" s="27"/>
    </row>
    <row r="31" spans="1:15">
      <c r="A31" s="364"/>
      <c r="B31" s="30" t="s">
        <v>34</v>
      </c>
      <c r="C31" s="77" t="s">
        <v>37</v>
      </c>
      <c r="D31" s="365"/>
      <c r="E31" s="365"/>
      <c r="F31" s="365"/>
      <c r="G31" s="56"/>
      <c r="H31" s="56" t="s">
        <v>1717</v>
      </c>
      <c r="I31" s="56" t="s">
        <v>1780</v>
      </c>
      <c r="J31" s="56" t="s">
        <v>1717</v>
      </c>
      <c r="K31" s="56"/>
      <c r="L31" s="56"/>
      <c r="M31" s="30"/>
      <c r="N31" s="27"/>
      <c r="O31" s="27"/>
    </row>
    <row r="32" spans="1:15" ht="32.25" customHeight="1">
      <c r="A32" s="364"/>
      <c r="B32" s="30" t="s">
        <v>34</v>
      </c>
      <c r="C32" s="77" t="s">
        <v>36</v>
      </c>
      <c r="D32" s="56" t="s">
        <v>153</v>
      </c>
      <c r="E32" s="56" t="s">
        <v>154</v>
      </c>
      <c r="F32" s="73" t="s">
        <v>1785</v>
      </c>
      <c r="G32" s="56"/>
      <c r="H32" s="56" t="s">
        <v>1722</v>
      </c>
      <c r="I32" s="56"/>
      <c r="J32" s="56" t="s">
        <v>1717</v>
      </c>
      <c r="K32" s="56"/>
      <c r="L32" s="56" t="s">
        <v>1717</v>
      </c>
      <c r="M32" s="30"/>
      <c r="N32" s="27"/>
      <c r="O32" s="27"/>
    </row>
    <row r="33" spans="1:21" ht="32.25" customHeight="1">
      <c r="A33" s="364"/>
      <c r="B33" s="30" t="s">
        <v>39</v>
      </c>
      <c r="C33" s="77" t="s">
        <v>32</v>
      </c>
      <c r="D33" s="56" t="s">
        <v>1786</v>
      </c>
      <c r="E33" s="56" t="s">
        <v>880</v>
      </c>
      <c r="F33" s="73" t="s">
        <v>1787</v>
      </c>
      <c r="G33" s="56"/>
      <c r="H33" s="56" t="s">
        <v>1717</v>
      </c>
      <c r="I33" s="56"/>
      <c r="J33" s="56" t="s">
        <v>1717</v>
      </c>
      <c r="K33" s="56"/>
      <c r="L33" s="56"/>
      <c r="M33" s="30"/>
      <c r="N33" s="82" t="s">
        <v>1788</v>
      </c>
      <c r="O33" s="27"/>
    </row>
    <row r="34" spans="1:21" ht="27.75">
      <c r="A34" s="364"/>
      <c r="B34" s="30" t="s">
        <v>170</v>
      </c>
      <c r="C34" s="77" t="s">
        <v>38</v>
      </c>
      <c r="D34" s="56" t="s">
        <v>38</v>
      </c>
      <c r="E34" s="56" t="s">
        <v>38</v>
      </c>
      <c r="F34" s="73"/>
      <c r="G34" s="56"/>
      <c r="H34" s="56" t="s">
        <v>1717</v>
      </c>
      <c r="I34" s="56" t="s">
        <v>1780</v>
      </c>
      <c r="J34" s="67"/>
      <c r="K34" s="67"/>
      <c r="L34" s="67" t="s">
        <v>1717</v>
      </c>
      <c r="M34" s="27" t="s">
        <v>1789</v>
      </c>
      <c r="N34" s="27"/>
      <c r="O34" s="27"/>
    </row>
    <row r="35" spans="1:21" ht="27.75">
      <c r="A35" s="364"/>
      <c r="B35" s="30" t="s">
        <v>31</v>
      </c>
      <c r="C35" s="77" t="s">
        <v>33</v>
      </c>
      <c r="D35" s="56" t="s">
        <v>1790</v>
      </c>
      <c r="E35" s="56" t="s">
        <v>33</v>
      </c>
      <c r="F35" s="73" t="s">
        <v>1791</v>
      </c>
      <c r="G35" s="56"/>
      <c r="H35" s="56" t="s">
        <v>1717</v>
      </c>
      <c r="I35" s="56"/>
      <c r="J35" s="67" t="s">
        <v>1717</v>
      </c>
      <c r="K35" s="67"/>
      <c r="L35" s="67"/>
      <c r="M35" s="27"/>
      <c r="N35" s="27"/>
      <c r="O35" s="27"/>
    </row>
    <row r="36" spans="1:21" ht="27.75">
      <c r="A36" s="375" t="s">
        <v>23</v>
      </c>
      <c r="B36" s="352" t="s">
        <v>24</v>
      </c>
      <c r="C36" s="220" t="s">
        <v>25</v>
      </c>
      <c r="D36" s="156" t="s">
        <v>25</v>
      </c>
      <c r="E36" s="156" t="s">
        <v>697</v>
      </c>
      <c r="F36" s="190" t="s">
        <v>1792</v>
      </c>
      <c r="G36" s="156"/>
      <c r="H36" s="156" t="s">
        <v>1715</v>
      </c>
      <c r="I36" s="156" t="s">
        <v>1716</v>
      </c>
      <c r="J36" s="156" t="s">
        <v>1717</v>
      </c>
      <c r="K36" s="156"/>
      <c r="L36" s="156" t="s">
        <v>1717</v>
      </c>
      <c r="M36" s="359"/>
      <c r="N36" s="172" t="s">
        <v>1793</v>
      </c>
      <c r="O36" s="172" t="s">
        <v>1794</v>
      </c>
      <c r="U36" s="25" t="s">
        <v>1722</v>
      </c>
    </row>
    <row r="37" spans="1:21" ht="27.75">
      <c r="A37" s="375"/>
      <c r="B37" s="30" t="s">
        <v>24</v>
      </c>
      <c r="C37" s="77" t="s">
        <v>26</v>
      </c>
      <c r="D37" s="63" t="s">
        <v>26</v>
      </c>
      <c r="E37" s="63" t="s">
        <v>874</v>
      </c>
      <c r="F37" s="160" t="s">
        <v>1795</v>
      </c>
      <c r="G37" s="63"/>
      <c r="H37" s="63" t="s">
        <v>1717</v>
      </c>
      <c r="I37" s="63"/>
      <c r="J37" s="63" t="s">
        <v>1717</v>
      </c>
      <c r="K37" s="56"/>
      <c r="L37" s="56"/>
      <c r="M37" s="68"/>
      <c r="N37" s="82" t="s">
        <v>1796</v>
      </c>
      <c r="O37" s="82" t="s">
        <v>1797</v>
      </c>
    </row>
    <row r="38" spans="1:21" ht="45.75" customHeight="1">
      <c r="A38" s="376"/>
      <c r="B38" s="30" t="s">
        <v>27</v>
      </c>
      <c r="C38" s="360" t="s">
        <v>28</v>
      </c>
      <c r="D38" s="56" t="s">
        <v>930</v>
      </c>
      <c r="E38" s="56" t="s">
        <v>480</v>
      </c>
      <c r="F38" s="73" t="s">
        <v>1798</v>
      </c>
      <c r="G38" s="56"/>
      <c r="H38" s="56" t="s">
        <v>1715</v>
      </c>
      <c r="I38" s="56" t="s">
        <v>1716</v>
      </c>
      <c r="J38" s="56" t="s">
        <v>1717</v>
      </c>
      <c r="K38" s="192" t="s">
        <v>1718</v>
      </c>
      <c r="L38" s="56" t="s">
        <v>1717</v>
      </c>
      <c r="M38" s="68"/>
      <c r="N38" s="170" t="s">
        <v>1799</v>
      </c>
      <c r="O38" s="82" t="s">
        <v>1763</v>
      </c>
    </row>
    <row r="39" spans="1:21">
      <c r="I39" s="64"/>
      <c r="J39" s="64"/>
      <c r="K39" s="64"/>
      <c r="L39" s="64"/>
    </row>
    <row r="40" spans="1:21">
      <c r="A40" s="8" t="s">
        <v>1800</v>
      </c>
      <c r="B40" s="353"/>
      <c r="C40" s="155"/>
      <c r="I40" s="64"/>
      <c r="J40" s="64"/>
      <c r="K40" s="64"/>
      <c r="L40" s="64"/>
    </row>
    <row r="41" spans="1:21" ht="29.25" customHeight="1">
      <c r="A41" s="364" t="s">
        <v>73</v>
      </c>
      <c r="B41" s="30" t="s">
        <v>76</v>
      </c>
      <c r="C41" s="77" t="s">
        <v>78</v>
      </c>
      <c r="D41" s="362" t="s">
        <v>78</v>
      </c>
      <c r="E41" s="362" t="s">
        <v>78</v>
      </c>
      <c r="F41" s="368" t="s">
        <v>1801</v>
      </c>
      <c r="G41" s="56"/>
      <c r="H41" s="362" t="s">
        <v>1715</v>
      </c>
      <c r="I41" s="56" t="s">
        <v>1716</v>
      </c>
      <c r="J41" s="362" t="s">
        <v>1717</v>
      </c>
      <c r="K41" s="56"/>
      <c r="L41" s="56"/>
      <c r="M41" s="30"/>
      <c r="N41" s="27"/>
      <c r="O41" s="27"/>
    </row>
    <row r="42" spans="1:21">
      <c r="A42" s="364"/>
      <c r="B42" s="30" t="s">
        <v>74</v>
      </c>
      <c r="C42" s="77" t="s">
        <v>75</v>
      </c>
      <c r="D42" s="363"/>
      <c r="E42" s="363"/>
      <c r="F42" s="377"/>
      <c r="G42" s="56"/>
      <c r="H42" s="363"/>
      <c r="I42" s="56"/>
      <c r="J42" s="363"/>
      <c r="K42" s="56"/>
      <c r="L42" s="56"/>
      <c r="M42" s="30"/>
      <c r="N42" s="27"/>
      <c r="O42" s="27"/>
    </row>
    <row r="43" spans="1:21" ht="27.75">
      <c r="A43" s="364"/>
      <c r="B43" s="30" t="s">
        <v>907</v>
      </c>
      <c r="C43" s="77" t="s">
        <v>904</v>
      </c>
      <c r="D43" s="56" t="s">
        <v>1802</v>
      </c>
      <c r="E43" s="56" t="s">
        <v>909</v>
      </c>
      <c r="F43" s="160" t="s">
        <v>1803</v>
      </c>
      <c r="G43" s="56"/>
      <c r="H43" s="56" t="s">
        <v>1717</v>
      </c>
      <c r="I43" s="56"/>
      <c r="J43" s="56" t="s">
        <v>1717</v>
      </c>
      <c r="K43" s="56"/>
      <c r="L43" s="56"/>
      <c r="M43" s="30" t="s">
        <v>1804</v>
      </c>
      <c r="N43" s="27"/>
      <c r="O43" s="27"/>
    </row>
    <row r="44" spans="1:21" ht="27.75">
      <c r="A44" s="76" t="s">
        <v>17</v>
      </c>
      <c r="B44" s="30"/>
      <c r="C44" s="77" t="s">
        <v>19</v>
      </c>
      <c r="D44" s="56" t="s">
        <v>1805</v>
      </c>
      <c r="E44" s="56" t="s">
        <v>1805</v>
      </c>
      <c r="F44" s="56"/>
      <c r="G44" s="56"/>
      <c r="H44" s="56" t="s">
        <v>1717</v>
      </c>
      <c r="I44" s="56"/>
      <c r="J44" s="56" t="s">
        <v>1717</v>
      </c>
      <c r="K44" s="56"/>
      <c r="L44" s="56"/>
      <c r="M44" s="30" t="s">
        <v>1806</v>
      </c>
      <c r="N44" s="27"/>
      <c r="O44" s="27"/>
    </row>
    <row r="45" spans="1:21">
      <c r="I45" s="64"/>
      <c r="J45" s="64"/>
      <c r="K45" s="64"/>
      <c r="L45" s="64"/>
    </row>
    <row r="46" spans="1:21">
      <c r="A46" s="8" t="s">
        <v>1807</v>
      </c>
      <c r="B46" s="353"/>
      <c r="I46" s="64"/>
      <c r="J46" s="64"/>
      <c r="K46" s="64"/>
      <c r="L46" s="64"/>
    </row>
    <row r="47" spans="1:21" ht="32.25" customHeight="1">
      <c r="A47" s="76" t="s">
        <v>20</v>
      </c>
      <c r="B47" s="30" t="s">
        <v>21</v>
      </c>
      <c r="C47" s="77" t="s">
        <v>22</v>
      </c>
      <c r="D47" s="56" t="s">
        <v>22</v>
      </c>
      <c r="E47" s="56" t="s">
        <v>22</v>
      </c>
      <c r="F47" s="73" t="s">
        <v>1808</v>
      </c>
      <c r="G47" s="56"/>
      <c r="H47" s="56" t="s">
        <v>1717</v>
      </c>
      <c r="I47" s="56"/>
      <c r="J47" s="56" t="s">
        <v>1717</v>
      </c>
      <c r="K47" s="56"/>
      <c r="L47" s="56"/>
      <c r="M47" s="30"/>
      <c r="N47" s="82"/>
      <c r="O47" s="27"/>
    </row>
    <row r="48" spans="1:21">
      <c r="A48" s="76" t="s">
        <v>93</v>
      </c>
      <c r="B48" s="30" t="s">
        <v>94</v>
      </c>
      <c r="C48" s="77" t="s">
        <v>95</v>
      </c>
      <c r="D48" s="56" t="s">
        <v>156</v>
      </c>
      <c r="E48" s="56" t="s">
        <v>157</v>
      </c>
      <c r="F48" s="56"/>
      <c r="G48" s="56"/>
      <c r="H48" s="56" t="s">
        <v>1717</v>
      </c>
      <c r="I48" s="67"/>
      <c r="J48" s="56" t="s">
        <v>1717</v>
      </c>
      <c r="K48" s="67"/>
      <c r="L48" s="67"/>
      <c r="M48" s="30"/>
      <c r="N48" s="27"/>
      <c r="O48" s="27"/>
    </row>
    <row r="49" spans="1:15">
      <c r="I49" s="64"/>
      <c r="J49" s="64"/>
      <c r="K49" s="64"/>
      <c r="L49" s="64"/>
    </row>
    <row r="50" spans="1:15" ht="27.75">
      <c r="A50" s="66" t="s">
        <v>1809</v>
      </c>
      <c r="I50" s="64"/>
      <c r="J50" s="64"/>
      <c r="K50" s="64"/>
      <c r="L50" s="64"/>
    </row>
    <row r="51" spans="1:15" ht="41.25">
      <c r="A51" s="355" t="s">
        <v>1703</v>
      </c>
      <c r="B51" s="356" t="s">
        <v>1704</v>
      </c>
      <c r="C51" s="356" t="s">
        <v>3</v>
      </c>
      <c r="D51" s="355" t="s">
        <v>1705</v>
      </c>
      <c r="E51" s="355" t="s">
        <v>123</v>
      </c>
      <c r="F51" s="355" t="s">
        <v>1706</v>
      </c>
      <c r="G51" s="355" t="s">
        <v>125</v>
      </c>
      <c r="H51" s="355" t="s">
        <v>1707</v>
      </c>
      <c r="I51" s="355" t="s">
        <v>1708</v>
      </c>
      <c r="J51" s="355" t="s">
        <v>1810</v>
      </c>
      <c r="K51" s="355" t="s">
        <v>1710</v>
      </c>
      <c r="L51" s="355" t="s">
        <v>1711</v>
      </c>
      <c r="M51" s="357" t="s">
        <v>161</v>
      </c>
      <c r="N51" s="152" t="s">
        <v>1811</v>
      </c>
      <c r="O51" s="152" t="s">
        <v>1812</v>
      </c>
    </row>
    <row r="52" spans="1:15" ht="27.75">
      <c r="A52" s="364" t="s">
        <v>5</v>
      </c>
      <c r="B52" s="30" t="s">
        <v>689</v>
      </c>
      <c r="C52" s="77"/>
      <c r="D52" s="56" t="s">
        <v>1813</v>
      </c>
      <c r="E52" s="56" t="s">
        <v>1814</v>
      </c>
      <c r="F52" s="73" t="s">
        <v>1815</v>
      </c>
      <c r="G52" s="56"/>
      <c r="H52" s="56" t="s">
        <v>1717</v>
      </c>
      <c r="I52" s="30"/>
      <c r="J52" s="30" t="s">
        <v>1816</v>
      </c>
      <c r="K52" s="30"/>
      <c r="L52" s="30"/>
      <c r="M52" s="365" t="s">
        <v>1817</v>
      </c>
      <c r="N52" s="27"/>
      <c r="O52" s="27"/>
    </row>
    <row r="53" spans="1:15">
      <c r="A53" s="364"/>
      <c r="B53" s="30" t="s">
        <v>6</v>
      </c>
      <c r="C53" s="77"/>
      <c r="D53" s="56" t="s">
        <v>1818</v>
      </c>
      <c r="E53" s="56" t="s">
        <v>1819</v>
      </c>
      <c r="F53" s="354" t="s">
        <v>1820</v>
      </c>
      <c r="G53" s="56"/>
      <c r="H53" s="56" t="s">
        <v>1717</v>
      </c>
      <c r="I53" s="30"/>
      <c r="J53" s="30" t="s">
        <v>1821</v>
      </c>
      <c r="K53" s="30"/>
      <c r="L53" s="30"/>
      <c r="M53" s="365"/>
      <c r="N53" s="27"/>
      <c r="O53" s="27"/>
    </row>
    <row r="54" spans="1:15" ht="27.75">
      <c r="A54" s="364"/>
      <c r="B54" s="30" t="s">
        <v>1822</v>
      </c>
      <c r="C54" s="77"/>
      <c r="D54" s="56" t="s">
        <v>1823</v>
      </c>
      <c r="E54" s="56" t="s">
        <v>1824</v>
      </c>
      <c r="F54" s="73" t="s">
        <v>1825</v>
      </c>
      <c r="G54" s="56"/>
      <c r="H54" s="56" t="s">
        <v>1717</v>
      </c>
      <c r="I54" s="30"/>
      <c r="J54" s="30" t="s">
        <v>1826</v>
      </c>
      <c r="K54" s="30"/>
      <c r="L54" s="30"/>
      <c r="M54" s="365"/>
      <c r="N54" s="27" t="s">
        <v>970</v>
      </c>
      <c r="O54" s="27" t="s">
        <v>1827</v>
      </c>
    </row>
    <row r="55" spans="1:15" ht="27.75">
      <c r="A55" s="364"/>
      <c r="B55" s="30" t="s">
        <v>1828</v>
      </c>
      <c r="C55" s="77"/>
      <c r="D55" s="56" t="s">
        <v>1829</v>
      </c>
      <c r="E55" s="56" t="s">
        <v>1829</v>
      </c>
      <c r="F55" s="73" t="s">
        <v>1830</v>
      </c>
      <c r="G55" s="56"/>
      <c r="H55" s="56" t="s">
        <v>1717</v>
      </c>
      <c r="I55" s="30"/>
      <c r="J55" s="30" t="s">
        <v>1831</v>
      </c>
      <c r="K55" s="30"/>
      <c r="L55" s="30"/>
      <c r="M55" s="365"/>
      <c r="N55" s="27"/>
      <c r="O55" s="27"/>
    </row>
    <row r="56" spans="1:15" ht="41.25">
      <c r="A56" s="351" t="s">
        <v>17</v>
      </c>
      <c r="B56" s="69" t="s">
        <v>1832</v>
      </c>
      <c r="C56" s="168" t="s">
        <v>19</v>
      </c>
      <c r="D56" s="63"/>
      <c r="E56" s="63" t="s">
        <v>1833</v>
      </c>
      <c r="F56" s="63"/>
      <c r="G56" s="63"/>
      <c r="H56" s="63" t="s">
        <v>1717</v>
      </c>
      <c r="I56" s="69"/>
      <c r="J56" s="69" t="s">
        <v>1834</v>
      </c>
      <c r="K56" s="69"/>
      <c r="L56" s="69"/>
      <c r="M56" s="69" t="s">
        <v>1835</v>
      </c>
      <c r="N56" s="40" t="s">
        <v>970</v>
      </c>
      <c r="O56" s="40" t="s">
        <v>1836</v>
      </c>
    </row>
    <row r="57" spans="1:15" ht="15" customHeight="1">
      <c r="A57" s="76" t="s">
        <v>23</v>
      </c>
      <c r="B57" s="30" t="s">
        <v>23</v>
      </c>
      <c r="C57" s="77" t="s">
        <v>29</v>
      </c>
      <c r="D57" s="56" t="s">
        <v>29</v>
      </c>
      <c r="E57" s="56" t="s">
        <v>1837</v>
      </c>
      <c r="F57" s="56"/>
      <c r="G57" s="56"/>
      <c r="H57" s="56"/>
      <c r="I57" s="30"/>
      <c r="J57" s="30"/>
      <c r="K57" s="30"/>
      <c r="L57" s="30"/>
      <c r="M57" s="30"/>
      <c r="N57" s="27"/>
      <c r="O57" s="27" t="s">
        <v>1838</v>
      </c>
    </row>
    <row r="58" spans="1:15" ht="15" customHeight="1">
      <c r="A58" s="76"/>
      <c r="B58" s="30"/>
      <c r="C58" s="77"/>
      <c r="D58" s="56"/>
      <c r="E58" s="56"/>
      <c r="F58" s="56"/>
      <c r="G58" s="56"/>
      <c r="H58" s="56"/>
      <c r="I58" s="30"/>
      <c r="J58" s="30"/>
      <c r="K58" s="30"/>
      <c r="L58" s="30"/>
      <c r="M58" s="30"/>
      <c r="N58" s="27"/>
      <c r="O58" s="27"/>
    </row>
  </sheetData>
  <sheetProtection sheet="1" objects="1" scenarios="1" sort="0" autoFilter="0" pivotTables="0"/>
  <autoFilter ref="A1:O57" xr:uid="{2BA794A2-3F61-42E8-A205-22E9BF35D656}"/>
  <mergeCells count="26">
    <mergeCell ref="A52:A55"/>
    <mergeCell ref="M52:M55"/>
    <mergeCell ref="A10:A16"/>
    <mergeCell ref="A29:A35"/>
    <mergeCell ref="A17:A20"/>
    <mergeCell ref="A36:A38"/>
    <mergeCell ref="D41:D42"/>
    <mergeCell ref="E41:E42"/>
    <mergeCell ref="F41:F42"/>
    <mergeCell ref="H41:H42"/>
    <mergeCell ref="J41:J42"/>
    <mergeCell ref="H4:H5"/>
    <mergeCell ref="J4:J5"/>
    <mergeCell ref="A41:A43"/>
    <mergeCell ref="D30:D31"/>
    <mergeCell ref="E30:E31"/>
    <mergeCell ref="F30:F31"/>
    <mergeCell ref="D26:D27"/>
    <mergeCell ref="E26:E27"/>
    <mergeCell ref="F26:F27"/>
    <mergeCell ref="A21:A28"/>
    <mergeCell ref="G4:G6"/>
    <mergeCell ref="A2:A9"/>
    <mergeCell ref="D4:D5"/>
    <mergeCell ref="E4:E5"/>
    <mergeCell ref="F4:F5"/>
  </mergeCells>
  <conditionalFormatting sqref="H1:H4 H6:H41 H43:H1048576">
    <cfRule type="cellIs" dxfId="30" priority="1" operator="equal">
      <formula>"Created for GA"</formula>
    </cfRule>
    <cfRule type="containsText" dxfId="29" priority="6" operator="containsText" text="Created for pilot">
      <formula>NOT(ISERROR(SEARCH("Created for pilot",H1)))</formula>
    </cfRule>
  </conditionalFormatting>
  <conditionalFormatting sqref="H1:L4 K5:L5 H6:L41 K42:L42 H43:L1048576 I5 I42">
    <cfRule type="containsText" dxfId="28" priority="4" operator="containsText" text="To be created for GA">
      <formula>NOT(ISERROR(SEARCH("To be created for GA",H1)))</formula>
    </cfRule>
  </conditionalFormatting>
  <conditionalFormatting sqref="J1:L4 K5:L5 J6:L41 K42:L42 J43:L1048576">
    <cfRule type="containsText" dxfId="27" priority="3" operator="containsText" text="Done">
      <formula>NOT(ISERROR(SEARCH("Done",J1)))</formula>
    </cfRule>
  </conditionalFormatting>
  <conditionalFormatting sqref="K1:L25 K25:K27 L26:L27 K28:L1048576">
    <cfRule type="containsText" dxfId="26" priority="2" operator="containsText" text="Available">
      <formula>NOT(ISERROR(SEARCH("Available",K1)))</formula>
    </cfRule>
  </conditionalFormatting>
  <dataValidations count="1">
    <dataValidation type="list" allowBlank="1" showInputMessage="1" showErrorMessage="1" sqref="H2:H4 H52:H56 H6:H41 H43:H50" xr:uid="{7055E895-025A-4A7D-B327-6858AB225397}">
      <formula1>$U$2:$U$10</formula1>
    </dataValidation>
  </dataValidations>
  <hyperlinks>
    <hyperlink ref="F24" r:id="rId1" xr:uid="{9111095B-812B-4BC3-977D-64AD80FF02AE}"/>
    <hyperlink ref="F25" r:id="rId2" xr:uid="{3E7DF416-FD11-4651-80CD-37132EA51C1D}"/>
    <hyperlink ref="F28" r:id="rId3" xr:uid="{5D99810C-8241-47AF-9FA7-4D44AF2AB408}"/>
    <hyperlink ref="F23" r:id="rId4" xr:uid="{B1134C0E-597D-4F25-A276-02911AFF7B64}"/>
    <hyperlink ref="F21" r:id="rId5" xr:uid="{57FC001C-033F-4BAC-9B8A-0B90AC3839AF}"/>
    <hyperlink ref="F15" r:id="rId6" xr:uid="{F56F43DD-8761-4BC5-A49E-1F01D03DBCF3}"/>
    <hyperlink ref="F2" r:id="rId7" xr:uid="{7E547865-FFEC-4586-A2EF-10683071F823}"/>
    <hyperlink ref="F3" r:id="rId8" xr:uid="{2C3AF20D-6626-4E64-AEAA-1DA6C0815135}"/>
    <hyperlink ref="F4" r:id="rId9" xr:uid="{D63A5CFA-3310-4139-A723-C40957C1869C}"/>
    <hyperlink ref="F7" r:id="rId10" xr:uid="{446E373C-FB7B-4953-AF7A-469F6C756CAD}"/>
    <hyperlink ref="F8" r:id="rId11" xr:uid="{4833721E-1D68-4A3B-B0F0-EAC4B7F417CE}"/>
    <hyperlink ref="F9" r:id="rId12" xr:uid="{D03878A2-CCB6-47E2-937C-ED03C7CE290C}"/>
    <hyperlink ref="F10" r:id="rId13" xr:uid="{1BB366E5-1ADC-4BA7-9AA1-C8D327EAEB3F}"/>
    <hyperlink ref="F11" r:id="rId14" xr:uid="{678C1519-A249-493D-B106-194D06F8F151}"/>
    <hyperlink ref="F14" r:id="rId15" xr:uid="{F10DB6B1-BF50-43E2-99B9-41A7D8030954}"/>
    <hyperlink ref="F17" r:id="rId16" xr:uid="{CB11101E-273C-44B3-B394-1C3734FDDAE5}"/>
    <hyperlink ref="F41" r:id="rId17" xr:uid="{AE87E289-2E03-4F5A-B44F-A85BBFB6B390}"/>
    <hyperlink ref="F18" r:id="rId18" xr:uid="{9A511457-89B2-4966-9FDA-EFF2795D5E93}"/>
    <hyperlink ref="F36" r:id="rId19" xr:uid="{A0C9523D-33F1-4B16-9617-4200601ACCEB}"/>
    <hyperlink ref="F22" r:id="rId20" xr:uid="{8FD93E17-E5E6-4559-8ED5-EA648A72D4D1}"/>
    <hyperlink ref="F26" r:id="rId21" xr:uid="{3CFC833C-32B0-47F0-B275-4FD51029248F}"/>
    <hyperlink ref="F30" r:id="rId22" xr:uid="{85202C01-B74C-4878-905C-8C5635830E19}"/>
    <hyperlink ref="F6" r:id="rId23" xr:uid="{C797C0D7-B3AA-4079-B6AD-9969EC95AE36}"/>
    <hyperlink ref="O2" r:id="rId24" xr:uid="{BEC3F6E6-1820-402E-9970-72394BBD187F}"/>
    <hyperlink ref="N2" r:id="rId25" xr:uid="{88B87082-D82A-4E45-AAD4-33F9C2B985AA}"/>
    <hyperlink ref="N10" r:id="rId26" xr:uid="{F87C927C-E024-4731-942C-3DDB93278CDC}"/>
    <hyperlink ref="O10" r:id="rId27" xr:uid="{B4EE2BC9-0E9D-4E6D-9635-BD9DC4150834}"/>
    <hyperlink ref="N11" r:id="rId28" xr:uid="{89FE6EAA-AE16-4AB9-BD3F-056704C380CA}"/>
    <hyperlink ref="O17" r:id="rId29" xr:uid="{2943E3C0-B0C7-4B5A-88AF-8EACEC9244E8}"/>
    <hyperlink ref="O18" r:id="rId30" xr:uid="{0F2A3A6C-DC25-4138-BEB1-E1E6AEADD424}"/>
    <hyperlink ref="O19" r:id="rId31" xr:uid="{533D4B86-0248-41F8-8D02-24B95ED703F6}"/>
    <hyperlink ref="O20" r:id="rId32" xr:uid="{07C8BB21-42B7-4DAB-BD55-539D609F73D9}"/>
    <hyperlink ref="O38" r:id="rId33" xr:uid="{5D40ED58-BC60-4972-B425-F9D270ECF750}"/>
    <hyperlink ref="O11" r:id="rId34" xr:uid="{D9FBF248-3FA8-4517-B826-F2AC60C618D2}"/>
    <hyperlink ref="N14" r:id="rId35" xr:uid="{DEC5D835-E2BF-48B5-86CC-8A899198C86A}"/>
    <hyperlink ref="O14" r:id="rId36" xr:uid="{FA36CA2B-01C8-4BAA-B7FB-54B17C600B8A}"/>
    <hyperlink ref="N15" r:id="rId37" xr:uid="{A36866F3-5336-4A4F-90A1-EA78E26E3B57}"/>
    <hyperlink ref="O15" r:id="rId38" xr:uid="{3E9852A5-D2A1-4F5C-9E38-90D0EA77E4CC}"/>
    <hyperlink ref="N17" r:id="rId39" xr:uid="{D4B6C0AB-2AF4-4B55-9368-EF456FC5C4C9}"/>
    <hyperlink ref="N18" r:id="rId40" xr:uid="{FBEFEB4B-CF98-491B-9D0E-E4754B62E81B}"/>
    <hyperlink ref="N19" r:id="rId41" xr:uid="{928948B9-EA7A-4BAA-AF5B-9F8BAB2D9A71}"/>
    <hyperlink ref="N20" r:id="rId42" xr:uid="{F84F066D-B13A-4D6C-B4D5-92AD2F304847}"/>
    <hyperlink ref="N38" r:id="rId43" xr:uid="{2CAE2691-BC42-470D-AA63-B143003030BA}"/>
    <hyperlink ref="N3" r:id="rId44" xr:uid="{D204CDBE-EC53-4F46-A9F2-700C091C582F}"/>
    <hyperlink ref="N4" r:id="rId45" xr:uid="{61811F82-37E2-4F5F-9333-8911DB3AEC40}"/>
    <hyperlink ref="O4" r:id="rId46" xr:uid="{2B59D362-7488-4F72-AE8A-188FD0573E7F}"/>
    <hyperlink ref="N7" r:id="rId47" xr:uid="{5FF80421-DE50-4E3E-ACFB-EA25112FF0AC}"/>
    <hyperlink ref="O8" r:id="rId48" xr:uid="{74C55709-0BAF-4651-B874-FE549F64A141}"/>
    <hyperlink ref="N9" r:id="rId49" xr:uid="{374C381E-1DA8-4903-96D9-9E88979603B3}"/>
    <hyperlink ref="N8" r:id="rId50" xr:uid="{1FD91E0F-EA2D-46C3-B37A-8999C813DE49}"/>
    <hyperlink ref="N6" r:id="rId51" xr:uid="{BABD8783-F0A6-4A7F-BD00-AD92DD19E44E}"/>
    <hyperlink ref="N33" r:id="rId52" xr:uid="{70528322-AF7E-46E1-A4CC-C1638115E5D4}"/>
    <hyperlink ref="F33" r:id="rId53" xr:uid="{A4813AD6-63C2-4554-B973-E9E4EF2955A4}"/>
    <hyperlink ref="F19" r:id="rId54" xr:uid="{2FB974A2-B2F1-45F9-8921-32E21F331B2F}"/>
    <hyperlink ref="F38" r:id="rId55" xr:uid="{1DD2168B-16B8-435D-9BA1-192647AE0D47}"/>
    <hyperlink ref="F37" r:id="rId56" xr:uid="{064D4ACA-4116-481B-9021-F3C80734D7EA}"/>
    <hyperlink ref="N37" r:id="rId57" xr:uid="{AE7CDC1E-2CA9-4EE4-B660-EE9D2748146D}"/>
    <hyperlink ref="O37" r:id="rId58" xr:uid="{560FA312-ACA0-47D6-8BE3-318A8911A167}"/>
    <hyperlink ref="F20" r:id="rId59" xr:uid="{05725251-8C71-4739-AB90-57539E250CC9}"/>
    <hyperlink ref="F12" r:id="rId60" xr:uid="{5FC81913-6A9F-474D-97FC-9C29720C75A4}"/>
    <hyperlink ref="F13" r:id="rId61" xr:uid="{9863B8B3-CE6A-42FF-B9E5-66E6155337D1}"/>
    <hyperlink ref="N13" r:id="rId62" xr:uid="{4A605537-1644-463F-B90A-89643FD6A56E}"/>
    <hyperlink ref="N12" r:id="rId63" xr:uid="{FE8AA07E-2B85-4B18-AF2C-48AFD2C1F7DE}"/>
    <hyperlink ref="O12" r:id="rId64" xr:uid="{D4F9F141-9E3E-4147-BDB7-0B07C3699D46}"/>
    <hyperlink ref="O13" r:id="rId65" xr:uid="{0D599AC7-E008-4F2C-853A-D8C8751444DB}"/>
    <hyperlink ref="F54" r:id="rId66" xr:uid="{CB06D83E-713A-42B7-9E4F-E19982647C0F}"/>
    <hyperlink ref="F52" r:id="rId67" xr:uid="{FD4BB739-B306-458B-8BF3-24C9DF1DDAF4}"/>
    <hyperlink ref="F55" r:id="rId68" xr:uid="{24B25CA7-52A9-4503-8BA4-41B301D6FEE6}"/>
    <hyperlink ref="F47" r:id="rId69" xr:uid="{9AD7AE50-E060-4926-B3C2-92B64E061751}"/>
    <hyperlink ref="F29" r:id="rId70" xr:uid="{2D5A5379-6147-43ED-862F-F2F5B89EFC0E}"/>
    <hyperlink ref="F32" r:id="rId71" xr:uid="{33DE95C9-D3A3-4720-B5B9-390CE70FA9CF}"/>
    <hyperlink ref="F53" r:id="rId72" xr:uid="{11FAA64D-4F5B-4A0F-BA82-B05700A60467}"/>
    <hyperlink ref="F16" r:id="rId73" xr:uid="{5B091EEE-D435-41D3-A2E4-75C1438AE84D}"/>
    <hyperlink ref="O16" r:id="rId74" xr:uid="{45849175-D588-4DA6-AE65-F82DE11C226A}"/>
    <hyperlink ref="N16" r:id="rId75" xr:uid="{56CC88B8-4B31-42F5-8F4C-AA3BC587ABBF}"/>
    <hyperlink ref="F35" r:id="rId76" xr:uid="{74CE729F-2F73-4CB0-BE31-B54D200259A5}"/>
    <hyperlink ref="N36" r:id="rId77" xr:uid="{C90B5083-EABE-40AA-B04A-65D9D7576C96}"/>
    <hyperlink ref="O36" r:id="rId78" xr:uid="{87AF594B-166C-44CB-96A7-20C118C4986A}"/>
    <hyperlink ref="F43" r:id="rId79" xr:uid="{DEB1A40D-BDF3-4974-9237-5D5988726F22}"/>
  </hyperlinks>
  <pageMargins left="0.7" right="0.7" top="0.75" bottom="0.75" header="0.3" footer="0.3"/>
  <legacyDrawing r:id="rId8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6F41-F28E-4D72-8DC2-FF3D4A70AC1D}">
  <sheetPr>
    <tabColor theme="6" tint="0.59999389629810485"/>
  </sheetPr>
  <dimension ref="A1:E198"/>
  <sheetViews>
    <sheetView workbookViewId="0">
      <pane ySplit="1" topLeftCell="A46" activePane="bottomLeft" state="frozen"/>
      <selection pane="bottomLeft" activeCell="B50" sqref="B50"/>
    </sheetView>
  </sheetViews>
  <sheetFormatPr defaultColWidth="8.85546875" defaultRowHeight="15"/>
  <cols>
    <col min="1" max="1" width="36.140625" customWidth="1"/>
    <col min="2" max="2" width="38" customWidth="1"/>
    <col min="3" max="4" width="22.42578125" customWidth="1"/>
    <col min="6" max="6" width="36.42578125" customWidth="1"/>
  </cols>
  <sheetData>
    <row r="1" spans="1:4">
      <c r="A1" s="60" t="s">
        <v>1839</v>
      </c>
      <c r="B1" s="60" t="s">
        <v>203</v>
      </c>
      <c r="C1" s="238" t="s">
        <v>1840</v>
      </c>
      <c r="D1" s="60" t="s">
        <v>1841</v>
      </c>
    </row>
    <row r="2" spans="1:4">
      <c r="A2" t="s">
        <v>1842</v>
      </c>
      <c r="B2" t="s">
        <v>1843</v>
      </c>
      <c r="C2" t="s">
        <v>1844</v>
      </c>
      <c r="D2" t="str">
        <f>IF(C2="SUSTENANCE","Sustenance",IF(OR(C2="TECH INITIATIVES",C2="SECURITY"),"Tech Initiatives","Roadmap Initiatives"))</f>
        <v>Roadmap Initiatives</v>
      </c>
    </row>
    <row r="3" spans="1:4">
      <c r="A3" t="s">
        <v>1842</v>
      </c>
      <c r="B3" t="s">
        <v>1845</v>
      </c>
      <c r="C3" t="s">
        <v>1844</v>
      </c>
      <c r="D3" t="str">
        <f t="shared" ref="D3:D70" si="0">IF(C3="SUSTENANCE","Sustenance",IF(OR(C3="TECH INITIATIVES",C3="SECURITY"),"Tech Initiatives","Roadmap Initiatives"))</f>
        <v>Roadmap Initiatives</v>
      </c>
    </row>
    <row r="4" spans="1:4">
      <c r="A4" t="s">
        <v>1842</v>
      </c>
      <c r="B4" t="s">
        <v>1846</v>
      </c>
      <c r="C4" t="s">
        <v>1844</v>
      </c>
      <c r="D4" t="str">
        <f t="shared" si="0"/>
        <v>Roadmap Initiatives</v>
      </c>
    </row>
    <row r="5" spans="1:4">
      <c r="A5" t="s">
        <v>1842</v>
      </c>
      <c r="B5" t="s">
        <v>1847</v>
      </c>
      <c r="C5" t="s">
        <v>1844</v>
      </c>
      <c r="D5" t="str">
        <f t="shared" si="0"/>
        <v>Roadmap Initiatives</v>
      </c>
    </row>
    <row r="6" spans="1:4">
      <c r="A6" t="s">
        <v>1848</v>
      </c>
      <c r="B6" t="s">
        <v>1849</v>
      </c>
      <c r="C6" t="s">
        <v>1844</v>
      </c>
      <c r="D6" t="str">
        <f t="shared" si="0"/>
        <v>Roadmap Initiatives</v>
      </c>
    </row>
    <row r="7" spans="1:4">
      <c r="A7" t="s">
        <v>1848</v>
      </c>
      <c r="B7" t="s">
        <v>1850</v>
      </c>
      <c r="C7" t="s">
        <v>1844</v>
      </c>
      <c r="D7" t="str">
        <f t="shared" si="0"/>
        <v>Roadmap Initiatives</v>
      </c>
    </row>
    <row r="8" spans="1:4">
      <c r="A8" t="s">
        <v>1851</v>
      </c>
      <c r="B8" t="s">
        <v>1852</v>
      </c>
      <c r="C8" t="s">
        <v>1844</v>
      </c>
      <c r="D8" t="str">
        <f t="shared" si="0"/>
        <v>Roadmap Initiatives</v>
      </c>
    </row>
    <row r="9" spans="1:4">
      <c r="A9" t="s">
        <v>1851</v>
      </c>
      <c r="B9" t="s">
        <v>1853</v>
      </c>
      <c r="C9" t="s">
        <v>1844</v>
      </c>
      <c r="D9" t="str">
        <f t="shared" si="0"/>
        <v>Roadmap Initiatives</v>
      </c>
    </row>
    <row r="10" spans="1:4">
      <c r="A10" t="s">
        <v>1851</v>
      </c>
      <c r="B10" t="s">
        <v>1854</v>
      </c>
      <c r="C10" t="s">
        <v>1844</v>
      </c>
      <c r="D10" t="str">
        <f t="shared" si="0"/>
        <v>Roadmap Initiatives</v>
      </c>
    </row>
    <row r="11" spans="1:4">
      <c r="A11" t="s">
        <v>1855</v>
      </c>
      <c r="B11" t="s">
        <v>1856</v>
      </c>
      <c r="C11" t="s">
        <v>1844</v>
      </c>
      <c r="D11" t="str">
        <f t="shared" si="0"/>
        <v>Roadmap Initiatives</v>
      </c>
    </row>
    <row r="12" spans="1:4">
      <c r="A12" t="s">
        <v>1855</v>
      </c>
      <c r="B12" t="s">
        <v>1857</v>
      </c>
      <c r="C12" t="s">
        <v>1844</v>
      </c>
      <c r="D12" t="str">
        <f t="shared" si="0"/>
        <v>Roadmap Initiatives</v>
      </c>
    </row>
    <row r="13" spans="1:4">
      <c r="A13" t="s">
        <v>1855</v>
      </c>
      <c r="B13" t="s">
        <v>1858</v>
      </c>
      <c r="C13" t="s">
        <v>1844</v>
      </c>
      <c r="D13" t="str">
        <f t="shared" si="0"/>
        <v>Roadmap Initiatives</v>
      </c>
    </row>
    <row r="14" spans="1:4">
      <c r="A14" t="s">
        <v>1855</v>
      </c>
      <c r="B14" t="s">
        <v>1859</v>
      </c>
      <c r="C14" t="s">
        <v>1844</v>
      </c>
      <c r="D14" t="str">
        <f t="shared" si="0"/>
        <v>Roadmap Initiatives</v>
      </c>
    </row>
    <row r="15" spans="1:4">
      <c r="A15" t="s">
        <v>1855</v>
      </c>
      <c r="B15" t="s">
        <v>1860</v>
      </c>
      <c r="C15" t="s">
        <v>1844</v>
      </c>
      <c r="D15" t="str">
        <f>IF(C15="SUSTENANCE","Sustenance",IF(OR(C15="TECH INITIATIVES",C15="SECURITY"),"Tech Initiatives","Roadmap Initiatives"))</f>
        <v>Roadmap Initiatives</v>
      </c>
    </row>
    <row r="16" spans="1:4">
      <c r="A16" t="s">
        <v>1861</v>
      </c>
      <c r="B16" t="s">
        <v>1862</v>
      </c>
      <c r="C16" t="s">
        <v>1844</v>
      </c>
      <c r="D16" t="str">
        <f t="shared" si="0"/>
        <v>Roadmap Initiatives</v>
      </c>
    </row>
    <row r="17" spans="1:4">
      <c r="A17" t="s">
        <v>1861</v>
      </c>
      <c r="B17" t="s">
        <v>1863</v>
      </c>
      <c r="C17" t="s">
        <v>1844</v>
      </c>
      <c r="D17" t="str">
        <f t="shared" si="0"/>
        <v>Roadmap Initiatives</v>
      </c>
    </row>
    <row r="18" spans="1:4">
      <c r="A18" t="s">
        <v>1861</v>
      </c>
      <c r="B18" t="s">
        <v>1864</v>
      </c>
      <c r="C18" t="s">
        <v>1844</v>
      </c>
      <c r="D18" t="str">
        <f t="shared" si="0"/>
        <v>Roadmap Initiatives</v>
      </c>
    </row>
    <row r="19" spans="1:4">
      <c r="A19" t="s">
        <v>1861</v>
      </c>
      <c r="B19" t="s">
        <v>1554</v>
      </c>
      <c r="C19" t="s">
        <v>1844</v>
      </c>
      <c r="D19" t="str">
        <f t="shared" si="0"/>
        <v>Roadmap Initiatives</v>
      </c>
    </row>
    <row r="20" spans="1:4">
      <c r="A20" t="s">
        <v>1865</v>
      </c>
      <c r="B20" t="s">
        <v>1866</v>
      </c>
      <c r="C20" t="s">
        <v>1844</v>
      </c>
      <c r="D20" t="str">
        <f t="shared" si="0"/>
        <v>Roadmap Initiatives</v>
      </c>
    </row>
    <row r="21" spans="1:4">
      <c r="A21" t="s">
        <v>1865</v>
      </c>
      <c r="B21" t="s">
        <v>1867</v>
      </c>
      <c r="C21" t="s">
        <v>1844</v>
      </c>
      <c r="D21" t="str">
        <f t="shared" si="0"/>
        <v>Roadmap Initiatives</v>
      </c>
    </row>
    <row r="22" spans="1:4">
      <c r="A22" t="s">
        <v>1865</v>
      </c>
      <c r="B22" t="s">
        <v>1868</v>
      </c>
      <c r="C22" t="s">
        <v>1844</v>
      </c>
      <c r="D22" t="str">
        <f t="shared" si="0"/>
        <v>Roadmap Initiatives</v>
      </c>
    </row>
    <row r="23" spans="1:4">
      <c r="A23" t="s">
        <v>1869</v>
      </c>
      <c r="B23" t="s">
        <v>1870</v>
      </c>
      <c r="C23" t="s">
        <v>1844</v>
      </c>
      <c r="D23" t="str">
        <f t="shared" si="0"/>
        <v>Roadmap Initiatives</v>
      </c>
    </row>
    <row r="24" spans="1:4">
      <c r="A24" t="s">
        <v>1869</v>
      </c>
      <c r="B24" t="s">
        <v>1871</v>
      </c>
      <c r="C24" t="s">
        <v>1844</v>
      </c>
      <c r="D24" t="str">
        <f t="shared" si="0"/>
        <v>Roadmap Initiatives</v>
      </c>
    </row>
    <row r="25" spans="1:4">
      <c r="A25" t="s">
        <v>1869</v>
      </c>
      <c r="B25" t="s">
        <v>1872</v>
      </c>
      <c r="C25" t="s">
        <v>1844</v>
      </c>
      <c r="D25" t="str">
        <f t="shared" si="0"/>
        <v>Roadmap Initiatives</v>
      </c>
    </row>
    <row r="26" spans="1:4">
      <c r="A26" t="s">
        <v>1873</v>
      </c>
      <c r="B26" t="s">
        <v>1874</v>
      </c>
      <c r="C26" t="s">
        <v>1844</v>
      </c>
      <c r="D26" t="str">
        <f t="shared" si="0"/>
        <v>Roadmap Initiatives</v>
      </c>
    </row>
    <row r="27" spans="1:4">
      <c r="A27" t="s">
        <v>1873</v>
      </c>
      <c r="B27" t="s">
        <v>1875</v>
      </c>
      <c r="C27" t="s">
        <v>1844</v>
      </c>
      <c r="D27" t="str">
        <f t="shared" si="0"/>
        <v>Roadmap Initiatives</v>
      </c>
    </row>
    <row r="28" spans="1:4">
      <c r="A28" t="s">
        <v>1873</v>
      </c>
      <c r="B28" t="s">
        <v>1876</v>
      </c>
      <c r="C28" t="s">
        <v>1844</v>
      </c>
      <c r="D28" t="str">
        <f t="shared" si="0"/>
        <v>Roadmap Initiatives</v>
      </c>
    </row>
    <row r="29" spans="1:4">
      <c r="A29" t="s">
        <v>1877</v>
      </c>
      <c r="B29" t="s">
        <v>1878</v>
      </c>
      <c r="C29" t="s">
        <v>1844</v>
      </c>
      <c r="D29" t="str">
        <f t="shared" si="0"/>
        <v>Roadmap Initiatives</v>
      </c>
    </row>
    <row r="30" spans="1:4">
      <c r="A30" t="s">
        <v>1877</v>
      </c>
      <c r="B30" t="s">
        <v>1879</v>
      </c>
      <c r="C30" t="s">
        <v>1844</v>
      </c>
      <c r="D30" t="str">
        <f t="shared" si="0"/>
        <v>Roadmap Initiatives</v>
      </c>
    </row>
    <row r="31" spans="1:4">
      <c r="A31" t="s">
        <v>1877</v>
      </c>
      <c r="B31" t="s">
        <v>1880</v>
      </c>
      <c r="C31" t="s">
        <v>1844</v>
      </c>
      <c r="D31" t="str">
        <f t="shared" si="0"/>
        <v>Roadmap Initiatives</v>
      </c>
    </row>
    <row r="32" spans="1:4">
      <c r="A32" t="s">
        <v>1881</v>
      </c>
      <c r="B32" t="s">
        <v>1882</v>
      </c>
      <c r="C32" t="s">
        <v>1844</v>
      </c>
      <c r="D32" t="str">
        <f t="shared" si="0"/>
        <v>Roadmap Initiatives</v>
      </c>
    </row>
    <row r="33" spans="1:4">
      <c r="A33" t="s">
        <v>1881</v>
      </c>
      <c r="B33" t="s">
        <v>1883</v>
      </c>
      <c r="C33" t="s">
        <v>1844</v>
      </c>
      <c r="D33" t="str">
        <f t="shared" si="0"/>
        <v>Roadmap Initiatives</v>
      </c>
    </row>
    <row r="34" spans="1:4">
      <c r="A34" t="s">
        <v>1884</v>
      </c>
      <c r="B34" t="s">
        <v>1885</v>
      </c>
      <c r="C34" t="s">
        <v>1844</v>
      </c>
      <c r="D34" t="str">
        <f t="shared" si="0"/>
        <v>Roadmap Initiatives</v>
      </c>
    </row>
    <row r="35" spans="1:4">
      <c r="A35" t="s">
        <v>1884</v>
      </c>
      <c r="B35" t="s">
        <v>1886</v>
      </c>
      <c r="C35" t="s">
        <v>1844</v>
      </c>
      <c r="D35" t="str">
        <f t="shared" si="0"/>
        <v>Roadmap Initiatives</v>
      </c>
    </row>
    <row r="36" spans="1:4">
      <c r="A36" t="s">
        <v>1887</v>
      </c>
      <c r="B36" t="s">
        <v>1888</v>
      </c>
      <c r="C36" t="s">
        <v>1844</v>
      </c>
      <c r="D36" t="str">
        <f t="shared" si="0"/>
        <v>Roadmap Initiatives</v>
      </c>
    </row>
    <row r="37" spans="1:4">
      <c r="A37" t="s">
        <v>1887</v>
      </c>
      <c r="B37" t="s">
        <v>1889</v>
      </c>
      <c r="C37" t="s">
        <v>1844</v>
      </c>
      <c r="D37" t="str">
        <f t="shared" si="0"/>
        <v>Roadmap Initiatives</v>
      </c>
    </row>
    <row r="38" spans="1:4">
      <c r="A38" t="s">
        <v>1890</v>
      </c>
      <c r="B38" t="s">
        <v>1891</v>
      </c>
      <c r="C38" t="s">
        <v>1844</v>
      </c>
      <c r="D38" t="str">
        <f t="shared" si="0"/>
        <v>Roadmap Initiatives</v>
      </c>
    </row>
    <row r="39" spans="1:4">
      <c r="A39" t="s">
        <v>1890</v>
      </c>
      <c r="B39" t="s">
        <v>1892</v>
      </c>
      <c r="C39" t="s">
        <v>1844</v>
      </c>
      <c r="D39" t="str">
        <f t="shared" si="0"/>
        <v>Roadmap Initiatives</v>
      </c>
    </row>
    <row r="40" spans="1:4">
      <c r="A40" t="s">
        <v>1893</v>
      </c>
      <c r="B40" t="s">
        <v>1894</v>
      </c>
      <c r="C40" t="s">
        <v>1844</v>
      </c>
      <c r="D40" t="str">
        <f t="shared" si="0"/>
        <v>Roadmap Initiatives</v>
      </c>
    </row>
    <row r="41" spans="1:4">
      <c r="A41" t="s">
        <v>1893</v>
      </c>
      <c r="B41" t="s">
        <v>1895</v>
      </c>
      <c r="C41" t="s">
        <v>1844</v>
      </c>
      <c r="D41" t="str">
        <f t="shared" si="0"/>
        <v>Roadmap Initiatives</v>
      </c>
    </row>
    <row r="42" spans="1:4">
      <c r="A42" t="s">
        <v>1893</v>
      </c>
      <c r="B42" t="s">
        <v>1896</v>
      </c>
      <c r="C42" t="s">
        <v>1844</v>
      </c>
      <c r="D42" t="str">
        <f t="shared" si="0"/>
        <v>Roadmap Initiatives</v>
      </c>
    </row>
    <row r="43" spans="1:4">
      <c r="A43" t="s">
        <v>1897</v>
      </c>
      <c r="B43" t="s">
        <v>1898</v>
      </c>
      <c r="C43" t="s">
        <v>1899</v>
      </c>
      <c r="D43" t="str">
        <f t="shared" si="0"/>
        <v>Roadmap Initiatives</v>
      </c>
    </row>
    <row r="44" spans="1:4">
      <c r="A44" t="s">
        <v>1897</v>
      </c>
      <c r="B44" t="s">
        <v>1900</v>
      </c>
      <c r="C44" t="s">
        <v>1899</v>
      </c>
      <c r="D44" t="str">
        <f t="shared" si="0"/>
        <v>Roadmap Initiatives</v>
      </c>
    </row>
    <row r="45" spans="1:4">
      <c r="A45" t="s">
        <v>1897</v>
      </c>
      <c r="B45" t="s">
        <v>1901</v>
      </c>
      <c r="C45" t="s">
        <v>1899</v>
      </c>
      <c r="D45" t="str">
        <f t="shared" si="0"/>
        <v>Roadmap Initiatives</v>
      </c>
    </row>
    <row r="46" spans="1:4">
      <c r="A46" t="s">
        <v>1902</v>
      </c>
      <c r="B46" t="s">
        <v>1903</v>
      </c>
      <c r="C46" t="s">
        <v>1904</v>
      </c>
      <c r="D46" t="str">
        <f t="shared" si="0"/>
        <v>Roadmap Initiatives</v>
      </c>
    </row>
    <row r="47" spans="1:4">
      <c r="A47" t="s">
        <v>1902</v>
      </c>
      <c r="B47" t="s">
        <v>1905</v>
      </c>
      <c r="C47" t="s">
        <v>1904</v>
      </c>
      <c r="D47" t="str">
        <f t="shared" si="0"/>
        <v>Roadmap Initiatives</v>
      </c>
    </row>
    <row r="48" spans="1:4">
      <c r="A48" t="s">
        <v>1906</v>
      </c>
      <c r="B48" t="s">
        <v>1907</v>
      </c>
      <c r="C48" t="s">
        <v>1904</v>
      </c>
      <c r="D48" t="str">
        <f t="shared" si="0"/>
        <v>Roadmap Initiatives</v>
      </c>
    </row>
    <row r="49" spans="1:4">
      <c r="A49" t="s">
        <v>1906</v>
      </c>
      <c r="B49" t="s">
        <v>1908</v>
      </c>
      <c r="C49" t="s">
        <v>1904</v>
      </c>
      <c r="D49" t="str">
        <f t="shared" si="0"/>
        <v>Roadmap Initiatives</v>
      </c>
    </row>
    <row r="50" spans="1:4">
      <c r="A50" t="s">
        <v>1906</v>
      </c>
      <c r="B50" t="s">
        <v>1909</v>
      </c>
      <c r="C50" t="s">
        <v>1904</v>
      </c>
      <c r="D50" t="str">
        <f t="shared" si="0"/>
        <v>Roadmap Initiatives</v>
      </c>
    </row>
    <row r="51" spans="1:4">
      <c r="A51" t="s">
        <v>1906</v>
      </c>
      <c r="B51" t="s">
        <v>1910</v>
      </c>
      <c r="C51" t="s">
        <v>1904</v>
      </c>
      <c r="D51" t="str">
        <f t="shared" si="0"/>
        <v>Roadmap Initiatives</v>
      </c>
    </row>
    <row r="52" spans="1:4">
      <c r="A52" t="s">
        <v>1911</v>
      </c>
      <c r="B52" t="s">
        <v>1912</v>
      </c>
      <c r="C52" t="s">
        <v>1899</v>
      </c>
      <c r="D52" t="str">
        <f t="shared" si="0"/>
        <v>Roadmap Initiatives</v>
      </c>
    </row>
    <row r="53" spans="1:4">
      <c r="A53" t="s">
        <v>1911</v>
      </c>
      <c r="B53" t="s">
        <v>1913</v>
      </c>
      <c r="C53" t="s">
        <v>1899</v>
      </c>
      <c r="D53" t="str">
        <f t="shared" si="0"/>
        <v>Roadmap Initiatives</v>
      </c>
    </row>
    <row r="54" spans="1:4">
      <c r="A54" t="s">
        <v>1914</v>
      </c>
      <c r="B54" t="s">
        <v>1915</v>
      </c>
      <c r="C54" t="s">
        <v>1904</v>
      </c>
      <c r="D54" t="str">
        <f t="shared" si="0"/>
        <v>Roadmap Initiatives</v>
      </c>
    </row>
    <row r="55" spans="1:4">
      <c r="A55" t="s">
        <v>1914</v>
      </c>
      <c r="B55" t="s">
        <v>1916</v>
      </c>
      <c r="C55" t="s">
        <v>1904</v>
      </c>
      <c r="D55" t="str">
        <f t="shared" si="0"/>
        <v>Roadmap Initiatives</v>
      </c>
    </row>
    <row r="56" spans="1:4">
      <c r="A56" t="s">
        <v>1914</v>
      </c>
      <c r="B56" t="s">
        <v>1917</v>
      </c>
      <c r="C56" t="s">
        <v>1904</v>
      </c>
      <c r="D56" t="str">
        <f t="shared" si="0"/>
        <v>Roadmap Initiatives</v>
      </c>
    </row>
    <row r="57" spans="1:4">
      <c r="A57" t="s">
        <v>1914</v>
      </c>
      <c r="B57" t="s">
        <v>1918</v>
      </c>
      <c r="C57" t="s">
        <v>1904</v>
      </c>
      <c r="D57" t="str">
        <f t="shared" si="0"/>
        <v>Roadmap Initiatives</v>
      </c>
    </row>
    <row r="58" spans="1:4">
      <c r="A58" t="s">
        <v>1914</v>
      </c>
      <c r="B58" t="s">
        <v>1919</v>
      </c>
      <c r="C58" t="s">
        <v>1904</v>
      </c>
      <c r="D58" t="str">
        <f t="shared" si="0"/>
        <v>Roadmap Initiatives</v>
      </c>
    </row>
    <row r="59" spans="1:4">
      <c r="A59" t="s">
        <v>1920</v>
      </c>
      <c r="B59" t="s">
        <v>1921</v>
      </c>
      <c r="C59" t="s">
        <v>1904</v>
      </c>
      <c r="D59" t="str">
        <f t="shared" si="0"/>
        <v>Roadmap Initiatives</v>
      </c>
    </row>
    <row r="60" spans="1:4">
      <c r="A60" t="s">
        <v>1920</v>
      </c>
      <c r="B60" t="s">
        <v>1922</v>
      </c>
      <c r="C60" t="s">
        <v>1904</v>
      </c>
      <c r="D60" t="str">
        <f t="shared" si="0"/>
        <v>Roadmap Initiatives</v>
      </c>
    </row>
    <row r="61" spans="1:4">
      <c r="A61" t="s">
        <v>1920</v>
      </c>
      <c r="B61" t="s">
        <v>1923</v>
      </c>
      <c r="C61" t="s">
        <v>1904</v>
      </c>
      <c r="D61" t="str">
        <f t="shared" si="0"/>
        <v>Roadmap Initiatives</v>
      </c>
    </row>
    <row r="62" spans="1:4">
      <c r="A62" t="s">
        <v>1920</v>
      </c>
      <c r="B62" t="s">
        <v>1924</v>
      </c>
      <c r="C62" t="s">
        <v>1904</v>
      </c>
      <c r="D62" t="str">
        <f t="shared" si="0"/>
        <v>Roadmap Initiatives</v>
      </c>
    </row>
    <row r="63" spans="1:4">
      <c r="A63" t="s">
        <v>1920</v>
      </c>
      <c r="B63" t="s">
        <v>1925</v>
      </c>
      <c r="C63" t="s">
        <v>1904</v>
      </c>
      <c r="D63" t="str">
        <f t="shared" si="0"/>
        <v>Roadmap Initiatives</v>
      </c>
    </row>
    <row r="64" spans="1:4">
      <c r="A64" t="s">
        <v>1920</v>
      </c>
      <c r="B64" t="s">
        <v>1926</v>
      </c>
      <c r="C64" t="s">
        <v>1904</v>
      </c>
      <c r="D64" t="str">
        <f t="shared" si="0"/>
        <v>Roadmap Initiatives</v>
      </c>
    </row>
    <row r="65" spans="1:4">
      <c r="A65" t="s">
        <v>1920</v>
      </c>
      <c r="B65" t="s">
        <v>1927</v>
      </c>
      <c r="C65" t="s">
        <v>1904</v>
      </c>
      <c r="D65" t="str">
        <f t="shared" si="0"/>
        <v>Roadmap Initiatives</v>
      </c>
    </row>
    <row r="66" spans="1:4">
      <c r="A66" t="s">
        <v>1920</v>
      </c>
      <c r="B66" t="s">
        <v>1928</v>
      </c>
      <c r="C66" t="s">
        <v>1904</v>
      </c>
      <c r="D66" t="str">
        <f t="shared" si="0"/>
        <v>Roadmap Initiatives</v>
      </c>
    </row>
    <row r="67" spans="1:4">
      <c r="A67" t="s">
        <v>1920</v>
      </c>
      <c r="B67" t="s">
        <v>1929</v>
      </c>
      <c r="C67" t="s">
        <v>1904</v>
      </c>
      <c r="D67" t="str">
        <f t="shared" si="0"/>
        <v>Roadmap Initiatives</v>
      </c>
    </row>
    <row r="68" spans="1:4">
      <c r="A68" t="s">
        <v>1920</v>
      </c>
      <c r="B68" t="s">
        <v>1930</v>
      </c>
      <c r="C68" t="s">
        <v>1904</v>
      </c>
      <c r="D68" t="str">
        <f t="shared" si="0"/>
        <v>Roadmap Initiatives</v>
      </c>
    </row>
    <row r="69" spans="1:4">
      <c r="A69" t="s">
        <v>1920</v>
      </c>
      <c r="B69" t="s">
        <v>1931</v>
      </c>
      <c r="C69" t="s">
        <v>1904</v>
      </c>
      <c r="D69" t="str">
        <f t="shared" si="0"/>
        <v>Roadmap Initiatives</v>
      </c>
    </row>
    <row r="70" spans="1:4">
      <c r="A70" t="s">
        <v>1920</v>
      </c>
      <c r="B70" t="s">
        <v>1932</v>
      </c>
      <c r="C70" t="s">
        <v>1904</v>
      </c>
      <c r="D70" t="str">
        <f t="shared" si="0"/>
        <v>Roadmap Initiatives</v>
      </c>
    </row>
    <row r="71" spans="1:4">
      <c r="A71" t="s">
        <v>1920</v>
      </c>
      <c r="B71" t="s">
        <v>1933</v>
      </c>
      <c r="C71" t="s">
        <v>1904</v>
      </c>
      <c r="D71" t="str">
        <f t="shared" ref="D71:D134" si="1">IF(C71="SUSTENANCE","Sustenance",IF(OR(C71="TECH INITIATIVES",C71="SECURITY"),"Tech Initiatives","Roadmap Initiatives"))</f>
        <v>Roadmap Initiatives</v>
      </c>
    </row>
    <row r="72" spans="1:4">
      <c r="A72" t="s">
        <v>1920</v>
      </c>
      <c r="B72" t="s">
        <v>1934</v>
      </c>
      <c r="C72" t="s">
        <v>1904</v>
      </c>
      <c r="D72" t="str">
        <f t="shared" si="1"/>
        <v>Roadmap Initiatives</v>
      </c>
    </row>
    <row r="73" spans="1:4">
      <c r="A73" t="s">
        <v>1920</v>
      </c>
      <c r="B73" t="s">
        <v>1935</v>
      </c>
      <c r="C73" t="s">
        <v>1904</v>
      </c>
      <c r="D73" t="str">
        <f t="shared" si="1"/>
        <v>Roadmap Initiatives</v>
      </c>
    </row>
    <row r="74" spans="1:4">
      <c r="A74" t="s">
        <v>1920</v>
      </c>
      <c r="B74" t="s">
        <v>1936</v>
      </c>
      <c r="C74" t="s">
        <v>1904</v>
      </c>
      <c r="D74" t="str">
        <f t="shared" si="1"/>
        <v>Roadmap Initiatives</v>
      </c>
    </row>
    <row r="75" spans="1:4">
      <c r="A75" t="s">
        <v>1920</v>
      </c>
      <c r="B75" t="s">
        <v>1937</v>
      </c>
      <c r="C75" t="s">
        <v>1904</v>
      </c>
      <c r="D75" t="str">
        <f t="shared" si="1"/>
        <v>Roadmap Initiatives</v>
      </c>
    </row>
    <row r="76" spans="1:4">
      <c r="A76" t="s">
        <v>1938</v>
      </c>
      <c r="B76" t="s">
        <v>1939</v>
      </c>
      <c r="C76" t="s">
        <v>1940</v>
      </c>
      <c r="D76" t="str">
        <f t="shared" si="1"/>
        <v>Roadmap Initiatives</v>
      </c>
    </row>
    <row r="77" spans="1:4">
      <c r="A77" t="s">
        <v>1938</v>
      </c>
      <c r="B77" t="s">
        <v>1941</v>
      </c>
      <c r="C77" t="s">
        <v>1940</v>
      </c>
      <c r="D77" t="str">
        <f t="shared" si="1"/>
        <v>Roadmap Initiatives</v>
      </c>
    </row>
    <row r="78" spans="1:4">
      <c r="A78" t="s">
        <v>1938</v>
      </c>
      <c r="B78" t="s">
        <v>1942</v>
      </c>
      <c r="C78" t="s">
        <v>1940</v>
      </c>
      <c r="D78" t="str">
        <f t="shared" si="1"/>
        <v>Roadmap Initiatives</v>
      </c>
    </row>
    <row r="79" spans="1:4">
      <c r="A79" t="s">
        <v>1943</v>
      </c>
      <c r="B79" t="s">
        <v>1944</v>
      </c>
      <c r="C79" t="s">
        <v>1945</v>
      </c>
      <c r="D79" t="str">
        <f t="shared" si="1"/>
        <v>Roadmap Initiatives</v>
      </c>
    </row>
    <row r="80" spans="1:4">
      <c r="A80" t="s">
        <v>1943</v>
      </c>
      <c r="B80" t="s">
        <v>1946</v>
      </c>
      <c r="C80" t="s">
        <v>1945</v>
      </c>
      <c r="D80" t="str">
        <f t="shared" si="1"/>
        <v>Roadmap Initiatives</v>
      </c>
    </row>
    <row r="81" spans="1:4">
      <c r="A81" t="s">
        <v>1943</v>
      </c>
      <c r="B81" t="s">
        <v>1947</v>
      </c>
      <c r="C81" t="s">
        <v>1945</v>
      </c>
      <c r="D81" t="str">
        <f t="shared" si="1"/>
        <v>Roadmap Initiatives</v>
      </c>
    </row>
    <row r="82" spans="1:4">
      <c r="A82" t="s">
        <v>1943</v>
      </c>
      <c r="B82" t="s">
        <v>1948</v>
      </c>
      <c r="C82" t="s">
        <v>1945</v>
      </c>
      <c r="D82" t="str">
        <f t="shared" si="1"/>
        <v>Roadmap Initiatives</v>
      </c>
    </row>
    <row r="83" spans="1:4">
      <c r="A83" t="s">
        <v>1949</v>
      </c>
      <c r="B83" t="s">
        <v>1950</v>
      </c>
      <c r="C83" t="s">
        <v>1945</v>
      </c>
      <c r="D83" t="str">
        <f t="shared" si="1"/>
        <v>Roadmap Initiatives</v>
      </c>
    </row>
    <row r="84" spans="1:4">
      <c r="A84" t="s">
        <v>1949</v>
      </c>
      <c r="B84" t="s">
        <v>1951</v>
      </c>
      <c r="C84" t="s">
        <v>1945</v>
      </c>
      <c r="D84" t="str">
        <f t="shared" si="1"/>
        <v>Roadmap Initiatives</v>
      </c>
    </row>
    <row r="85" spans="1:4">
      <c r="A85" t="s">
        <v>1949</v>
      </c>
      <c r="B85" t="s">
        <v>1952</v>
      </c>
      <c r="C85" t="s">
        <v>1945</v>
      </c>
      <c r="D85" t="str">
        <f t="shared" si="1"/>
        <v>Roadmap Initiatives</v>
      </c>
    </row>
    <row r="86" spans="1:4">
      <c r="A86" t="s">
        <v>1949</v>
      </c>
      <c r="B86" t="s">
        <v>1953</v>
      </c>
      <c r="C86" t="s">
        <v>1945</v>
      </c>
      <c r="D86" t="str">
        <f t="shared" si="1"/>
        <v>Roadmap Initiatives</v>
      </c>
    </row>
    <row r="87" spans="1:4">
      <c r="A87" t="s">
        <v>1954</v>
      </c>
      <c r="B87" t="s">
        <v>1955</v>
      </c>
      <c r="C87" t="s">
        <v>1940</v>
      </c>
      <c r="D87" t="str">
        <f t="shared" si="1"/>
        <v>Roadmap Initiatives</v>
      </c>
    </row>
    <row r="88" spans="1:4">
      <c r="A88" t="s">
        <v>1954</v>
      </c>
      <c r="B88" t="s">
        <v>1956</v>
      </c>
      <c r="C88" t="s">
        <v>1940</v>
      </c>
      <c r="D88" t="str">
        <f t="shared" si="1"/>
        <v>Roadmap Initiatives</v>
      </c>
    </row>
    <row r="89" spans="1:4">
      <c r="A89" t="s">
        <v>1957</v>
      </c>
      <c r="B89" t="s">
        <v>1958</v>
      </c>
      <c r="C89" t="s">
        <v>1940</v>
      </c>
      <c r="D89" t="str">
        <f t="shared" si="1"/>
        <v>Roadmap Initiatives</v>
      </c>
    </row>
    <row r="90" spans="1:4">
      <c r="A90" t="s">
        <v>1911</v>
      </c>
      <c r="B90" t="s">
        <v>1959</v>
      </c>
      <c r="C90" t="s">
        <v>1899</v>
      </c>
      <c r="D90" t="str">
        <f t="shared" si="1"/>
        <v>Roadmap Initiatives</v>
      </c>
    </row>
    <row r="91" spans="1:4">
      <c r="A91" t="s">
        <v>1960</v>
      </c>
      <c r="B91" t="s">
        <v>1961</v>
      </c>
      <c r="C91" t="s">
        <v>1899</v>
      </c>
      <c r="D91" t="str">
        <f t="shared" si="1"/>
        <v>Roadmap Initiatives</v>
      </c>
    </row>
    <row r="92" spans="1:4">
      <c r="A92" t="s">
        <v>1960</v>
      </c>
      <c r="B92" t="s">
        <v>1962</v>
      </c>
      <c r="C92" t="s">
        <v>1899</v>
      </c>
      <c r="D92" t="str">
        <f t="shared" si="1"/>
        <v>Roadmap Initiatives</v>
      </c>
    </row>
    <row r="93" spans="1:4">
      <c r="A93" t="s">
        <v>1963</v>
      </c>
      <c r="B93" t="s">
        <v>1964</v>
      </c>
      <c r="C93" t="s">
        <v>1899</v>
      </c>
      <c r="D93" t="str">
        <f t="shared" si="1"/>
        <v>Roadmap Initiatives</v>
      </c>
    </row>
    <row r="94" spans="1:4">
      <c r="A94" t="s">
        <v>1963</v>
      </c>
      <c r="B94" t="s">
        <v>1965</v>
      </c>
      <c r="C94" t="s">
        <v>1899</v>
      </c>
      <c r="D94" t="str">
        <f t="shared" si="1"/>
        <v>Roadmap Initiatives</v>
      </c>
    </row>
    <row r="95" spans="1:4">
      <c r="A95" t="s">
        <v>1966</v>
      </c>
      <c r="B95" t="s">
        <v>1967</v>
      </c>
      <c r="C95" t="s">
        <v>1899</v>
      </c>
      <c r="D95" t="str">
        <f t="shared" si="1"/>
        <v>Roadmap Initiatives</v>
      </c>
    </row>
    <row r="96" spans="1:4">
      <c r="A96" t="s">
        <v>1966</v>
      </c>
      <c r="B96" t="s">
        <v>1968</v>
      </c>
      <c r="C96" t="s">
        <v>1899</v>
      </c>
      <c r="D96" t="str">
        <f t="shared" si="1"/>
        <v>Roadmap Initiatives</v>
      </c>
    </row>
    <row r="97" spans="1:4">
      <c r="A97" t="s">
        <v>1969</v>
      </c>
      <c r="B97" t="s">
        <v>1970</v>
      </c>
      <c r="C97" t="s">
        <v>1899</v>
      </c>
      <c r="D97" t="str">
        <f t="shared" si="1"/>
        <v>Roadmap Initiatives</v>
      </c>
    </row>
    <row r="98" spans="1:4">
      <c r="A98" t="s">
        <v>1969</v>
      </c>
      <c r="B98" t="s">
        <v>1971</v>
      </c>
      <c r="C98" t="s">
        <v>1899</v>
      </c>
      <c r="D98" t="str">
        <f t="shared" si="1"/>
        <v>Roadmap Initiatives</v>
      </c>
    </row>
    <row r="99" spans="1:4">
      <c r="A99" t="s">
        <v>1972</v>
      </c>
      <c r="B99" t="s">
        <v>1973</v>
      </c>
      <c r="C99" t="s">
        <v>1899</v>
      </c>
      <c r="D99" t="str">
        <f t="shared" si="1"/>
        <v>Roadmap Initiatives</v>
      </c>
    </row>
    <row r="100" spans="1:4">
      <c r="A100" t="s">
        <v>1972</v>
      </c>
      <c r="B100" t="s">
        <v>1974</v>
      </c>
      <c r="C100" t="s">
        <v>1899</v>
      </c>
      <c r="D100" t="str">
        <f t="shared" si="1"/>
        <v>Roadmap Initiatives</v>
      </c>
    </row>
    <row r="101" spans="1:4">
      <c r="A101" t="s">
        <v>1975</v>
      </c>
      <c r="B101" t="s">
        <v>1976</v>
      </c>
      <c r="C101" t="s">
        <v>1899</v>
      </c>
      <c r="D101" t="str">
        <f t="shared" si="1"/>
        <v>Roadmap Initiatives</v>
      </c>
    </row>
    <row r="102" spans="1:4">
      <c r="A102" t="s">
        <v>1975</v>
      </c>
      <c r="B102" t="s">
        <v>1977</v>
      </c>
      <c r="C102" t="s">
        <v>1899</v>
      </c>
      <c r="D102" t="str">
        <f t="shared" si="1"/>
        <v>Roadmap Initiatives</v>
      </c>
    </row>
    <row r="103" spans="1:4">
      <c r="A103" t="s">
        <v>1978</v>
      </c>
      <c r="B103" t="s">
        <v>1979</v>
      </c>
      <c r="C103" t="s">
        <v>1899</v>
      </c>
      <c r="D103" t="str">
        <f t="shared" si="1"/>
        <v>Roadmap Initiatives</v>
      </c>
    </row>
    <row r="104" spans="1:4">
      <c r="A104" t="s">
        <v>1978</v>
      </c>
      <c r="B104" t="s">
        <v>1980</v>
      </c>
      <c r="C104" t="s">
        <v>1899</v>
      </c>
      <c r="D104" t="str">
        <f t="shared" si="1"/>
        <v>Roadmap Initiatives</v>
      </c>
    </row>
    <row r="105" spans="1:4">
      <c r="A105" t="s">
        <v>1978</v>
      </c>
      <c r="B105" t="s">
        <v>1963</v>
      </c>
      <c r="C105" t="s">
        <v>1899</v>
      </c>
      <c r="D105" t="str">
        <f t="shared" si="1"/>
        <v>Roadmap Initiatives</v>
      </c>
    </row>
    <row r="106" spans="1:4">
      <c r="A106" t="s">
        <v>1978</v>
      </c>
      <c r="B106" t="s">
        <v>1981</v>
      </c>
      <c r="C106" t="s">
        <v>1899</v>
      </c>
      <c r="D106" t="str">
        <f t="shared" si="1"/>
        <v>Roadmap Initiatives</v>
      </c>
    </row>
    <row r="107" spans="1:4">
      <c r="A107" t="s">
        <v>1982</v>
      </c>
      <c r="B107" t="s">
        <v>1983</v>
      </c>
      <c r="C107" t="s">
        <v>1984</v>
      </c>
      <c r="D107" t="str">
        <f t="shared" si="1"/>
        <v>Tech Initiatives</v>
      </c>
    </row>
    <row r="108" spans="1:4">
      <c r="A108" t="s">
        <v>1982</v>
      </c>
      <c r="B108" t="s">
        <v>1985</v>
      </c>
      <c r="C108" t="s">
        <v>1984</v>
      </c>
      <c r="D108" t="str">
        <f t="shared" si="1"/>
        <v>Tech Initiatives</v>
      </c>
    </row>
    <row r="109" spans="1:4">
      <c r="A109" t="s">
        <v>1982</v>
      </c>
      <c r="B109" t="s">
        <v>1986</v>
      </c>
      <c r="C109" t="s">
        <v>1984</v>
      </c>
      <c r="D109" t="str">
        <f t="shared" si="1"/>
        <v>Tech Initiatives</v>
      </c>
    </row>
    <row r="110" spans="1:4">
      <c r="A110" t="s">
        <v>1987</v>
      </c>
      <c r="B110" t="s">
        <v>1988</v>
      </c>
      <c r="C110" t="s">
        <v>1989</v>
      </c>
      <c r="D110" t="str">
        <f t="shared" si="1"/>
        <v>Sustenance</v>
      </c>
    </row>
    <row r="111" spans="1:4">
      <c r="A111" t="s">
        <v>1987</v>
      </c>
      <c r="B111" t="s">
        <v>1990</v>
      </c>
      <c r="C111" t="s">
        <v>1989</v>
      </c>
      <c r="D111" t="str">
        <f t="shared" si="1"/>
        <v>Sustenance</v>
      </c>
    </row>
    <row r="112" spans="1:4">
      <c r="A112" t="s">
        <v>1991</v>
      </c>
      <c r="B112" t="s">
        <v>1992</v>
      </c>
      <c r="C112" t="s">
        <v>1993</v>
      </c>
      <c r="D112" t="str">
        <f t="shared" si="1"/>
        <v>Tech Initiatives</v>
      </c>
    </row>
    <row r="113" spans="1:4">
      <c r="A113" t="s">
        <v>1991</v>
      </c>
      <c r="B113" t="s">
        <v>1994</v>
      </c>
      <c r="C113" t="s">
        <v>1993</v>
      </c>
      <c r="D113" t="str">
        <f t="shared" si="1"/>
        <v>Tech Initiatives</v>
      </c>
    </row>
    <row r="114" spans="1:4">
      <c r="A114" t="s">
        <v>1991</v>
      </c>
      <c r="B114" t="s">
        <v>1995</v>
      </c>
      <c r="C114" t="s">
        <v>1993</v>
      </c>
      <c r="D114" t="str">
        <f t="shared" si="1"/>
        <v>Tech Initiatives</v>
      </c>
    </row>
    <row r="115" spans="1:4">
      <c r="A115" t="s">
        <v>1991</v>
      </c>
      <c r="B115" t="s">
        <v>1996</v>
      </c>
      <c r="C115" t="s">
        <v>1993</v>
      </c>
      <c r="D115" t="str">
        <f t="shared" si="1"/>
        <v>Tech Initiatives</v>
      </c>
    </row>
    <row r="116" spans="1:4">
      <c r="A116" t="s">
        <v>1991</v>
      </c>
      <c r="B116" t="s">
        <v>1997</v>
      </c>
      <c r="C116" t="s">
        <v>1993</v>
      </c>
      <c r="D116" t="str">
        <f t="shared" si="1"/>
        <v>Tech Initiatives</v>
      </c>
    </row>
    <row r="117" spans="1:4">
      <c r="A117" t="s">
        <v>1998</v>
      </c>
      <c r="B117" t="s">
        <v>1999</v>
      </c>
      <c r="C117" t="s">
        <v>1993</v>
      </c>
      <c r="D117" t="str">
        <f t="shared" si="1"/>
        <v>Tech Initiatives</v>
      </c>
    </row>
    <row r="118" spans="1:4">
      <c r="A118" t="s">
        <v>1998</v>
      </c>
      <c r="B118" t="s">
        <v>2000</v>
      </c>
      <c r="C118" t="s">
        <v>1993</v>
      </c>
      <c r="D118" t="str">
        <f t="shared" si="1"/>
        <v>Tech Initiatives</v>
      </c>
    </row>
    <row r="119" spans="1:4">
      <c r="A119" t="s">
        <v>2001</v>
      </c>
      <c r="B119" t="s">
        <v>2002</v>
      </c>
      <c r="C119" t="s">
        <v>1993</v>
      </c>
      <c r="D119" t="str">
        <f t="shared" si="1"/>
        <v>Tech Initiatives</v>
      </c>
    </row>
    <row r="120" spans="1:4">
      <c r="A120" t="s">
        <v>2001</v>
      </c>
      <c r="B120" t="s">
        <v>2003</v>
      </c>
      <c r="C120" t="s">
        <v>1993</v>
      </c>
      <c r="D120" t="str">
        <f t="shared" si="1"/>
        <v>Tech Initiatives</v>
      </c>
    </row>
    <row r="121" spans="1:4">
      <c r="A121" t="s">
        <v>2001</v>
      </c>
      <c r="B121" t="s">
        <v>2004</v>
      </c>
      <c r="C121" t="s">
        <v>1993</v>
      </c>
      <c r="D121" t="str">
        <f t="shared" si="1"/>
        <v>Tech Initiatives</v>
      </c>
    </row>
    <row r="122" spans="1:4">
      <c r="A122" t="s">
        <v>2005</v>
      </c>
      <c r="B122" t="s">
        <v>2006</v>
      </c>
      <c r="C122" t="s">
        <v>1993</v>
      </c>
      <c r="D122" t="str">
        <f t="shared" si="1"/>
        <v>Tech Initiatives</v>
      </c>
    </row>
    <row r="123" spans="1:4">
      <c r="A123" t="s">
        <v>2005</v>
      </c>
      <c r="B123" t="s">
        <v>2007</v>
      </c>
      <c r="C123" t="s">
        <v>1993</v>
      </c>
      <c r="D123" t="str">
        <f t="shared" si="1"/>
        <v>Tech Initiatives</v>
      </c>
    </row>
    <row r="124" spans="1:4">
      <c r="A124" t="s">
        <v>2008</v>
      </c>
      <c r="B124" t="s">
        <v>2009</v>
      </c>
      <c r="C124" t="s">
        <v>1993</v>
      </c>
      <c r="D124" t="str">
        <f t="shared" si="1"/>
        <v>Tech Initiatives</v>
      </c>
    </row>
    <row r="125" spans="1:4">
      <c r="A125" t="s">
        <v>2008</v>
      </c>
      <c r="B125" t="s">
        <v>2010</v>
      </c>
      <c r="C125" t="s">
        <v>1993</v>
      </c>
      <c r="D125" t="str">
        <f t="shared" si="1"/>
        <v>Tech Initiatives</v>
      </c>
    </row>
    <row r="126" spans="1:4">
      <c r="A126" t="s">
        <v>2008</v>
      </c>
      <c r="B126" t="s">
        <v>2011</v>
      </c>
      <c r="C126" t="s">
        <v>1993</v>
      </c>
      <c r="D126" t="str">
        <f t="shared" si="1"/>
        <v>Tech Initiatives</v>
      </c>
    </row>
    <row r="127" spans="1:4">
      <c r="A127" t="s">
        <v>2012</v>
      </c>
      <c r="B127" t="s">
        <v>2013</v>
      </c>
      <c r="C127" t="s">
        <v>1993</v>
      </c>
      <c r="D127" t="str">
        <f t="shared" si="1"/>
        <v>Tech Initiatives</v>
      </c>
    </row>
    <row r="128" spans="1:4">
      <c r="A128" t="s">
        <v>1855</v>
      </c>
      <c r="B128" t="s">
        <v>2014</v>
      </c>
      <c r="C128" t="s">
        <v>1844</v>
      </c>
      <c r="D128" t="str">
        <f t="shared" si="1"/>
        <v>Roadmap Initiatives</v>
      </c>
    </row>
    <row r="129" spans="1:4">
      <c r="A129" t="s">
        <v>1855</v>
      </c>
      <c r="B129" t="s">
        <v>2015</v>
      </c>
      <c r="C129" t="s">
        <v>1844</v>
      </c>
      <c r="D129" t="str">
        <f t="shared" si="1"/>
        <v>Roadmap Initiatives</v>
      </c>
    </row>
    <row r="130" spans="1:4">
      <c r="A130" t="s">
        <v>1987</v>
      </c>
      <c r="B130" t="s">
        <v>2016</v>
      </c>
      <c r="C130" t="s">
        <v>1989</v>
      </c>
      <c r="D130" t="str">
        <f t="shared" si="1"/>
        <v>Sustenance</v>
      </c>
    </row>
    <row r="131" spans="1:4">
      <c r="A131" t="s">
        <v>2017</v>
      </c>
      <c r="B131" t="s">
        <v>2018</v>
      </c>
      <c r="C131" t="s">
        <v>1899</v>
      </c>
      <c r="D131" t="str">
        <f t="shared" si="1"/>
        <v>Roadmap Initiatives</v>
      </c>
    </row>
    <row r="132" spans="1:4">
      <c r="A132" t="s">
        <v>2017</v>
      </c>
      <c r="B132" t="s">
        <v>2019</v>
      </c>
      <c r="C132" t="s">
        <v>1899</v>
      </c>
      <c r="D132" t="str">
        <f t="shared" si="1"/>
        <v>Roadmap Initiatives</v>
      </c>
    </row>
    <row r="133" spans="1:4">
      <c r="A133" t="s">
        <v>2017</v>
      </c>
      <c r="B133" t="s">
        <v>2020</v>
      </c>
      <c r="C133" t="s">
        <v>1899</v>
      </c>
      <c r="D133" t="str">
        <f t="shared" si="1"/>
        <v>Roadmap Initiatives</v>
      </c>
    </row>
    <row r="134" spans="1:4">
      <c r="A134" t="s">
        <v>2017</v>
      </c>
      <c r="B134" t="s">
        <v>2021</v>
      </c>
      <c r="C134" t="s">
        <v>1899</v>
      </c>
      <c r="D134" t="str">
        <f t="shared" si="1"/>
        <v>Roadmap Initiatives</v>
      </c>
    </row>
    <row r="135" spans="1:4">
      <c r="A135" t="s">
        <v>1111</v>
      </c>
      <c r="B135" t="s">
        <v>2022</v>
      </c>
      <c r="C135" t="s">
        <v>1899</v>
      </c>
      <c r="D135" t="str">
        <f t="shared" ref="D135:D167" si="2">IF(C135="SUSTENANCE","Sustenance",IF(OR(C135="TECH INITIATIVES",C135="SECURITY"),"Tech Initiatives","Roadmap Initiatives"))</f>
        <v>Roadmap Initiatives</v>
      </c>
    </row>
    <row r="136" spans="1:4">
      <c r="A136" t="s">
        <v>1111</v>
      </c>
      <c r="B136" t="s">
        <v>2023</v>
      </c>
      <c r="C136" t="s">
        <v>1899</v>
      </c>
      <c r="D136" t="str">
        <f t="shared" si="2"/>
        <v>Roadmap Initiatives</v>
      </c>
    </row>
    <row r="137" spans="1:4">
      <c r="A137" t="s">
        <v>1111</v>
      </c>
      <c r="B137" t="s">
        <v>2024</v>
      </c>
      <c r="C137" t="s">
        <v>1899</v>
      </c>
      <c r="D137" t="str">
        <f t="shared" si="2"/>
        <v>Roadmap Initiatives</v>
      </c>
    </row>
    <row r="138" spans="1:4">
      <c r="A138" t="s">
        <v>2025</v>
      </c>
      <c r="B138" t="s">
        <v>2026</v>
      </c>
      <c r="C138" t="s">
        <v>2027</v>
      </c>
      <c r="D138" t="str">
        <f t="shared" si="2"/>
        <v>Roadmap Initiatives</v>
      </c>
    </row>
    <row r="139" spans="1:4">
      <c r="A139" t="s">
        <v>2025</v>
      </c>
      <c r="B139" t="s">
        <v>2028</v>
      </c>
      <c r="C139" t="s">
        <v>2027</v>
      </c>
      <c r="D139" t="str">
        <f t="shared" si="2"/>
        <v>Roadmap Initiatives</v>
      </c>
    </row>
    <row r="140" spans="1:4">
      <c r="A140" t="s">
        <v>2025</v>
      </c>
      <c r="B140" t="s">
        <v>2029</v>
      </c>
      <c r="C140" t="s">
        <v>2027</v>
      </c>
      <c r="D140" t="str">
        <f t="shared" si="2"/>
        <v>Roadmap Initiatives</v>
      </c>
    </row>
    <row r="141" spans="1:4">
      <c r="A141" t="s">
        <v>2030</v>
      </c>
      <c r="B141" t="s">
        <v>2031</v>
      </c>
      <c r="C141" t="s">
        <v>1899</v>
      </c>
      <c r="D141" t="str">
        <f t="shared" si="2"/>
        <v>Roadmap Initiatives</v>
      </c>
    </row>
    <row r="142" spans="1:4">
      <c r="A142" t="s">
        <v>2030</v>
      </c>
      <c r="B142" t="s">
        <v>2032</v>
      </c>
      <c r="C142" t="s">
        <v>1899</v>
      </c>
      <c r="D142" t="str">
        <f t="shared" si="2"/>
        <v>Roadmap Initiatives</v>
      </c>
    </row>
    <row r="143" spans="1:4">
      <c r="A143" t="s">
        <v>2030</v>
      </c>
      <c r="B143" t="s">
        <v>2033</v>
      </c>
      <c r="C143" t="s">
        <v>1899</v>
      </c>
      <c r="D143" t="str">
        <f t="shared" si="2"/>
        <v>Roadmap Initiatives</v>
      </c>
    </row>
    <row r="144" spans="1:4">
      <c r="A144" t="s">
        <v>2030</v>
      </c>
      <c r="B144" t="s">
        <v>2034</v>
      </c>
      <c r="C144" t="s">
        <v>1899</v>
      </c>
      <c r="D144" t="str">
        <f t="shared" si="2"/>
        <v>Roadmap Initiatives</v>
      </c>
    </row>
    <row r="145" spans="1:4">
      <c r="A145" t="s">
        <v>2035</v>
      </c>
      <c r="B145" t="s">
        <v>2036</v>
      </c>
      <c r="C145" t="s">
        <v>1899</v>
      </c>
      <c r="D145" t="str">
        <f t="shared" si="2"/>
        <v>Roadmap Initiatives</v>
      </c>
    </row>
    <row r="146" spans="1:4">
      <c r="A146" t="s">
        <v>2035</v>
      </c>
      <c r="B146" t="s">
        <v>2037</v>
      </c>
      <c r="C146" t="s">
        <v>1899</v>
      </c>
      <c r="D146" t="str">
        <f t="shared" si="2"/>
        <v>Roadmap Initiatives</v>
      </c>
    </row>
    <row r="147" spans="1:4">
      <c r="A147" t="s">
        <v>2035</v>
      </c>
      <c r="B147" t="s">
        <v>2038</v>
      </c>
      <c r="C147" t="s">
        <v>1899</v>
      </c>
      <c r="D147" t="str">
        <f t="shared" si="2"/>
        <v>Roadmap Initiatives</v>
      </c>
    </row>
    <row r="148" spans="1:4">
      <c r="A148" t="s">
        <v>2035</v>
      </c>
      <c r="B148" t="s">
        <v>2039</v>
      </c>
      <c r="C148" t="s">
        <v>1899</v>
      </c>
      <c r="D148" t="str">
        <f t="shared" si="2"/>
        <v>Roadmap Initiatives</v>
      </c>
    </row>
    <row r="149" spans="1:4">
      <c r="A149" t="s">
        <v>2035</v>
      </c>
      <c r="B149" t="s">
        <v>2040</v>
      </c>
      <c r="C149" t="s">
        <v>1899</v>
      </c>
      <c r="D149" t="str">
        <f t="shared" si="2"/>
        <v>Roadmap Initiatives</v>
      </c>
    </row>
    <row r="150" spans="1:4">
      <c r="A150" t="s">
        <v>2035</v>
      </c>
      <c r="B150" t="s">
        <v>2041</v>
      </c>
      <c r="C150" t="s">
        <v>1899</v>
      </c>
      <c r="D150" t="str">
        <f t="shared" si="2"/>
        <v>Roadmap Initiatives</v>
      </c>
    </row>
    <row r="151" spans="1:4">
      <c r="A151" t="s">
        <v>2035</v>
      </c>
      <c r="B151" t="s">
        <v>2042</v>
      </c>
      <c r="C151" t="s">
        <v>1899</v>
      </c>
      <c r="D151" t="str">
        <f t="shared" si="2"/>
        <v>Roadmap Initiatives</v>
      </c>
    </row>
    <row r="152" spans="1:4">
      <c r="A152" t="s">
        <v>2043</v>
      </c>
      <c r="B152" t="s">
        <v>2044</v>
      </c>
      <c r="C152" t="s">
        <v>1844</v>
      </c>
      <c r="D152" t="str">
        <f t="shared" si="2"/>
        <v>Roadmap Initiatives</v>
      </c>
    </row>
    <row r="153" spans="1:4">
      <c r="A153" t="s">
        <v>2043</v>
      </c>
      <c r="B153" t="s">
        <v>2045</v>
      </c>
      <c r="C153" t="s">
        <v>1844</v>
      </c>
      <c r="D153" t="str">
        <f t="shared" si="2"/>
        <v>Roadmap Initiatives</v>
      </c>
    </row>
    <row r="154" spans="1:4">
      <c r="A154" t="s">
        <v>2043</v>
      </c>
      <c r="B154" t="s">
        <v>2046</v>
      </c>
      <c r="C154" t="s">
        <v>1844</v>
      </c>
      <c r="D154" t="str">
        <f t="shared" si="2"/>
        <v>Roadmap Initiatives</v>
      </c>
    </row>
    <row r="155" spans="1:4">
      <c r="A155" t="s">
        <v>2047</v>
      </c>
      <c r="B155" t="s">
        <v>2048</v>
      </c>
      <c r="C155" t="s">
        <v>1844</v>
      </c>
      <c r="D155" t="str">
        <f t="shared" si="2"/>
        <v>Roadmap Initiatives</v>
      </c>
    </row>
    <row r="156" spans="1:4">
      <c r="A156" t="s">
        <v>2047</v>
      </c>
      <c r="B156" t="s">
        <v>2049</v>
      </c>
      <c r="C156" t="s">
        <v>1844</v>
      </c>
      <c r="D156" t="str">
        <f t="shared" si="2"/>
        <v>Roadmap Initiatives</v>
      </c>
    </row>
    <row r="157" spans="1:4">
      <c r="A157" t="s">
        <v>2047</v>
      </c>
      <c r="B157" t="s">
        <v>2050</v>
      </c>
      <c r="C157" t="s">
        <v>1844</v>
      </c>
      <c r="D157" t="str">
        <f t="shared" si="2"/>
        <v>Roadmap Initiatives</v>
      </c>
    </row>
    <row r="158" spans="1:4">
      <c r="A158" t="s">
        <v>2047</v>
      </c>
      <c r="B158" t="s">
        <v>2051</v>
      </c>
      <c r="C158" t="s">
        <v>1844</v>
      </c>
      <c r="D158" t="str">
        <f t="shared" si="2"/>
        <v>Roadmap Initiatives</v>
      </c>
    </row>
    <row r="159" spans="1:4">
      <c r="A159" t="s">
        <v>2052</v>
      </c>
      <c r="B159" t="s">
        <v>2053</v>
      </c>
      <c r="C159" t="s">
        <v>1844</v>
      </c>
      <c r="D159" t="str">
        <f t="shared" si="2"/>
        <v>Roadmap Initiatives</v>
      </c>
    </row>
    <row r="160" spans="1:4">
      <c r="A160" t="s">
        <v>2052</v>
      </c>
      <c r="B160" t="s">
        <v>2054</v>
      </c>
      <c r="C160" t="s">
        <v>1844</v>
      </c>
      <c r="D160" t="str">
        <f t="shared" si="2"/>
        <v>Roadmap Initiatives</v>
      </c>
    </row>
    <row r="161" spans="1:5">
      <c r="A161" t="s">
        <v>2052</v>
      </c>
      <c r="B161" t="s">
        <v>2055</v>
      </c>
      <c r="C161" t="s">
        <v>1844</v>
      </c>
      <c r="D161" t="str">
        <f t="shared" si="2"/>
        <v>Roadmap Initiatives</v>
      </c>
    </row>
    <row r="162" spans="1:5">
      <c r="A162" t="s">
        <v>2052</v>
      </c>
      <c r="B162" t="s">
        <v>2056</v>
      </c>
      <c r="C162" t="s">
        <v>1844</v>
      </c>
      <c r="D162" t="str">
        <f t="shared" si="2"/>
        <v>Roadmap Initiatives</v>
      </c>
    </row>
    <row r="163" spans="1:5">
      <c r="A163" t="s">
        <v>2052</v>
      </c>
      <c r="B163" t="s">
        <v>2057</v>
      </c>
      <c r="C163" t="s">
        <v>1844</v>
      </c>
      <c r="D163" t="str">
        <f t="shared" si="2"/>
        <v>Roadmap Initiatives</v>
      </c>
    </row>
    <row r="164" spans="1:5">
      <c r="A164" t="s">
        <v>2058</v>
      </c>
      <c r="B164" t="s">
        <v>2059</v>
      </c>
      <c r="C164" t="s">
        <v>1844</v>
      </c>
      <c r="D164" t="str">
        <f t="shared" si="2"/>
        <v>Roadmap Initiatives</v>
      </c>
    </row>
    <row r="165" spans="1:5">
      <c r="A165" t="s">
        <v>2058</v>
      </c>
      <c r="B165" t="s">
        <v>2060</v>
      </c>
      <c r="C165" t="s">
        <v>1844</v>
      </c>
      <c r="D165" t="str">
        <f t="shared" si="2"/>
        <v>Roadmap Initiatives</v>
      </c>
    </row>
    <row r="166" spans="1:5">
      <c r="A166" t="s">
        <v>2058</v>
      </c>
      <c r="B166" t="s">
        <v>2061</v>
      </c>
      <c r="C166" t="s">
        <v>1844</v>
      </c>
      <c r="D166" t="str">
        <f t="shared" si="2"/>
        <v>Roadmap Initiatives</v>
      </c>
    </row>
    <row r="167" spans="1:5">
      <c r="A167" t="s">
        <v>2058</v>
      </c>
      <c r="B167" t="s">
        <v>2062</v>
      </c>
      <c r="C167" t="s">
        <v>1844</v>
      </c>
      <c r="D167" t="str">
        <f t="shared" si="2"/>
        <v>Roadmap Initiatives</v>
      </c>
    </row>
    <row r="168" spans="1:5">
      <c r="A168" s="131"/>
      <c r="B168" s="131" t="s">
        <v>132</v>
      </c>
      <c r="C168" s="131"/>
      <c r="D168" s="131" t="s">
        <v>2063</v>
      </c>
      <c r="E168" s="131" t="s">
        <v>2064</v>
      </c>
    </row>
    <row r="169" spans="1:5">
      <c r="B169" s="131" t="s">
        <v>2065</v>
      </c>
      <c r="D169" t="s">
        <v>2063</v>
      </c>
    </row>
    <row r="170" spans="1:5">
      <c r="B170" s="245" t="s">
        <v>2066</v>
      </c>
      <c r="D170" t="s">
        <v>2063</v>
      </c>
    </row>
    <row r="171" spans="1:5">
      <c r="B171" s="245" t="s">
        <v>2067</v>
      </c>
      <c r="D171" t="s">
        <v>2063</v>
      </c>
    </row>
    <row r="172" spans="1:5">
      <c r="B172" s="245" t="s">
        <v>2068</v>
      </c>
      <c r="D172" t="s">
        <v>2063</v>
      </c>
    </row>
    <row r="173" spans="1:5">
      <c r="B173" s="245" t="s">
        <v>2069</v>
      </c>
      <c r="D173" t="s">
        <v>2063</v>
      </c>
    </row>
    <row r="174" spans="1:5">
      <c r="B174" s="245" t="s">
        <v>2070</v>
      </c>
      <c r="D174" t="s">
        <v>2063</v>
      </c>
    </row>
    <row r="175" spans="1:5">
      <c r="B175" s="245" t="s">
        <v>2071</v>
      </c>
      <c r="D175" t="s">
        <v>2072</v>
      </c>
    </row>
    <row r="176" spans="1:5">
      <c r="B176" s="245" t="s">
        <v>2073</v>
      </c>
      <c r="D176" t="s">
        <v>2072</v>
      </c>
    </row>
    <row r="177" spans="2:4">
      <c r="B177" s="245" t="s">
        <v>2074</v>
      </c>
      <c r="D177" t="s">
        <v>2072</v>
      </c>
    </row>
    <row r="178" spans="2:4">
      <c r="B178" s="245" t="s">
        <v>2075</v>
      </c>
      <c r="D178" t="s">
        <v>2063</v>
      </c>
    </row>
    <row r="179" spans="2:4">
      <c r="B179" s="245" t="s">
        <v>2076</v>
      </c>
      <c r="D179" t="s">
        <v>2072</v>
      </c>
    </row>
    <row r="180" spans="2:4">
      <c r="B180" s="245" t="s">
        <v>2077</v>
      </c>
      <c r="D180" t="s">
        <v>2063</v>
      </c>
    </row>
    <row r="181" spans="2:4">
      <c r="B181" s="245" t="s">
        <v>2078</v>
      </c>
      <c r="D181" t="s">
        <v>2063</v>
      </c>
    </row>
    <row r="182" spans="2:4">
      <c r="B182" s="245" t="s">
        <v>85</v>
      </c>
      <c r="D182" t="s">
        <v>2063</v>
      </c>
    </row>
    <row r="183" spans="2:4">
      <c r="B183" s="245" t="s">
        <v>2079</v>
      </c>
      <c r="D183" t="s">
        <v>2080</v>
      </c>
    </row>
    <row r="184" spans="2:4">
      <c r="B184" s="245" t="s">
        <v>2081</v>
      </c>
      <c r="D184" t="s">
        <v>2063</v>
      </c>
    </row>
    <row r="185" spans="2:4">
      <c r="B185" s="245" t="s">
        <v>2082</v>
      </c>
      <c r="D185" t="s">
        <v>2063</v>
      </c>
    </row>
    <row r="186" spans="2:4">
      <c r="B186" s="245" t="s">
        <v>147</v>
      </c>
      <c r="D186" t="s">
        <v>2063</v>
      </c>
    </row>
    <row r="187" spans="2:4">
      <c r="B187" s="245" t="s">
        <v>1958</v>
      </c>
      <c r="D187" t="s">
        <v>2072</v>
      </c>
    </row>
    <row r="188" spans="2:4">
      <c r="B188" s="245" t="s">
        <v>2083</v>
      </c>
      <c r="D188" t="s">
        <v>2072</v>
      </c>
    </row>
    <row r="189" spans="2:4">
      <c r="B189" s="245" t="s">
        <v>2084</v>
      </c>
      <c r="D189" t="s">
        <v>2063</v>
      </c>
    </row>
    <row r="190" spans="2:4">
      <c r="B190" s="245" t="s">
        <v>2085</v>
      </c>
      <c r="D190" t="s">
        <v>2072</v>
      </c>
    </row>
    <row r="191" spans="2:4">
      <c r="B191" s="245" t="s">
        <v>19</v>
      </c>
      <c r="D191" t="s">
        <v>2072</v>
      </c>
    </row>
    <row r="192" spans="2:4">
      <c r="B192" s="245" t="s">
        <v>2086</v>
      </c>
      <c r="D192" t="s">
        <v>2072</v>
      </c>
    </row>
    <row r="193" spans="2:4">
      <c r="B193" s="245" t="s">
        <v>2087</v>
      </c>
      <c r="D193" t="s">
        <v>2072</v>
      </c>
    </row>
    <row r="194" spans="2:4">
      <c r="B194" s="245" t="s">
        <v>1987</v>
      </c>
      <c r="D194" t="s">
        <v>1987</v>
      </c>
    </row>
    <row r="195" spans="2:4">
      <c r="B195" s="245" t="s">
        <v>2088</v>
      </c>
      <c r="D195" t="s">
        <v>2063</v>
      </c>
    </row>
    <row r="196" spans="2:4">
      <c r="B196" s="245" t="s">
        <v>2072</v>
      </c>
      <c r="D196" t="s">
        <v>2072</v>
      </c>
    </row>
    <row r="197" spans="2:4">
      <c r="B197" s="245" t="s">
        <v>2089</v>
      </c>
      <c r="D197" t="s">
        <v>2072</v>
      </c>
    </row>
    <row r="198" spans="2:4">
      <c r="B198" s="245" t="s">
        <v>2090</v>
      </c>
      <c r="D198" t="s">
        <v>2063</v>
      </c>
    </row>
  </sheetData>
  <sheetProtection sheet="1" objects="1" scenarios="1" sort="0" autoFilter="0"/>
  <autoFilter ref="A1:D198" xr:uid="{A57BDE62-EE61-4B26-B9B7-833EE074A8C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1211-92D9-47D9-B08B-A0F1F9C70F77}">
  <sheetPr>
    <tabColor rgb="FFFFF2CC"/>
  </sheetPr>
  <dimension ref="A1:G1016"/>
  <sheetViews>
    <sheetView workbookViewId="0">
      <pane ySplit="1" topLeftCell="A1001" activePane="bottomLeft" state="frozen"/>
      <selection pane="bottomLeft"/>
    </sheetView>
  </sheetViews>
  <sheetFormatPr defaultColWidth="9.140625" defaultRowHeight="16.5"/>
  <cols>
    <col min="1" max="1" width="66.42578125" style="232" bestFit="1" customWidth="1"/>
    <col min="2" max="2" width="21.42578125" style="232" bestFit="1" customWidth="1"/>
    <col min="3" max="4" width="23.140625" style="232" customWidth="1"/>
    <col min="5" max="16384" width="9.140625" style="232"/>
  </cols>
  <sheetData>
    <row r="1" spans="1:7">
      <c r="A1" s="224" t="s">
        <v>2091</v>
      </c>
      <c r="B1" s="225" t="s">
        <v>3</v>
      </c>
      <c r="C1" s="230" t="s">
        <v>2092</v>
      </c>
      <c r="D1" s="231" t="s">
        <v>961</v>
      </c>
      <c r="G1" s="229" t="s">
        <v>2093</v>
      </c>
    </row>
    <row r="2" spans="1:7">
      <c r="A2" s="226" t="s">
        <v>2094</v>
      </c>
      <c r="B2" s="227" t="s">
        <v>40</v>
      </c>
      <c r="C2" s="233" t="str">
        <f>_xlfn.XLOOKUP(B2, 'Component Masterlist v2'!A:A, 'Component Masterlist v2'!G:G, "Not found")</f>
        <v>Santosh Golecha</v>
      </c>
      <c r="D2" s="233" t="str">
        <f>_xlfn.XLOOKUP(B2, 'Component Masterlist v2'!A:A, 'Component Masterlist v2'!E:E, "Not found")</f>
        <v>Ankur Agarwal</v>
      </c>
    </row>
    <row r="3" spans="1:7">
      <c r="A3" s="226" t="s">
        <v>2095</v>
      </c>
      <c r="B3" s="227" t="s">
        <v>51</v>
      </c>
      <c r="C3" s="233" t="str">
        <f>_xlfn.XLOOKUP(B3, 'Component Masterlist v2'!A:A, 'Component Masterlist v2'!G:G, "Not found")</f>
        <v>Sanyam Agrawal</v>
      </c>
      <c r="D3" s="233" t="str">
        <f>_xlfn.XLOOKUP(B3, 'Component Masterlist v2'!A:A, 'Component Masterlist v2'!E:E, "Not found")</f>
        <v>Fahad Tasleem</v>
      </c>
    </row>
    <row r="4" spans="1:7">
      <c r="A4" s="226" t="s">
        <v>2096</v>
      </c>
      <c r="B4" s="227" t="s">
        <v>51</v>
      </c>
      <c r="C4" s="233" t="str">
        <f>_xlfn.XLOOKUP(B4, 'Component Masterlist v2'!A:A, 'Component Masterlist v2'!G:G, "Not found")</f>
        <v>Sanyam Agrawal</v>
      </c>
      <c r="D4" s="233" t="str">
        <f>_xlfn.XLOOKUP(B4, 'Component Masterlist v2'!A:A, 'Component Masterlist v2'!E:E, "Not found")</f>
        <v>Fahad Tasleem</v>
      </c>
    </row>
    <row r="5" spans="1:7">
      <c r="A5" s="226" t="s">
        <v>2097</v>
      </c>
      <c r="B5" s="227" t="s">
        <v>35</v>
      </c>
      <c r="C5" s="233" t="str">
        <f>_xlfn.XLOOKUP(B5, 'Component Masterlist v2'!A:A, 'Component Masterlist v2'!G:G, "Not found")</f>
        <v>Santosh Golecha</v>
      </c>
      <c r="D5" s="233" t="str">
        <f>_xlfn.XLOOKUP(B5, 'Component Masterlist v2'!A:A, 'Component Masterlist v2'!E:E, "Not found")</f>
        <v>Ankur Agarwal</v>
      </c>
    </row>
    <row r="6" spans="1:7">
      <c r="A6" s="226" t="s">
        <v>2098</v>
      </c>
      <c r="B6" s="227" t="s">
        <v>35</v>
      </c>
      <c r="C6" s="233" t="str">
        <f>_xlfn.XLOOKUP(B6, 'Component Masterlist v2'!A:A, 'Component Masterlist v2'!G:G, "Not found")</f>
        <v>Santosh Golecha</v>
      </c>
      <c r="D6" s="233" t="str">
        <f>_xlfn.XLOOKUP(B6, 'Component Masterlist v2'!A:A, 'Component Masterlist v2'!E:E, "Not found")</f>
        <v>Ankur Agarwal</v>
      </c>
    </row>
    <row r="7" spans="1:7">
      <c r="A7" s="226" t="s">
        <v>2099</v>
      </c>
      <c r="B7" s="227" t="s">
        <v>88</v>
      </c>
      <c r="C7" s="233" t="str">
        <f>_xlfn.XLOOKUP(B7, 'Component Masterlist v2'!A:A, 'Component Masterlist v2'!G:G, "Not found")</f>
        <v>Ved Singh</v>
      </c>
      <c r="D7" s="233" t="str">
        <f>_xlfn.XLOOKUP(B7, 'Component Masterlist v2'!A:A, 'Component Masterlist v2'!E:E, "Not found")</f>
        <v>Karan Jeet Singh</v>
      </c>
    </row>
    <row r="8" spans="1:7">
      <c r="A8" s="226" t="s">
        <v>2100</v>
      </c>
      <c r="B8" s="227" t="s">
        <v>35</v>
      </c>
      <c r="C8" s="233" t="str">
        <f>_xlfn.XLOOKUP(B8, 'Component Masterlist v2'!A:A, 'Component Masterlist v2'!G:G, "Not found")</f>
        <v>Santosh Golecha</v>
      </c>
      <c r="D8" s="233" t="str">
        <f>_xlfn.XLOOKUP(B8, 'Component Masterlist v2'!A:A, 'Component Masterlist v2'!E:E, "Not found")</f>
        <v>Ankur Agarwal</v>
      </c>
    </row>
    <row r="9" spans="1:7">
      <c r="A9" s="226" t="s">
        <v>2101</v>
      </c>
      <c r="B9" s="227" t="s">
        <v>35</v>
      </c>
      <c r="C9" s="233" t="str">
        <f>_xlfn.XLOOKUP(B9, 'Component Masterlist v2'!A:A, 'Component Masterlist v2'!G:G, "Not found")</f>
        <v>Santosh Golecha</v>
      </c>
      <c r="D9" s="233" t="str">
        <f>_xlfn.XLOOKUP(B9, 'Component Masterlist v2'!A:A, 'Component Masterlist v2'!E:E, "Not found")</f>
        <v>Ankur Agarwal</v>
      </c>
    </row>
    <row r="10" spans="1:7">
      <c r="A10" s="226" t="s">
        <v>2102</v>
      </c>
      <c r="B10" s="227" t="s">
        <v>35</v>
      </c>
      <c r="C10" s="233" t="str">
        <f>_xlfn.XLOOKUP(B10, 'Component Masterlist v2'!A:A, 'Component Masterlist v2'!G:G, "Not found")</f>
        <v>Santosh Golecha</v>
      </c>
      <c r="D10" s="233" t="str">
        <f>_xlfn.XLOOKUP(B10, 'Component Masterlist v2'!A:A, 'Component Masterlist v2'!E:E, "Not found")</f>
        <v>Ankur Agarwal</v>
      </c>
    </row>
    <row r="11" spans="1:7">
      <c r="A11" s="226" t="s">
        <v>2103</v>
      </c>
      <c r="B11" s="227" t="s">
        <v>35</v>
      </c>
      <c r="C11" s="233" t="str">
        <f>_xlfn.XLOOKUP(B11, 'Component Masterlist v2'!A:A, 'Component Masterlist v2'!G:G, "Not found")</f>
        <v>Santosh Golecha</v>
      </c>
      <c r="D11" s="233" t="str">
        <f>_xlfn.XLOOKUP(B11, 'Component Masterlist v2'!A:A, 'Component Masterlist v2'!E:E, "Not found")</f>
        <v>Ankur Agarwal</v>
      </c>
    </row>
    <row r="12" spans="1:7">
      <c r="A12" s="226" t="s">
        <v>2104</v>
      </c>
      <c r="B12" s="227" t="s">
        <v>35</v>
      </c>
      <c r="C12" s="233" t="str">
        <f>_xlfn.XLOOKUP(B12, 'Component Masterlist v2'!A:A, 'Component Masterlist v2'!G:G, "Not found")</f>
        <v>Santosh Golecha</v>
      </c>
      <c r="D12" s="233" t="str">
        <f>_xlfn.XLOOKUP(B12, 'Component Masterlist v2'!A:A, 'Component Masterlist v2'!E:E, "Not found")</f>
        <v>Ankur Agarwal</v>
      </c>
    </row>
    <row r="13" spans="1:7">
      <c r="A13" s="226" t="s">
        <v>2105</v>
      </c>
      <c r="B13" s="227" t="s">
        <v>35</v>
      </c>
      <c r="C13" s="233" t="str">
        <f>_xlfn.XLOOKUP(B13, 'Component Masterlist v2'!A:A, 'Component Masterlist v2'!G:G, "Not found")</f>
        <v>Santosh Golecha</v>
      </c>
      <c r="D13" s="233" t="str">
        <f>_xlfn.XLOOKUP(B13, 'Component Masterlist v2'!A:A, 'Component Masterlist v2'!E:E, "Not found")</f>
        <v>Ankur Agarwal</v>
      </c>
    </row>
    <row r="14" spans="1:7">
      <c r="A14" s="226" t="s">
        <v>2106</v>
      </c>
      <c r="B14" s="227" t="s">
        <v>35</v>
      </c>
      <c r="C14" s="233" t="str">
        <f>_xlfn.XLOOKUP(B14, 'Component Masterlist v2'!A:A, 'Component Masterlist v2'!G:G, "Not found")</f>
        <v>Santosh Golecha</v>
      </c>
      <c r="D14" s="233" t="str">
        <f>_xlfn.XLOOKUP(B14, 'Component Masterlist v2'!A:A, 'Component Masterlist v2'!E:E, "Not found")</f>
        <v>Ankur Agarwal</v>
      </c>
    </row>
    <row r="15" spans="1:7">
      <c r="A15" s="226" t="s">
        <v>2107</v>
      </c>
      <c r="B15" s="227" t="s">
        <v>49</v>
      </c>
      <c r="C15" s="233" t="str">
        <f>_xlfn.XLOOKUP(B15, 'Component Masterlist v2'!A:A, 'Component Masterlist v2'!G:G, "Not found")</f>
        <v>Sanyam Agrawal</v>
      </c>
      <c r="D15" s="233" t="str">
        <f>_xlfn.XLOOKUP(B15, 'Component Masterlist v2'!A:A, 'Component Masterlist v2'!E:E, "Not found")</f>
        <v>Fahad Tasleem</v>
      </c>
    </row>
    <row r="16" spans="1:7">
      <c r="A16" s="226" t="s">
        <v>2108</v>
      </c>
      <c r="B16" s="227" t="s">
        <v>88</v>
      </c>
      <c r="C16" s="233" t="str">
        <f>_xlfn.XLOOKUP(B16, 'Component Masterlist v2'!A:A, 'Component Masterlist v2'!G:G, "Not found")</f>
        <v>Ved Singh</v>
      </c>
      <c r="D16" s="233" t="str">
        <f>_xlfn.XLOOKUP(B16, 'Component Masterlist v2'!A:A, 'Component Masterlist v2'!E:E, "Not found")</f>
        <v>Karan Jeet Singh</v>
      </c>
    </row>
    <row r="17" spans="1:4">
      <c r="A17" s="226" t="s">
        <v>2109</v>
      </c>
      <c r="B17" s="227" t="s">
        <v>47</v>
      </c>
      <c r="C17" s="233" t="str">
        <f>_xlfn.XLOOKUP(B17, 'Component Masterlist v2'!A:A, 'Component Masterlist v2'!G:G, "Not found")</f>
        <v>Sanyam Agrawal</v>
      </c>
      <c r="D17" s="233" t="str">
        <f>_xlfn.XLOOKUP(B17, 'Component Masterlist v2'!A:A, 'Component Masterlist v2'!E:E, "Not found")</f>
        <v>Anirudh Agarwal</v>
      </c>
    </row>
    <row r="18" spans="1:4">
      <c r="A18" s="226" t="s">
        <v>2110</v>
      </c>
      <c r="B18" s="227" t="s">
        <v>35</v>
      </c>
      <c r="C18" s="233" t="str">
        <f>_xlfn.XLOOKUP(B18, 'Component Masterlist v2'!A:A, 'Component Masterlist v2'!G:G, "Not found")</f>
        <v>Santosh Golecha</v>
      </c>
      <c r="D18" s="233" t="str">
        <f>_xlfn.XLOOKUP(B18, 'Component Masterlist v2'!A:A, 'Component Masterlist v2'!E:E, "Not found")</f>
        <v>Ankur Agarwal</v>
      </c>
    </row>
    <row r="19" spans="1:4">
      <c r="A19" s="226" t="s">
        <v>2111</v>
      </c>
      <c r="B19" s="227" t="s">
        <v>35</v>
      </c>
      <c r="C19" s="233" t="str">
        <f>_xlfn.XLOOKUP(B19, 'Component Masterlist v2'!A:A, 'Component Masterlist v2'!G:G, "Not found")</f>
        <v>Santosh Golecha</v>
      </c>
      <c r="D19" s="233" t="str">
        <f>_xlfn.XLOOKUP(B19, 'Component Masterlist v2'!A:A, 'Component Masterlist v2'!E:E, "Not found")</f>
        <v>Ankur Agarwal</v>
      </c>
    </row>
    <row r="20" spans="1:4">
      <c r="A20" s="226" t="s">
        <v>2112</v>
      </c>
      <c r="B20" s="227" t="s">
        <v>51</v>
      </c>
      <c r="C20" s="233" t="str">
        <f>_xlfn.XLOOKUP(B20, 'Component Masterlist v2'!A:A, 'Component Masterlist v2'!G:G, "Not found")</f>
        <v>Sanyam Agrawal</v>
      </c>
      <c r="D20" s="233" t="str">
        <f>_xlfn.XLOOKUP(B20, 'Component Masterlist v2'!A:A, 'Component Masterlist v2'!E:E, "Not found")</f>
        <v>Fahad Tasleem</v>
      </c>
    </row>
    <row r="21" spans="1:4">
      <c r="A21" s="226" t="s">
        <v>2113</v>
      </c>
      <c r="B21" s="227" t="s">
        <v>35</v>
      </c>
      <c r="C21" s="233" t="str">
        <f>_xlfn.XLOOKUP(B21, 'Component Masterlist v2'!A:A, 'Component Masterlist v2'!G:G, "Not found")</f>
        <v>Santosh Golecha</v>
      </c>
      <c r="D21" s="233" t="str">
        <f>_xlfn.XLOOKUP(B21, 'Component Masterlist v2'!A:A, 'Component Masterlist v2'!E:E, "Not found")</f>
        <v>Ankur Agarwal</v>
      </c>
    </row>
    <row r="22" spans="1:4">
      <c r="A22" s="226" t="s">
        <v>2114</v>
      </c>
      <c r="B22" s="227" t="s">
        <v>35</v>
      </c>
      <c r="C22" s="233" t="str">
        <f>_xlfn.XLOOKUP(B22, 'Component Masterlist v2'!A:A, 'Component Masterlist v2'!G:G, "Not found")</f>
        <v>Santosh Golecha</v>
      </c>
      <c r="D22" s="233" t="str">
        <f>_xlfn.XLOOKUP(B22, 'Component Masterlist v2'!A:A, 'Component Masterlist v2'!E:E, "Not found")</f>
        <v>Ankur Agarwal</v>
      </c>
    </row>
    <row r="23" spans="1:4">
      <c r="A23" s="226" t="s">
        <v>2115</v>
      </c>
      <c r="B23" s="227" t="s">
        <v>35</v>
      </c>
      <c r="C23" s="233" t="str">
        <f>_xlfn.XLOOKUP(B23, 'Component Masterlist v2'!A:A, 'Component Masterlist v2'!G:G, "Not found")</f>
        <v>Santosh Golecha</v>
      </c>
      <c r="D23" s="233" t="str">
        <f>_xlfn.XLOOKUP(B23, 'Component Masterlist v2'!A:A, 'Component Masterlist v2'!E:E, "Not found")</f>
        <v>Ankur Agarwal</v>
      </c>
    </row>
    <row r="24" spans="1:4">
      <c r="A24" s="226" t="s">
        <v>2116</v>
      </c>
      <c r="B24" s="227" t="s">
        <v>35</v>
      </c>
      <c r="C24" s="233" t="str">
        <f>_xlfn.XLOOKUP(B24, 'Component Masterlist v2'!A:A, 'Component Masterlist v2'!G:G, "Not found")</f>
        <v>Santosh Golecha</v>
      </c>
      <c r="D24" s="233" t="str">
        <f>_xlfn.XLOOKUP(B24, 'Component Masterlist v2'!A:A, 'Component Masterlist v2'!E:E, "Not found")</f>
        <v>Ankur Agarwal</v>
      </c>
    </row>
    <row r="25" spans="1:4">
      <c r="A25" s="226" t="s">
        <v>2117</v>
      </c>
      <c r="B25" s="227" t="s">
        <v>40</v>
      </c>
      <c r="C25" s="233" t="str">
        <f>_xlfn.XLOOKUP(B25, 'Component Masterlist v2'!A:A, 'Component Masterlist v2'!G:G, "Not found")</f>
        <v>Santosh Golecha</v>
      </c>
      <c r="D25" s="233" t="str">
        <f>_xlfn.XLOOKUP(B25, 'Component Masterlist v2'!A:A, 'Component Masterlist v2'!E:E, "Not found")</f>
        <v>Ankur Agarwal</v>
      </c>
    </row>
    <row r="26" spans="1:4">
      <c r="A26" s="226" t="s">
        <v>2118</v>
      </c>
      <c r="B26" s="227" t="s">
        <v>92</v>
      </c>
      <c r="C26" s="233" t="str">
        <f>_xlfn.XLOOKUP(B26, 'Component Masterlist v2'!A:A, 'Component Masterlist v2'!G:G, "Not found")</f>
        <v>Ved Singh</v>
      </c>
      <c r="D26" s="233" t="str">
        <f>_xlfn.XLOOKUP(B26, 'Component Masterlist v2'!A:A, 'Component Masterlist v2'!E:E, "Not found")</f>
        <v>Ketan Dikshit</v>
      </c>
    </row>
    <row r="27" spans="1:4">
      <c r="A27" s="226" t="s">
        <v>2119</v>
      </c>
      <c r="B27" s="227" t="s">
        <v>91</v>
      </c>
      <c r="C27" s="233" t="str">
        <f>_xlfn.XLOOKUP(B27, 'Component Masterlist v2'!A:A, 'Component Masterlist v2'!G:G, "Not found")</f>
        <v>Ved Singh</v>
      </c>
      <c r="D27" s="233" t="str">
        <f>_xlfn.XLOOKUP(B27, 'Component Masterlist v2'!A:A, 'Component Masterlist v2'!E:E, "Not found")</f>
        <v>Ketan Dikshit</v>
      </c>
    </row>
    <row r="28" spans="1:4">
      <c r="A28" s="226" t="s">
        <v>2120</v>
      </c>
      <c r="B28" s="227" t="s">
        <v>91</v>
      </c>
      <c r="C28" s="233" t="str">
        <f>_xlfn.XLOOKUP(B28, 'Component Masterlist v2'!A:A, 'Component Masterlist v2'!G:G, "Not found")</f>
        <v>Ved Singh</v>
      </c>
      <c r="D28" s="233" t="str">
        <f>_xlfn.XLOOKUP(B28, 'Component Masterlist v2'!A:A, 'Component Masterlist v2'!E:E, "Not found")</f>
        <v>Ketan Dikshit</v>
      </c>
    </row>
    <row r="29" spans="1:4">
      <c r="A29" s="226" t="s">
        <v>2121</v>
      </c>
      <c r="B29" s="227" t="s">
        <v>88</v>
      </c>
      <c r="C29" s="233" t="str">
        <f>_xlfn.XLOOKUP(B29, 'Component Masterlist v2'!A:A, 'Component Masterlist v2'!G:G, "Not found")</f>
        <v>Ved Singh</v>
      </c>
      <c r="D29" s="233" t="str">
        <f>_xlfn.XLOOKUP(B29, 'Component Masterlist v2'!A:A, 'Component Masterlist v2'!E:E, "Not found")</f>
        <v>Karan Jeet Singh</v>
      </c>
    </row>
    <row r="30" spans="1:4">
      <c r="A30" s="226" t="s">
        <v>2122</v>
      </c>
      <c r="B30" s="227" t="s">
        <v>88</v>
      </c>
      <c r="C30" s="233" t="str">
        <f>_xlfn.XLOOKUP(B30, 'Component Masterlist v2'!A:A, 'Component Masterlist v2'!G:G, "Not found")</f>
        <v>Ved Singh</v>
      </c>
      <c r="D30" s="233" t="str">
        <f>_xlfn.XLOOKUP(B30, 'Component Masterlist v2'!A:A, 'Component Masterlist v2'!E:E, "Not found")</f>
        <v>Karan Jeet Singh</v>
      </c>
    </row>
    <row r="31" spans="1:4">
      <c r="A31" s="226" t="s">
        <v>2123</v>
      </c>
      <c r="B31" s="227" t="s">
        <v>54</v>
      </c>
      <c r="C31" s="233" t="str">
        <f>_xlfn.XLOOKUP(B31, 'Component Masterlist v2'!A:A, 'Component Masterlist v2'!G:G, "Not found")</f>
        <v>Sanyam Agrawal</v>
      </c>
      <c r="D31" s="233" t="str">
        <f>_xlfn.XLOOKUP(B31, 'Component Masterlist v2'!A:A, 'Component Masterlist v2'!E:E, "Not found")</f>
        <v>Prashant Gupta, Vraj Solanki</v>
      </c>
    </row>
    <row r="32" spans="1:4">
      <c r="A32" s="226" t="s">
        <v>2124</v>
      </c>
      <c r="B32" s="227" t="s">
        <v>35</v>
      </c>
      <c r="C32" s="233" t="str">
        <f>_xlfn.XLOOKUP(B32, 'Component Masterlist v2'!A:A, 'Component Masterlist v2'!G:G, "Not found")</f>
        <v>Santosh Golecha</v>
      </c>
      <c r="D32" s="233" t="str">
        <f>_xlfn.XLOOKUP(B32, 'Component Masterlist v2'!A:A, 'Component Masterlist v2'!E:E, "Not found")</f>
        <v>Ankur Agarwal</v>
      </c>
    </row>
    <row r="33" spans="1:4">
      <c r="A33" s="226" t="s">
        <v>2125</v>
      </c>
      <c r="B33" s="227" t="s">
        <v>35</v>
      </c>
      <c r="C33" s="233" t="str">
        <f>_xlfn.XLOOKUP(B33, 'Component Masterlist v2'!A:A, 'Component Masterlist v2'!G:G, "Not found")</f>
        <v>Santosh Golecha</v>
      </c>
      <c r="D33" s="233" t="str">
        <f>_xlfn.XLOOKUP(B33, 'Component Masterlist v2'!A:A, 'Component Masterlist v2'!E:E, "Not found")</f>
        <v>Ankur Agarwal</v>
      </c>
    </row>
    <row r="34" spans="1:4">
      <c r="A34" s="226" t="s">
        <v>2126</v>
      </c>
      <c r="B34" s="227" t="s">
        <v>54</v>
      </c>
      <c r="C34" s="233" t="str">
        <f>_xlfn.XLOOKUP(B34, 'Component Masterlist v2'!A:A, 'Component Masterlist v2'!G:G, "Not found")</f>
        <v>Sanyam Agrawal</v>
      </c>
      <c r="D34" s="233" t="str">
        <f>_xlfn.XLOOKUP(B34, 'Component Masterlist v2'!A:A, 'Component Masterlist v2'!E:E, "Not found")</f>
        <v>Prashant Gupta, Vraj Solanki</v>
      </c>
    </row>
    <row r="35" spans="1:4">
      <c r="A35" s="226" t="s">
        <v>2127</v>
      </c>
      <c r="B35" s="227" t="s">
        <v>88</v>
      </c>
      <c r="C35" s="233" t="str">
        <f>_xlfn.XLOOKUP(B35, 'Component Masterlist v2'!A:A, 'Component Masterlist v2'!G:G, "Not found")</f>
        <v>Ved Singh</v>
      </c>
      <c r="D35" s="233" t="str">
        <f>_xlfn.XLOOKUP(B35, 'Component Masterlist v2'!A:A, 'Component Masterlist v2'!E:E, "Not found")</f>
        <v>Karan Jeet Singh</v>
      </c>
    </row>
    <row r="36" spans="1:4">
      <c r="A36" s="226" t="s">
        <v>2128</v>
      </c>
      <c r="B36" s="227" t="s">
        <v>54</v>
      </c>
      <c r="C36" s="233" t="str">
        <f>_xlfn.XLOOKUP(B36, 'Component Masterlist v2'!A:A, 'Component Masterlist v2'!G:G, "Not found")</f>
        <v>Sanyam Agrawal</v>
      </c>
      <c r="D36" s="233" t="str">
        <f>_xlfn.XLOOKUP(B36, 'Component Masterlist v2'!A:A, 'Component Masterlist v2'!E:E, "Not found")</f>
        <v>Prashant Gupta, Vraj Solanki</v>
      </c>
    </row>
    <row r="37" spans="1:4">
      <c r="A37" s="226" t="s">
        <v>2129</v>
      </c>
      <c r="B37" s="227" t="s">
        <v>54</v>
      </c>
      <c r="C37" s="233" t="str">
        <f>_xlfn.XLOOKUP(B37, 'Component Masterlist v2'!A:A, 'Component Masterlist v2'!G:G, "Not found")</f>
        <v>Sanyam Agrawal</v>
      </c>
      <c r="D37" s="233" t="str">
        <f>_xlfn.XLOOKUP(B37, 'Component Masterlist v2'!A:A, 'Component Masterlist v2'!E:E, "Not found")</f>
        <v>Prashant Gupta, Vraj Solanki</v>
      </c>
    </row>
    <row r="38" spans="1:4">
      <c r="A38" s="226" t="s">
        <v>2130</v>
      </c>
      <c r="B38" s="227" t="s">
        <v>40</v>
      </c>
      <c r="C38" s="233" t="str">
        <f>_xlfn.XLOOKUP(B38, 'Component Masterlist v2'!A:A, 'Component Masterlist v2'!G:G, "Not found")</f>
        <v>Santosh Golecha</v>
      </c>
      <c r="D38" s="233" t="str">
        <f>_xlfn.XLOOKUP(B38, 'Component Masterlist v2'!A:A, 'Component Masterlist v2'!E:E, "Not found")</f>
        <v>Ankur Agarwal</v>
      </c>
    </row>
    <row r="39" spans="1:4">
      <c r="A39" s="226" t="s">
        <v>2131</v>
      </c>
      <c r="B39" s="227" t="s">
        <v>54</v>
      </c>
      <c r="C39" s="233" t="str">
        <f>_xlfn.XLOOKUP(B39, 'Component Masterlist v2'!A:A, 'Component Masterlist v2'!G:G, "Not found")</f>
        <v>Sanyam Agrawal</v>
      </c>
      <c r="D39" s="233" t="str">
        <f>_xlfn.XLOOKUP(B39, 'Component Masterlist v2'!A:A, 'Component Masterlist v2'!E:E, "Not found")</f>
        <v>Prashant Gupta, Vraj Solanki</v>
      </c>
    </row>
    <row r="40" spans="1:4">
      <c r="A40" s="226" t="s">
        <v>2132</v>
      </c>
      <c r="B40" s="227" t="s">
        <v>92</v>
      </c>
      <c r="C40" s="233" t="str">
        <f>_xlfn.XLOOKUP(B40, 'Component Masterlist v2'!A:A, 'Component Masterlist v2'!G:G, "Not found")</f>
        <v>Ved Singh</v>
      </c>
      <c r="D40" s="233" t="str">
        <f>_xlfn.XLOOKUP(B40, 'Component Masterlist v2'!A:A, 'Component Masterlist v2'!E:E, "Not found")</f>
        <v>Ketan Dikshit</v>
      </c>
    </row>
    <row r="41" spans="1:4">
      <c r="A41" s="226" t="s">
        <v>2133</v>
      </c>
      <c r="B41" s="227" t="s">
        <v>35</v>
      </c>
      <c r="C41" s="233" t="str">
        <f>_xlfn.XLOOKUP(B41, 'Component Masterlist v2'!A:A, 'Component Masterlist v2'!G:G, "Not found")</f>
        <v>Santosh Golecha</v>
      </c>
      <c r="D41" s="233" t="str">
        <f>_xlfn.XLOOKUP(B41, 'Component Masterlist v2'!A:A, 'Component Masterlist v2'!E:E, "Not found")</f>
        <v>Ankur Agarwal</v>
      </c>
    </row>
    <row r="42" spans="1:4">
      <c r="A42" s="226" t="s">
        <v>2134</v>
      </c>
      <c r="B42" s="227" t="s">
        <v>35</v>
      </c>
      <c r="C42" s="233" t="str">
        <f>_xlfn.XLOOKUP(B42, 'Component Masterlist v2'!A:A, 'Component Masterlist v2'!G:G, "Not found")</f>
        <v>Santosh Golecha</v>
      </c>
      <c r="D42" s="233" t="str">
        <f>_xlfn.XLOOKUP(B42, 'Component Masterlist v2'!A:A, 'Component Masterlist v2'!E:E, "Not found")</f>
        <v>Ankur Agarwal</v>
      </c>
    </row>
    <row r="43" spans="1:4">
      <c r="A43" s="226" t="s">
        <v>2135</v>
      </c>
      <c r="B43" s="227" t="s">
        <v>35</v>
      </c>
      <c r="C43" s="233" t="str">
        <f>_xlfn.XLOOKUP(B43, 'Component Masterlist v2'!A:A, 'Component Masterlist v2'!G:G, "Not found")</f>
        <v>Santosh Golecha</v>
      </c>
      <c r="D43" s="233" t="str">
        <f>_xlfn.XLOOKUP(B43, 'Component Masterlist v2'!A:A, 'Component Masterlist v2'!E:E, "Not found")</f>
        <v>Ankur Agarwal</v>
      </c>
    </row>
    <row r="44" spans="1:4">
      <c r="A44" s="226" t="s">
        <v>2136</v>
      </c>
      <c r="B44" s="227" t="s">
        <v>35</v>
      </c>
      <c r="C44" s="233" t="str">
        <f>_xlfn.XLOOKUP(B44, 'Component Masterlist v2'!A:A, 'Component Masterlist v2'!G:G, "Not found")</f>
        <v>Santosh Golecha</v>
      </c>
      <c r="D44" s="233" t="str">
        <f>_xlfn.XLOOKUP(B44, 'Component Masterlist v2'!A:A, 'Component Masterlist v2'!E:E, "Not found")</f>
        <v>Ankur Agarwal</v>
      </c>
    </row>
    <row r="45" spans="1:4">
      <c r="A45" s="226" t="s">
        <v>2137</v>
      </c>
      <c r="B45" s="227" t="s">
        <v>35</v>
      </c>
      <c r="C45" s="233" t="str">
        <f>_xlfn.XLOOKUP(B45, 'Component Masterlist v2'!A:A, 'Component Masterlist v2'!G:G, "Not found")</f>
        <v>Santosh Golecha</v>
      </c>
      <c r="D45" s="233" t="str">
        <f>_xlfn.XLOOKUP(B45, 'Component Masterlist v2'!A:A, 'Component Masterlist v2'!E:E, "Not found")</f>
        <v>Ankur Agarwal</v>
      </c>
    </row>
    <row r="46" spans="1:4">
      <c r="A46" s="226" t="s">
        <v>2138</v>
      </c>
      <c r="B46" s="227" t="s">
        <v>35</v>
      </c>
      <c r="C46" s="233" t="str">
        <f>_xlfn.XLOOKUP(B46, 'Component Masterlist v2'!A:A, 'Component Masterlist v2'!G:G, "Not found")</f>
        <v>Santosh Golecha</v>
      </c>
      <c r="D46" s="233" t="str">
        <f>_xlfn.XLOOKUP(B46, 'Component Masterlist v2'!A:A, 'Component Masterlist v2'!E:E, "Not found")</f>
        <v>Ankur Agarwal</v>
      </c>
    </row>
    <row r="47" spans="1:4">
      <c r="A47" s="226" t="s">
        <v>2139</v>
      </c>
      <c r="B47" s="227" t="s">
        <v>35</v>
      </c>
      <c r="C47" s="233" t="str">
        <f>_xlfn.XLOOKUP(B47, 'Component Masterlist v2'!A:A, 'Component Masterlist v2'!G:G, "Not found")</f>
        <v>Santosh Golecha</v>
      </c>
      <c r="D47" s="233" t="str">
        <f>_xlfn.XLOOKUP(B47, 'Component Masterlist v2'!A:A, 'Component Masterlist v2'!E:E, "Not found")</f>
        <v>Ankur Agarwal</v>
      </c>
    </row>
    <row r="48" spans="1:4">
      <c r="A48" s="226" t="s">
        <v>2140</v>
      </c>
      <c r="B48" s="227" t="s">
        <v>35</v>
      </c>
      <c r="C48" s="233" t="str">
        <f>_xlfn.XLOOKUP(B48, 'Component Masterlist v2'!A:A, 'Component Masterlist v2'!G:G, "Not found")</f>
        <v>Santosh Golecha</v>
      </c>
      <c r="D48" s="233" t="str">
        <f>_xlfn.XLOOKUP(B48, 'Component Masterlist v2'!A:A, 'Component Masterlist v2'!E:E, "Not found")</f>
        <v>Ankur Agarwal</v>
      </c>
    </row>
    <row r="49" spans="1:4">
      <c r="A49" s="226" t="s">
        <v>2141</v>
      </c>
      <c r="B49" s="227" t="s">
        <v>35</v>
      </c>
      <c r="C49" s="233" t="str">
        <f>_xlfn.XLOOKUP(B49, 'Component Masterlist v2'!A:A, 'Component Masterlist v2'!G:G, "Not found")</f>
        <v>Santosh Golecha</v>
      </c>
      <c r="D49" s="233" t="str">
        <f>_xlfn.XLOOKUP(B49, 'Component Masterlist v2'!A:A, 'Component Masterlist v2'!E:E, "Not found")</f>
        <v>Ankur Agarwal</v>
      </c>
    </row>
    <row r="50" spans="1:4">
      <c r="A50" s="226" t="s">
        <v>2142</v>
      </c>
      <c r="B50" s="227" t="s">
        <v>35</v>
      </c>
      <c r="C50" s="233" t="str">
        <f>_xlfn.XLOOKUP(B50, 'Component Masterlist v2'!A:A, 'Component Masterlist v2'!G:G, "Not found")</f>
        <v>Santosh Golecha</v>
      </c>
      <c r="D50" s="233" t="str">
        <f>_xlfn.XLOOKUP(B50, 'Component Masterlist v2'!A:A, 'Component Masterlist v2'!E:E, "Not found")</f>
        <v>Ankur Agarwal</v>
      </c>
    </row>
    <row r="51" spans="1:4">
      <c r="A51" s="226" t="s">
        <v>2143</v>
      </c>
      <c r="B51" s="227" t="s">
        <v>35</v>
      </c>
      <c r="C51" s="233" t="str">
        <f>_xlfn.XLOOKUP(B51, 'Component Masterlist v2'!A:A, 'Component Masterlist v2'!G:G, "Not found")</f>
        <v>Santosh Golecha</v>
      </c>
      <c r="D51" s="233" t="str">
        <f>_xlfn.XLOOKUP(B51, 'Component Masterlist v2'!A:A, 'Component Masterlist v2'!E:E, "Not found")</f>
        <v>Ankur Agarwal</v>
      </c>
    </row>
    <row r="52" spans="1:4">
      <c r="A52" s="226" t="s">
        <v>2144</v>
      </c>
      <c r="B52" s="227" t="s">
        <v>35</v>
      </c>
      <c r="C52" s="233" t="str">
        <f>_xlfn.XLOOKUP(B52, 'Component Masterlist v2'!A:A, 'Component Masterlist v2'!G:G, "Not found")</f>
        <v>Santosh Golecha</v>
      </c>
      <c r="D52" s="233" t="str">
        <f>_xlfn.XLOOKUP(B52, 'Component Masterlist v2'!A:A, 'Component Masterlist v2'!E:E, "Not found")</f>
        <v>Ankur Agarwal</v>
      </c>
    </row>
    <row r="53" spans="1:4">
      <c r="A53" s="226" t="s">
        <v>2145</v>
      </c>
      <c r="B53" s="227" t="s">
        <v>28</v>
      </c>
      <c r="C53" s="233" t="str">
        <f>_xlfn.XLOOKUP(B53, 'Component Masterlist v2'!A:A, 'Component Masterlist v2'!G:G, "Not found")</f>
        <v>Raghu Edalur</v>
      </c>
      <c r="D53" s="233" t="str">
        <f>_xlfn.XLOOKUP(B53, 'Component Masterlist v2'!A:A, 'Component Masterlist v2'!E:E, "Not found")</f>
        <v>Parul Jain</v>
      </c>
    </row>
    <row r="54" spans="1:4">
      <c r="A54" s="226" t="s">
        <v>2146</v>
      </c>
      <c r="B54" s="227" t="s">
        <v>54</v>
      </c>
      <c r="C54" s="233" t="str">
        <f>_xlfn.XLOOKUP(B54, 'Component Masterlist v2'!A:A, 'Component Masterlist v2'!G:G, "Not found")</f>
        <v>Sanyam Agrawal</v>
      </c>
      <c r="D54" s="233" t="str">
        <f>_xlfn.XLOOKUP(B54, 'Component Masterlist v2'!A:A, 'Component Masterlist v2'!E:E, "Not found")</f>
        <v>Prashant Gupta, Vraj Solanki</v>
      </c>
    </row>
    <row r="55" spans="1:4">
      <c r="A55" s="226" t="s">
        <v>2147</v>
      </c>
      <c r="B55" s="227" t="s">
        <v>35</v>
      </c>
      <c r="C55" s="233" t="str">
        <f>_xlfn.XLOOKUP(B55, 'Component Masterlist v2'!A:A, 'Component Masterlist v2'!G:G, "Not found")</f>
        <v>Santosh Golecha</v>
      </c>
      <c r="D55" s="233" t="str">
        <f>_xlfn.XLOOKUP(B55, 'Component Masterlist v2'!A:A, 'Component Masterlist v2'!E:E, "Not found")</f>
        <v>Ankur Agarwal</v>
      </c>
    </row>
    <row r="56" spans="1:4">
      <c r="A56" s="226" t="s">
        <v>2148</v>
      </c>
      <c r="B56" s="227" t="s">
        <v>35</v>
      </c>
      <c r="C56" s="233" t="str">
        <f>_xlfn.XLOOKUP(B56, 'Component Masterlist v2'!A:A, 'Component Masterlist v2'!G:G, "Not found")</f>
        <v>Santosh Golecha</v>
      </c>
      <c r="D56" s="233" t="str">
        <f>_xlfn.XLOOKUP(B56, 'Component Masterlist v2'!A:A, 'Component Masterlist v2'!E:E, "Not found")</f>
        <v>Ankur Agarwal</v>
      </c>
    </row>
    <row r="57" spans="1:4">
      <c r="A57" s="226" t="s">
        <v>2149</v>
      </c>
      <c r="B57" s="227" t="s">
        <v>85</v>
      </c>
      <c r="C57" s="233" t="str">
        <f>_xlfn.XLOOKUP(B57, 'Component Masterlist v2'!A:A, 'Component Masterlist v2'!G:G, "Not found")</f>
        <v>Ved Singh</v>
      </c>
      <c r="D57" s="233" t="str">
        <f>_xlfn.XLOOKUP(B57, 'Component Masterlist v2'!A:A, 'Component Masterlist v2'!E:E, "Not found")</f>
        <v>Damodara Reddy</v>
      </c>
    </row>
    <row r="58" spans="1:4">
      <c r="A58" s="226" t="s">
        <v>2150</v>
      </c>
      <c r="B58" s="227" t="s">
        <v>49</v>
      </c>
      <c r="C58" s="233" t="str">
        <f>_xlfn.XLOOKUP(B58, 'Component Masterlist v2'!A:A, 'Component Masterlist v2'!G:G, "Not found")</f>
        <v>Sanyam Agrawal</v>
      </c>
      <c r="D58" s="233" t="str">
        <f>_xlfn.XLOOKUP(B58, 'Component Masterlist v2'!A:A, 'Component Masterlist v2'!E:E, "Not found")</f>
        <v>Fahad Tasleem</v>
      </c>
    </row>
    <row r="59" spans="1:4">
      <c r="A59" s="226" t="s">
        <v>2151</v>
      </c>
      <c r="B59" s="227" t="s">
        <v>35</v>
      </c>
      <c r="C59" s="233" t="str">
        <f>_xlfn.XLOOKUP(B59, 'Component Masterlist v2'!A:A, 'Component Masterlist v2'!G:G, "Not found")</f>
        <v>Santosh Golecha</v>
      </c>
      <c r="D59" s="233" t="str">
        <f>_xlfn.XLOOKUP(B59, 'Component Masterlist v2'!A:A, 'Component Masterlist v2'!E:E, "Not found")</f>
        <v>Ankur Agarwal</v>
      </c>
    </row>
    <row r="60" spans="1:4">
      <c r="A60" s="226" t="s">
        <v>2152</v>
      </c>
      <c r="B60" s="227" t="s">
        <v>35</v>
      </c>
      <c r="C60" s="233" t="str">
        <f>_xlfn.XLOOKUP(B60, 'Component Masterlist v2'!A:A, 'Component Masterlist v2'!G:G, "Not found")</f>
        <v>Santosh Golecha</v>
      </c>
      <c r="D60" s="233" t="str">
        <f>_xlfn.XLOOKUP(B60, 'Component Masterlist v2'!A:A, 'Component Masterlist v2'!E:E, "Not found")</f>
        <v>Ankur Agarwal</v>
      </c>
    </row>
    <row r="61" spans="1:4">
      <c r="A61" s="226" t="s">
        <v>2153</v>
      </c>
      <c r="B61" s="227" t="s">
        <v>40</v>
      </c>
      <c r="C61" s="233" t="str">
        <f>_xlfn.XLOOKUP(B61, 'Component Masterlist v2'!A:A, 'Component Masterlist v2'!G:G, "Not found")</f>
        <v>Santosh Golecha</v>
      </c>
      <c r="D61" s="233" t="str">
        <f>_xlfn.XLOOKUP(B61, 'Component Masterlist v2'!A:A, 'Component Masterlist v2'!E:E, "Not found")</f>
        <v>Ankur Agarwal</v>
      </c>
    </row>
    <row r="62" spans="1:4">
      <c r="A62" s="226" t="s">
        <v>2154</v>
      </c>
      <c r="B62" s="227" t="s">
        <v>35</v>
      </c>
      <c r="C62" s="233" t="str">
        <f>_xlfn.XLOOKUP(B62, 'Component Masterlist v2'!A:A, 'Component Masterlist v2'!G:G, "Not found")</f>
        <v>Santosh Golecha</v>
      </c>
      <c r="D62" s="233" t="str">
        <f>_xlfn.XLOOKUP(B62, 'Component Masterlist v2'!A:A, 'Component Masterlist v2'!E:E, "Not found")</f>
        <v>Ankur Agarwal</v>
      </c>
    </row>
    <row r="63" spans="1:4">
      <c r="A63" s="226" t="s">
        <v>2155</v>
      </c>
      <c r="B63" s="227" t="s">
        <v>35</v>
      </c>
      <c r="C63" s="233" t="str">
        <f>_xlfn.XLOOKUP(B63, 'Component Masterlist v2'!A:A, 'Component Masterlist v2'!G:G, "Not found")</f>
        <v>Santosh Golecha</v>
      </c>
      <c r="D63" s="233" t="str">
        <f>_xlfn.XLOOKUP(B63, 'Component Masterlist v2'!A:A, 'Component Masterlist v2'!E:E, "Not found")</f>
        <v>Ankur Agarwal</v>
      </c>
    </row>
    <row r="64" spans="1:4">
      <c r="A64" s="226" t="s">
        <v>2156</v>
      </c>
      <c r="B64" s="227" t="s">
        <v>35</v>
      </c>
      <c r="C64" s="233" t="str">
        <f>_xlfn.XLOOKUP(B64, 'Component Masterlist v2'!A:A, 'Component Masterlist v2'!G:G, "Not found")</f>
        <v>Santosh Golecha</v>
      </c>
      <c r="D64" s="233" t="str">
        <f>_xlfn.XLOOKUP(B64, 'Component Masterlist v2'!A:A, 'Component Masterlist v2'!E:E, "Not found")</f>
        <v>Ankur Agarwal</v>
      </c>
    </row>
    <row r="65" spans="1:4">
      <c r="A65" s="226" t="s">
        <v>2157</v>
      </c>
      <c r="B65" s="227" t="s">
        <v>85</v>
      </c>
      <c r="C65" s="233" t="str">
        <f>_xlfn.XLOOKUP(B65, 'Component Masterlist v2'!A:A, 'Component Masterlist v2'!G:G, "Not found")</f>
        <v>Ved Singh</v>
      </c>
      <c r="D65" s="233" t="str">
        <f>_xlfn.XLOOKUP(B65, 'Component Masterlist v2'!A:A, 'Component Masterlist v2'!E:E, "Not found")</f>
        <v>Damodara Reddy</v>
      </c>
    </row>
    <row r="66" spans="1:4">
      <c r="A66" s="226" t="s">
        <v>2158</v>
      </c>
      <c r="B66" s="227" t="s">
        <v>35</v>
      </c>
      <c r="C66" s="233" t="str">
        <f>_xlfn.XLOOKUP(B66, 'Component Masterlist v2'!A:A, 'Component Masterlist v2'!G:G, "Not found")</f>
        <v>Santosh Golecha</v>
      </c>
      <c r="D66" s="233" t="str">
        <f>_xlfn.XLOOKUP(B66, 'Component Masterlist v2'!A:A, 'Component Masterlist v2'!E:E, "Not found")</f>
        <v>Ankur Agarwal</v>
      </c>
    </row>
    <row r="67" spans="1:4">
      <c r="A67" s="226" t="s">
        <v>2159</v>
      </c>
      <c r="B67" s="227" t="s">
        <v>35</v>
      </c>
      <c r="C67" s="233" t="str">
        <f>_xlfn.XLOOKUP(B67, 'Component Masterlist v2'!A:A, 'Component Masterlist v2'!G:G, "Not found")</f>
        <v>Santosh Golecha</v>
      </c>
      <c r="D67" s="233" t="str">
        <f>_xlfn.XLOOKUP(B67, 'Component Masterlist v2'!A:A, 'Component Masterlist v2'!E:E, "Not found")</f>
        <v>Ankur Agarwal</v>
      </c>
    </row>
    <row r="68" spans="1:4">
      <c r="A68" s="226" t="s">
        <v>2160</v>
      </c>
      <c r="B68" s="227" t="s">
        <v>92</v>
      </c>
      <c r="C68" s="233" t="str">
        <f>_xlfn.XLOOKUP(B68, 'Component Masterlist v2'!A:A, 'Component Masterlist v2'!G:G, "Not found")</f>
        <v>Ved Singh</v>
      </c>
      <c r="D68" s="233" t="str">
        <f>_xlfn.XLOOKUP(B68, 'Component Masterlist v2'!A:A, 'Component Masterlist v2'!E:E, "Not found")</f>
        <v>Ketan Dikshit</v>
      </c>
    </row>
    <row r="69" spans="1:4">
      <c r="A69" s="226" t="s">
        <v>2161</v>
      </c>
      <c r="B69" s="227" t="s">
        <v>92</v>
      </c>
      <c r="C69" s="233" t="str">
        <f>_xlfn.XLOOKUP(B69, 'Component Masterlist v2'!A:A, 'Component Masterlist v2'!G:G, "Not found")</f>
        <v>Ved Singh</v>
      </c>
      <c r="D69" s="233" t="str">
        <f>_xlfn.XLOOKUP(B69, 'Component Masterlist v2'!A:A, 'Component Masterlist v2'!E:E, "Not found")</f>
        <v>Ketan Dikshit</v>
      </c>
    </row>
    <row r="70" spans="1:4">
      <c r="A70" s="226" t="s">
        <v>2162</v>
      </c>
      <c r="B70" s="227" t="s">
        <v>40</v>
      </c>
      <c r="C70" s="233" t="str">
        <f>_xlfn.XLOOKUP(B70, 'Component Masterlist v2'!A:A, 'Component Masterlist v2'!G:G, "Not found")</f>
        <v>Santosh Golecha</v>
      </c>
      <c r="D70" s="233" t="str">
        <f>_xlfn.XLOOKUP(B70, 'Component Masterlist v2'!A:A, 'Component Masterlist v2'!E:E, "Not found")</f>
        <v>Ankur Agarwal</v>
      </c>
    </row>
    <row r="71" spans="1:4">
      <c r="A71" s="226" t="s">
        <v>2163</v>
      </c>
      <c r="B71" s="227" t="s">
        <v>85</v>
      </c>
      <c r="C71" s="233" t="str">
        <f>_xlfn.XLOOKUP(B71, 'Component Masterlist v2'!A:A, 'Component Masterlist v2'!G:G, "Not found")</f>
        <v>Ved Singh</v>
      </c>
      <c r="D71" s="233" t="str">
        <f>_xlfn.XLOOKUP(B71, 'Component Masterlist v2'!A:A, 'Component Masterlist v2'!E:E, "Not found")</f>
        <v>Damodara Reddy</v>
      </c>
    </row>
    <row r="72" spans="1:4">
      <c r="A72" s="226" t="s">
        <v>2164</v>
      </c>
      <c r="B72" s="227" t="s">
        <v>41</v>
      </c>
      <c r="C72" s="233" t="str">
        <f>_xlfn.XLOOKUP(B72, 'Component Masterlist v2'!A:A, 'Component Masterlist v2'!G:G, "Not found")</f>
        <v>Santosh Golecha</v>
      </c>
      <c r="D72" s="233" t="str">
        <f>_xlfn.XLOOKUP(B72, 'Component Masterlist v2'!A:A, 'Component Masterlist v2'!E:E, "Not found")</f>
        <v>Santosh Golecha</v>
      </c>
    </row>
    <row r="73" spans="1:4">
      <c r="A73" s="226" t="s">
        <v>2165</v>
      </c>
      <c r="B73" s="227" t="s">
        <v>82</v>
      </c>
      <c r="C73" s="233" t="str">
        <f>_xlfn.XLOOKUP(B73, 'Component Masterlist v2'!A:A, 'Component Masterlist v2'!G:G, "Not found")</f>
        <v>Ved Singh</v>
      </c>
      <c r="D73" s="233" t="str">
        <f>_xlfn.XLOOKUP(B73, 'Component Masterlist v2'!A:A, 'Component Masterlist v2'!E:E, "Not found")</f>
        <v>Arun Gangadhar</v>
      </c>
    </row>
    <row r="74" spans="1:4">
      <c r="A74" s="226" t="s">
        <v>2166</v>
      </c>
      <c r="B74" s="227" t="s">
        <v>28</v>
      </c>
      <c r="C74" s="233" t="str">
        <f>_xlfn.XLOOKUP(B74, 'Component Masterlist v2'!A:A, 'Component Masterlist v2'!G:G, "Not found")</f>
        <v>Raghu Edalur</v>
      </c>
      <c r="D74" s="233" t="str">
        <f>_xlfn.XLOOKUP(B74, 'Component Masterlist v2'!A:A, 'Component Masterlist v2'!E:E, "Not found")</f>
        <v>Parul Jain</v>
      </c>
    </row>
    <row r="75" spans="1:4">
      <c r="A75" s="226" t="s">
        <v>2167</v>
      </c>
      <c r="B75" s="227" t="s">
        <v>88</v>
      </c>
      <c r="C75" s="233" t="str">
        <f>_xlfn.XLOOKUP(B75, 'Component Masterlist v2'!A:A, 'Component Masterlist v2'!G:G, "Not found")</f>
        <v>Ved Singh</v>
      </c>
      <c r="D75" s="233" t="str">
        <f>_xlfn.XLOOKUP(B75, 'Component Masterlist v2'!A:A, 'Component Masterlist v2'!E:E, "Not found")</f>
        <v>Karan Jeet Singh</v>
      </c>
    </row>
    <row r="76" spans="1:4">
      <c r="A76" s="226" t="s">
        <v>2168</v>
      </c>
      <c r="B76" s="227" t="s">
        <v>145</v>
      </c>
      <c r="C76" s="233" t="str">
        <f>_xlfn.XLOOKUP(B76, 'Component Masterlist v2'!A:A, 'Component Masterlist v2'!G:G, "Not found")</f>
        <v>Ved Singh</v>
      </c>
      <c r="D76" s="233" t="str">
        <f>_xlfn.XLOOKUP(B76, 'Component Masterlist v2'!A:A, 'Component Masterlist v2'!E:E, "Not found")</f>
        <v>Damodara Reddy</v>
      </c>
    </row>
    <row r="77" spans="1:4">
      <c r="A77" s="226" t="s">
        <v>2169</v>
      </c>
      <c r="B77" s="227" t="s">
        <v>82</v>
      </c>
      <c r="C77" s="233" t="str">
        <f>_xlfn.XLOOKUP(B77, 'Component Masterlist v2'!A:A, 'Component Masterlist v2'!G:G, "Not found")</f>
        <v>Ved Singh</v>
      </c>
      <c r="D77" s="233" t="str">
        <f>_xlfn.XLOOKUP(B77, 'Component Masterlist v2'!A:A, 'Component Masterlist v2'!E:E, "Not found")</f>
        <v>Arun Gangadhar</v>
      </c>
    </row>
    <row r="78" spans="1:4">
      <c r="A78" s="226" t="s">
        <v>2170</v>
      </c>
      <c r="B78" s="227" t="s">
        <v>41</v>
      </c>
      <c r="C78" s="233" t="str">
        <f>_xlfn.XLOOKUP(B78, 'Component Masterlist v2'!A:A, 'Component Masterlist v2'!G:G, "Not found")</f>
        <v>Santosh Golecha</v>
      </c>
      <c r="D78" s="233" t="str">
        <f>_xlfn.XLOOKUP(B78, 'Component Masterlist v2'!A:A, 'Component Masterlist v2'!E:E, "Not found")</f>
        <v>Santosh Golecha</v>
      </c>
    </row>
    <row r="79" spans="1:4">
      <c r="A79" s="226" t="s">
        <v>2171</v>
      </c>
      <c r="B79" s="227" t="s">
        <v>41</v>
      </c>
      <c r="C79" s="233" t="str">
        <f>_xlfn.XLOOKUP(B79, 'Component Masterlist v2'!A:A, 'Component Masterlist v2'!G:G, "Not found")</f>
        <v>Santosh Golecha</v>
      </c>
      <c r="D79" s="233" t="str">
        <f>_xlfn.XLOOKUP(B79, 'Component Masterlist v2'!A:A, 'Component Masterlist v2'!E:E, "Not found")</f>
        <v>Santosh Golecha</v>
      </c>
    </row>
    <row r="80" spans="1:4">
      <c r="A80" s="226" t="s">
        <v>2172</v>
      </c>
      <c r="B80" s="227" t="s">
        <v>92</v>
      </c>
      <c r="C80" s="233" t="str">
        <f>_xlfn.XLOOKUP(B80, 'Component Masterlist v2'!A:A, 'Component Masterlist v2'!G:G, "Not found")</f>
        <v>Ved Singh</v>
      </c>
      <c r="D80" s="233" t="str">
        <f>_xlfn.XLOOKUP(B80, 'Component Masterlist v2'!A:A, 'Component Masterlist v2'!E:E, "Not found")</f>
        <v>Ketan Dikshit</v>
      </c>
    </row>
    <row r="81" spans="1:4">
      <c r="A81" s="226" t="s">
        <v>2173</v>
      </c>
      <c r="B81" s="227" t="s">
        <v>32</v>
      </c>
      <c r="C81" s="233" t="str">
        <f>_xlfn.XLOOKUP(B81, 'Component Masterlist v2'!A:A, 'Component Masterlist v2'!G:G, "Not found")</f>
        <v>Santosh Golecha</v>
      </c>
      <c r="D81" s="233" t="str">
        <f>_xlfn.XLOOKUP(B81, 'Component Masterlist v2'!A:A, 'Component Masterlist v2'!E:E, "Not found")</f>
        <v>Aditya Kolli</v>
      </c>
    </row>
    <row r="82" spans="1:4">
      <c r="A82" s="226" t="s">
        <v>2174</v>
      </c>
      <c r="B82" s="227" t="s">
        <v>42</v>
      </c>
      <c r="C82" s="233" t="str">
        <f>_xlfn.XLOOKUP(B82, 'Component Masterlist v2'!A:A, 'Component Masterlist v2'!G:G, "Not found")</f>
        <v>Santosh Golecha</v>
      </c>
      <c r="D82" s="233" t="str">
        <f>_xlfn.XLOOKUP(B82, 'Component Masterlist v2'!A:A, 'Component Masterlist v2'!E:E, "Not found")</f>
        <v>Santosh Golecha</v>
      </c>
    </row>
    <row r="83" spans="1:4">
      <c r="A83" s="226" t="s">
        <v>2175</v>
      </c>
      <c r="B83" s="227" t="s">
        <v>88</v>
      </c>
      <c r="C83" s="233" t="str">
        <f>_xlfn.XLOOKUP(B83, 'Component Masterlist v2'!A:A, 'Component Masterlist v2'!G:G, "Not found")</f>
        <v>Ved Singh</v>
      </c>
      <c r="D83" s="233" t="str">
        <f>_xlfn.XLOOKUP(B83, 'Component Masterlist v2'!A:A, 'Component Masterlist v2'!E:E, "Not found")</f>
        <v>Karan Jeet Singh</v>
      </c>
    </row>
    <row r="84" spans="1:4">
      <c r="A84" s="226" t="s">
        <v>2176</v>
      </c>
      <c r="B84" s="227" t="s">
        <v>52</v>
      </c>
      <c r="C84" s="233" t="str">
        <f>_xlfn.XLOOKUP(B84, 'Component Masterlist v2'!A:A, 'Component Masterlist v2'!G:G, "Not found")</f>
        <v>Sanyam Agrawal</v>
      </c>
      <c r="D84" s="233" t="str">
        <f>_xlfn.XLOOKUP(B84, 'Component Masterlist v2'!A:A, 'Component Masterlist v2'!E:E, "Not found")</f>
        <v>Fahad Tasleem</v>
      </c>
    </row>
    <row r="85" spans="1:4">
      <c r="A85" s="226" t="s">
        <v>2177</v>
      </c>
      <c r="B85" s="227" t="s">
        <v>145</v>
      </c>
      <c r="C85" s="233" t="str">
        <f>_xlfn.XLOOKUP(B85, 'Component Masterlist v2'!A:A, 'Component Masterlist v2'!G:G, "Not found")</f>
        <v>Ved Singh</v>
      </c>
      <c r="D85" s="233" t="str">
        <f>_xlfn.XLOOKUP(B85, 'Component Masterlist v2'!A:A, 'Component Masterlist v2'!E:E, "Not found")</f>
        <v>Damodara Reddy</v>
      </c>
    </row>
    <row r="86" spans="1:4">
      <c r="A86" s="226" t="s">
        <v>2178</v>
      </c>
      <c r="B86" s="227" t="s">
        <v>49</v>
      </c>
      <c r="C86" s="233" t="str">
        <f>_xlfn.XLOOKUP(B86, 'Component Masterlist v2'!A:A, 'Component Masterlist v2'!G:G, "Not found")</f>
        <v>Sanyam Agrawal</v>
      </c>
      <c r="D86" s="233" t="str">
        <f>_xlfn.XLOOKUP(B86, 'Component Masterlist v2'!A:A, 'Component Masterlist v2'!E:E, "Not found")</f>
        <v>Fahad Tasleem</v>
      </c>
    </row>
    <row r="87" spans="1:4">
      <c r="A87" s="226" t="s">
        <v>2179</v>
      </c>
      <c r="B87" s="227" t="s">
        <v>49</v>
      </c>
      <c r="C87" s="233" t="str">
        <f>_xlfn.XLOOKUP(B87, 'Component Masterlist v2'!A:A, 'Component Masterlist v2'!G:G, "Not found")</f>
        <v>Sanyam Agrawal</v>
      </c>
      <c r="D87" s="233" t="str">
        <f>_xlfn.XLOOKUP(B87, 'Component Masterlist v2'!A:A, 'Component Masterlist v2'!E:E, "Not found")</f>
        <v>Fahad Tasleem</v>
      </c>
    </row>
    <row r="88" spans="1:4">
      <c r="A88" s="226" t="s">
        <v>2180</v>
      </c>
      <c r="B88" s="227" t="s">
        <v>92</v>
      </c>
      <c r="C88" s="233" t="str">
        <f>_xlfn.XLOOKUP(B88, 'Component Masterlist v2'!A:A, 'Component Masterlist v2'!G:G, "Not found")</f>
        <v>Ved Singh</v>
      </c>
      <c r="D88" s="233" t="str">
        <f>_xlfn.XLOOKUP(B88, 'Component Masterlist v2'!A:A, 'Component Masterlist v2'!E:E, "Not found")</f>
        <v>Ketan Dikshit</v>
      </c>
    </row>
    <row r="89" spans="1:4">
      <c r="A89" s="226" t="s">
        <v>2181</v>
      </c>
      <c r="B89" s="227" t="s">
        <v>47</v>
      </c>
      <c r="C89" s="233" t="str">
        <f>_xlfn.XLOOKUP(B89, 'Component Masterlist v2'!A:A, 'Component Masterlist v2'!G:G, "Not found")</f>
        <v>Sanyam Agrawal</v>
      </c>
      <c r="D89" s="233" t="str">
        <f>_xlfn.XLOOKUP(B89, 'Component Masterlist v2'!A:A, 'Component Masterlist v2'!E:E, "Not found")</f>
        <v>Anirudh Agarwal</v>
      </c>
    </row>
    <row r="90" spans="1:4">
      <c r="A90" s="226" t="s">
        <v>2182</v>
      </c>
      <c r="B90" s="227" t="s">
        <v>49</v>
      </c>
      <c r="C90" s="233" t="str">
        <f>_xlfn.XLOOKUP(B90, 'Component Masterlist v2'!A:A, 'Component Masterlist v2'!G:G, "Not found")</f>
        <v>Sanyam Agrawal</v>
      </c>
      <c r="D90" s="233" t="str">
        <f>_xlfn.XLOOKUP(B90, 'Component Masterlist v2'!A:A, 'Component Masterlist v2'!E:E, "Not found")</f>
        <v>Fahad Tasleem</v>
      </c>
    </row>
    <row r="91" spans="1:4">
      <c r="A91" s="226" t="s">
        <v>2183</v>
      </c>
      <c r="B91" s="227" t="s">
        <v>92</v>
      </c>
      <c r="C91" s="233" t="str">
        <f>_xlfn.XLOOKUP(B91, 'Component Masterlist v2'!A:A, 'Component Masterlist v2'!G:G, "Not found")</f>
        <v>Ved Singh</v>
      </c>
      <c r="D91" s="233" t="str">
        <f>_xlfn.XLOOKUP(B91, 'Component Masterlist v2'!A:A, 'Component Masterlist v2'!E:E, "Not found")</f>
        <v>Ketan Dikshit</v>
      </c>
    </row>
    <row r="92" spans="1:4">
      <c r="A92" s="226" t="s">
        <v>2184</v>
      </c>
      <c r="B92" s="227" t="s">
        <v>92</v>
      </c>
      <c r="C92" s="233" t="str">
        <f>_xlfn.XLOOKUP(B92, 'Component Masterlist v2'!A:A, 'Component Masterlist v2'!G:G, "Not found")</f>
        <v>Ved Singh</v>
      </c>
      <c r="D92" s="233" t="str">
        <f>_xlfn.XLOOKUP(B92, 'Component Masterlist v2'!A:A, 'Component Masterlist v2'!E:E, "Not found")</f>
        <v>Ketan Dikshit</v>
      </c>
    </row>
    <row r="93" spans="1:4">
      <c r="A93" s="226" t="s">
        <v>2185</v>
      </c>
      <c r="B93" s="227" t="s">
        <v>91</v>
      </c>
      <c r="C93" s="233" t="str">
        <f>_xlfn.XLOOKUP(B93, 'Component Masterlist v2'!A:A, 'Component Masterlist v2'!G:G, "Not found")</f>
        <v>Ved Singh</v>
      </c>
      <c r="D93" s="233" t="str">
        <f>_xlfn.XLOOKUP(B93, 'Component Masterlist v2'!A:A, 'Component Masterlist v2'!E:E, "Not found")</f>
        <v>Ketan Dikshit</v>
      </c>
    </row>
    <row r="94" spans="1:4">
      <c r="A94" s="226" t="s">
        <v>2186</v>
      </c>
      <c r="B94" s="227" t="s">
        <v>32</v>
      </c>
      <c r="C94" s="233" t="str">
        <f>_xlfn.XLOOKUP(B94, 'Component Masterlist v2'!A:A, 'Component Masterlist v2'!G:G, "Not found")</f>
        <v>Santosh Golecha</v>
      </c>
      <c r="D94" s="233" t="str">
        <f>_xlfn.XLOOKUP(B94, 'Component Masterlist v2'!A:A, 'Component Masterlist v2'!E:E, "Not found")</f>
        <v>Aditya Kolli</v>
      </c>
    </row>
    <row r="95" spans="1:4">
      <c r="A95" s="226" t="s">
        <v>2187</v>
      </c>
      <c r="B95" s="227" t="s">
        <v>88</v>
      </c>
      <c r="C95" s="233" t="str">
        <f>_xlfn.XLOOKUP(B95, 'Component Masterlist v2'!A:A, 'Component Masterlist v2'!G:G, "Not found")</f>
        <v>Ved Singh</v>
      </c>
      <c r="D95" s="233" t="str">
        <f>_xlfn.XLOOKUP(B95, 'Component Masterlist v2'!A:A, 'Component Masterlist v2'!E:E, "Not found")</f>
        <v>Karan Jeet Singh</v>
      </c>
    </row>
    <row r="96" spans="1:4">
      <c r="A96" s="226" t="s">
        <v>2188</v>
      </c>
      <c r="B96" s="227" t="s">
        <v>47</v>
      </c>
      <c r="C96" s="233" t="str">
        <f>_xlfn.XLOOKUP(B96, 'Component Masterlist v2'!A:A, 'Component Masterlist v2'!G:G, "Not found")</f>
        <v>Sanyam Agrawal</v>
      </c>
      <c r="D96" s="233" t="str">
        <f>_xlfn.XLOOKUP(B96, 'Component Masterlist v2'!A:A, 'Component Masterlist v2'!E:E, "Not found")</f>
        <v>Anirudh Agarwal</v>
      </c>
    </row>
    <row r="97" spans="1:4">
      <c r="A97" s="226" t="s">
        <v>2189</v>
      </c>
      <c r="B97" s="227" t="s">
        <v>88</v>
      </c>
      <c r="C97" s="233" t="str">
        <f>_xlfn.XLOOKUP(B97, 'Component Masterlist v2'!A:A, 'Component Masterlist v2'!G:G, "Not found")</f>
        <v>Ved Singh</v>
      </c>
      <c r="D97" s="233" t="str">
        <f>_xlfn.XLOOKUP(B97, 'Component Masterlist v2'!A:A, 'Component Masterlist v2'!E:E, "Not found")</f>
        <v>Karan Jeet Singh</v>
      </c>
    </row>
    <row r="98" spans="1:4">
      <c r="A98" s="226" t="s">
        <v>2190</v>
      </c>
      <c r="B98" s="227" t="s">
        <v>28</v>
      </c>
      <c r="C98" s="233" t="str">
        <f>_xlfn.XLOOKUP(B98, 'Component Masterlist v2'!A:A, 'Component Masterlist v2'!G:G, "Not found")</f>
        <v>Raghu Edalur</v>
      </c>
      <c r="D98" s="233" t="str">
        <f>_xlfn.XLOOKUP(B98, 'Component Masterlist v2'!A:A, 'Component Masterlist v2'!E:E, "Not found")</f>
        <v>Parul Jain</v>
      </c>
    </row>
    <row r="99" spans="1:4">
      <c r="A99" s="226" t="s">
        <v>2191</v>
      </c>
      <c r="B99" s="227" t="s">
        <v>41</v>
      </c>
      <c r="C99" s="233" t="str">
        <f>_xlfn.XLOOKUP(B99, 'Component Masterlist v2'!A:A, 'Component Masterlist v2'!G:G, "Not found")</f>
        <v>Santosh Golecha</v>
      </c>
      <c r="D99" s="233" t="str">
        <f>_xlfn.XLOOKUP(B99, 'Component Masterlist v2'!A:A, 'Component Masterlist v2'!E:E, "Not found")</f>
        <v>Santosh Golecha</v>
      </c>
    </row>
    <row r="100" spans="1:4">
      <c r="A100" s="226" t="s">
        <v>2192</v>
      </c>
      <c r="B100" s="227" t="s">
        <v>88</v>
      </c>
      <c r="C100" s="233" t="str">
        <f>_xlfn.XLOOKUP(B100, 'Component Masterlist v2'!A:A, 'Component Masterlist v2'!G:G, "Not found")</f>
        <v>Ved Singh</v>
      </c>
      <c r="D100" s="233" t="str">
        <f>_xlfn.XLOOKUP(B100, 'Component Masterlist v2'!A:A, 'Component Masterlist v2'!E:E, "Not found")</f>
        <v>Karan Jeet Singh</v>
      </c>
    </row>
    <row r="101" spans="1:4">
      <c r="A101" s="226" t="s">
        <v>2193</v>
      </c>
      <c r="B101" s="227" t="s">
        <v>42</v>
      </c>
      <c r="C101" s="233" t="str">
        <f>_xlfn.XLOOKUP(B101, 'Component Masterlist v2'!A:A, 'Component Masterlist v2'!G:G, "Not found")</f>
        <v>Santosh Golecha</v>
      </c>
      <c r="D101" s="233" t="str">
        <f>_xlfn.XLOOKUP(B101, 'Component Masterlist v2'!A:A, 'Component Masterlist v2'!E:E, "Not found")</f>
        <v>Santosh Golecha</v>
      </c>
    </row>
    <row r="102" spans="1:4">
      <c r="A102" s="226" t="s">
        <v>2194</v>
      </c>
      <c r="B102" s="227" t="s">
        <v>82</v>
      </c>
      <c r="C102" s="233" t="str">
        <f>_xlfn.XLOOKUP(B102, 'Component Masterlist v2'!A:A, 'Component Masterlist v2'!G:G, "Not found")</f>
        <v>Ved Singh</v>
      </c>
      <c r="D102" s="233" t="str">
        <f>_xlfn.XLOOKUP(B102, 'Component Masterlist v2'!A:A, 'Component Masterlist v2'!E:E, "Not found")</f>
        <v>Arun Gangadhar</v>
      </c>
    </row>
    <row r="103" spans="1:4">
      <c r="A103" s="226" t="s">
        <v>2195</v>
      </c>
      <c r="B103" s="227" t="s">
        <v>47</v>
      </c>
      <c r="C103" s="233" t="str">
        <f>_xlfn.XLOOKUP(B103, 'Component Masterlist v2'!A:A, 'Component Masterlist v2'!G:G, "Not found")</f>
        <v>Sanyam Agrawal</v>
      </c>
      <c r="D103" s="233" t="str">
        <f>_xlfn.XLOOKUP(B103, 'Component Masterlist v2'!A:A, 'Component Masterlist v2'!E:E, "Not found")</f>
        <v>Anirudh Agarwal</v>
      </c>
    </row>
    <row r="104" spans="1:4">
      <c r="A104" s="226" t="s">
        <v>2196</v>
      </c>
      <c r="B104" s="227" t="s">
        <v>145</v>
      </c>
      <c r="C104" s="233" t="str">
        <f>_xlfn.XLOOKUP(B104, 'Component Masterlist v2'!A:A, 'Component Masterlist v2'!G:G, "Not found")</f>
        <v>Ved Singh</v>
      </c>
      <c r="D104" s="233" t="str">
        <f>_xlfn.XLOOKUP(B104, 'Component Masterlist v2'!A:A, 'Component Masterlist v2'!E:E, "Not found")</f>
        <v>Damodara Reddy</v>
      </c>
    </row>
    <row r="105" spans="1:4">
      <c r="A105" s="226" t="s">
        <v>2197</v>
      </c>
      <c r="B105" s="227" t="s">
        <v>35</v>
      </c>
      <c r="C105" s="233" t="str">
        <f>_xlfn.XLOOKUP(B105, 'Component Masterlist v2'!A:A, 'Component Masterlist v2'!G:G, "Not found")</f>
        <v>Santosh Golecha</v>
      </c>
      <c r="D105" s="233" t="str">
        <f>_xlfn.XLOOKUP(B105, 'Component Masterlist v2'!A:A, 'Component Masterlist v2'!E:E, "Not found")</f>
        <v>Ankur Agarwal</v>
      </c>
    </row>
    <row r="106" spans="1:4">
      <c r="A106" s="226" t="s">
        <v>2198</v>
      </c>
      <c r="B106" s="227" t="s">
        <v>92</v>
      </c>
      <c r="C106" s="233" t="str">
        <f>_xlfn.XLOOKUP(B106, 'Component Masterlist v2'!A:A, 'Component Masterlist v2'!G:G, "Not found")</f>
        <v>Ved Singh</v>
      </c>
      <c r="D106" s="233" t="str">
        <f>_xlfn.XLOOKUP(B106, 'Component Masterlist v2'!A:A, 'Component Masterlist v2'!E:E, "Not found")</f>
        <v>Ketan Dikshit</v>
      </c>
    </row>
    <row r="107" spans="1:4">
      <c r="A107" s="226" t="s">
        <v>2199</v>
      </c>
      <c r="B107" s="227" t="s">
        <v>84</v>
      </c>
      <c r="C107" s="233" t="str">
        <f>_xlfn.XLOOKUP(B107, 'Component Masterlist v2'!A:A, 'Component Masterlist v2'!G:G, "Not found")</f>
        <v>Ved Singh</v>
      </c>
      <c r="D107" s="233" t="str">
        <f>_xlfn.XLOOKUP(B107, 'Component Masterlist v2'!A:A, 'Component Masterlist v2'!E:E, "Not found")</f>
        <v>Damodara Reddy</v>
      </c>
    </row>
    <row r="108" spans="1:4">
      <c r="A108" s="226" t="s">
        <v>2200</v>
      </c>
      <c r="B108" s="227" t="s">
        <v>92</v>
      </c>
      <c r="C108" s="233" t="str">
        <f>_xlfn.XLOOKUP(B108, 'Component Masterlist v2'!A:A, 'Component Masterlist v2'!G:G, "Not found")</f>
        <v>Ved Singh</v>
      </c>
      <c r="D108" s="233" t="str">
        <f>_xlfn.XLOOKUP(B108, 'Component Masterlist v2'!A:A, 'Component Masterlist v2'!E:E, "Not found")</f>
        <v>Ketan Dikshit</v>
      </c>
    </row>
    <row r="109" spans="1:4">
      <c r="A109" s="226" t="s">
        <v>2201</v>
      </c>
      <c r="B109" s="227" t="s">
        <v>88</v>
      </c>
      <c r="C109" s="233" t="str">
        <f>_xlfn.XLOOKUP(B109, 'Component Masterlist v2'!A:A, 'Component Masterlist v2'!G:G, "Not found")</f>
        <v>Ved Singh</v>
      </c>
      <c r="D109" s="233" t="str">
        <f>_xlfn.XLOOKUP(B109, 'Component Masterlist v2'!A:A, 'Component Masterlist v2'!E:E, "Not found")</f>
        <v>Karan Jeet Singh</v>
      </c>
    </row>
    <row r="110" spans="1:4">
      <c r="A110" s="226" t="s">
        <v>2202</v>
      </c>
      <c r="B110" s="227" t="s">
        <v>40</v>
      </c>
      <c r="C110" s="233" t="str">
        <f>_xlfn.XLOOKUP(B110, 'Component Masterlist v2'!A:A, 'Component Masterlist v2'!G:G, "Not found")</f>
        <v>Santosh Golecha</v>
      </c>
      <c r="D110" s="233" t="str">
        <f>_xlfn.XLOOKUP(B110, 'Component Masterlist v2'!A:A, 'Component Masterlist v2'!E:E, "Not found")</f>
        <v>Ankur Agarwal</v>
      </c>
    </row>
    <row r="111" spans="1:4">
      <c r="A111" s="226" t="s">
        <v>2203</v>
      </c>
      <c r="B111" s="227" t="s">
        <v>92</v>
      </c>
      <c r="C111" s="233" t="str">
        <f>_xlfn.XLOOKUP(B111, 'Component Masterlist v2'!A:A, 'Component Masterlist v2'!G:G, "Not found")</f>
        <v>Ved Singh</v>
      </c>
      <c r="D111" s="233" t="str">
        <f>_xlfn.XLOOKUP(B111, 'Component Masterlist v2'!A:A, 'Component Masterlist v2'!E:E, "Not found")</f>
        <v>Ketan Dikshit</v>
      </c>
    </row>
    <row r="112" spans="1:4">
      <c r="A112" s="226" t="s">
        <v>2204</v>
      </c>
      <c r="B112" s="227" t="s">
        <v>49</v>
      </c>
      <c r="C112" s="233" t="str">
        <f>_xlfn.XLOOKUP(B112, 'Component Masterlist v2'!A:A, 'Component Masterlist v2'!G:G, "Not found")</f>
        <v>Sanyam Agrawal</v>
      </c>
      <c r="D112" s="233" t="str">
        <f>_xlfn.XLOOKUP(B112, 'Component Masterlist v2'!A:A, 'Component Masterlist v2'!E:E, "Not found")</f>
        <v>Fahad Tasleem</v>
      </c>
    </row>
    <row r="113" spans="1:4">
      <c r="A113" s="226" t="s">
        <v>2205</v>
      </c>
      <c r="B113" s="227" t="s">
        <v>54</v>
      </c>
      <c r="C113" s="233" t="str">
        <f>_xlfn.XLOOKUP(B113, 'Component Masterlist v2'!A:A, 'Component Masterlist v2'!G:G, "Not found")</f>
        <v>Sanyam Agrawal</v>
      </c>
      <c r="D113" s="233" t="str">
        <f>_xlfn.XLOOKUP(B113, 'Component Masterlist v2'!A:A, 'Component Masterlist v2'!E:E, "Not found")</f>
        <v>Prashant Gupta, Vraj Solanki</v>
      </c>
    </row>
    <row r="114" spans="1:4">
      <c r="A114" s="226" t="s">
        <v>2206</v>
      </c>
      <c r="B114" s="227" t="s">
        <v>49</v>
      </c>
      <c r="C114" s="233" t="str">
        <f>_xlfn.XLOOKUP(B114, 'Component Masterlist v2'!A:A, 'Component Masterlist v2'!G:G, "Not found")</f>
        <v>Sanyam Agrawal</v>
      </c>
      <c r="D114" s="233" t="str">
        <f>_xlfn.XLOOKUP(B114, 'Component Masterlist v2'!A:A, 'Component Masterlist v2'!E:E, "Not found")</f>
        <v>Fahad Tasleem</v>
      </c>
    </row>
    <row r="115" spans="1:4">
      <c r="A115" s="226" t="s">
        <v>2207</v>
      </c>
      <c r="B115" s="227" t="s">
        <v>40</v>
      </c>
      <c r="C115" s="233" t="str">
        <f>_xlfn.XLOOKUP(B115, 'Component Masterlist v2'!A:A, 'Component Masterlist v2'!G:G, "Not found")</f>
        <v>Santosh Golecha</v>
      </c>
      <c r="D115" s="233" t="str">
        <f>_xlfn.XLOOKUP(B115, 'Component Masterlist v2'!A:A, 'Component Masterlist v2'!E:E, "Not found")</f>
        <v>Ankur Agarwal</v>
      </c>
    </row>
    <row r="116" spans="1:4">
      <c r="A116" s="226" t="s">
        <v>2208</v>
      </c>
      <c r="B116" s="227" t="s">
        <v>92</v>
      </c>
      <c r="C116" s="233" t="str">
        <f>_xlfn.XLOOKUP(B116, 'Component Masterlist v2'!A:A, 'Component Masterlist v2'!G:G, "Not found")</f>
        <v>Ved Singh</v>
      </c>
      <c r="D116" s="233" t="str">
        <f>_xlfn.XLOOKUP(B116, 'Component Masterlist v2'!A:A, 'Component Masterlist v2'!E:E, "Not found")</f>
        <v>Ketan Dikshit</v>
      </c>
    </row>
    <row r="117" spans="1:4">
      <c r="A117" s="226" t="s">
        <v>2209</v>
      </c>
      <c r="B117" s="227" t="s">
        <v>49</v>
      </c>
      <c r="C117" s="233" t="str">
        <f>_xlfn.XLOOKUP(B117, 'Component Masterlist v2'!A:A, 'Component Masterlist v2'!G:G, "Not found")</f>
        <v>Sanyam Agrawal</v>
      </c>
      <c r="D117" s="233" t="str">
        <f>_xlfn.XLOOKUP(B117, 'Component Masterlist v2'!A:A, 'Component Masterlist v2'!E:E, "Not found")</f>
        <v>Fahad Tasleem</v>
      </c>
    </row>
    <row r="118" spans="1:4">
      <c r="A118" s="226" t="s">
        <v>2210</v>
      </c>
      <c r="B118" s="227" t="s">
        <v>42</v>
      </c>
      <c r="C118" s="233" t="str">
        <f>_xlfn.XLOOKUP(B118, 'Component Masterlist v2'!A:A, 'Component Masterlist v2'!G:G, "Not found")</f>
        <v>Santosh Golecha</v>
      </c>
      <c r="D118" s="233" t="str">
        <f>_xlfn.XLOOKUP(B118, 'Component Masterlist v2'!A:A, 'Component Masterlist v2'!E:E, "Not found")</f>
        <v>Santosh Golecha</v>
      </c>
    </row>
    <row r="119" spans="1:4">
      <c r="A119" s="226" t="s">
        <v>2211</v>
      </c>
      <c r="B119" s="227" t="s">
        <v>82</v>
      </c>
      <c r="C119" s="233" t="str">
        <f>_xlfn.XLOOKUP(B119, 'Component Masterlist v2'!A:A, 'Component Masterlist v2'!G:G, "Not found")</f>
        <v>Ved Singh</v>
      </c>
      <c r="D119" s="233" t="str">
        <f>_xlfn.XLOOKUP(B119, 'Component Masterlist v2'!A:A, 'Component Masterlist v2'!E:E, "Not found")</f>
        <v>Arun Gangadhar</v>
      </c>
    </row>
    <row r="120" spans="1:4">
      <c r="A120" s="226" t="s">
        <v>2212</v>
      </c>
      <c r="B120" s="227" t="s">
        <v>84</v>
      </c>
      <c r="C120" s="233" t="str">
        <f>_xlfn.XLOOKUP(B120, 'Component Masterlist v2'!A:A, 'Component Masterlist v2'!G:G, "Not found")</f>
        <v>Ved Singh</v>
      </c>
      <c r="D120" s="233" t="str">
        <f>_xlfn.XLOOKUP(B120, 'Component Masterlist v2'!A:A, 'Component Masterlist v2'!E:E, "Not found")</f>
        <v>Damodara Reddy</v>
      </c>
    </row>
    <row r="121" spans="1:4">
      <c r="A121" s="226" t="s">
        <v>2213</v>
      </c>
      <c r="B121" s="227" t="s">
        <v>88</v>
      </c>
      <c r="C121" s="233" t="str">
        <f>_xlfn.XLOOKUP(B121, 'Component Masterlist v2'!A:A, 'Component Masterlist v2'!G:G, "Not found")</f>
        <v>Ved Singh</v>
      </c>
      <c r="D121" s="233" t="str">
        <f>_xlfn.XLOOKUP(B121, 'Component Masterlist v2'!A:A, 'Component Masterlist v2'!E:E, "Not found")</f>
        <v>Karan Jeet Singh</v>
      </c>
    </row>
    <row r="122" spans="1:4">
      <c r="A122" s="226" t="s">
        <v>2214</v>
      </c>
      <c r="B122" s="227" t="s">
        <v>84</v>
      </c>
      <c r="C122" s="233" t="str">
        <f>_xlfn.XLOOKUP(B122, 'Component Masterlist v2'!A:A, 'Component Masterlist v2'!G:G, "Not found")</f>
        <v>Ved Singh</v>
      </c>
      <c r="D122" s="233" t="str">
        <f>_xlfn.XLOOKUP(B122, 'Component Masterlist v2'!A:A, 'Component Masterlist v2'!E:E, "Not found")</f>
        <v>Damodara Reddy</v>
      </c>
    </row>
    <row r="123" spans="1:4">
      <c r="A123" s="226" t="s">
        <v>2215</v>
      </c>
      <c r="B123" s="227" t="s">
        <v>41</v>
      </c>
      <c r="C123" s="233" t="str">
        <f>_xlfn.XLOOKUP(B123, 'Component Masterlist v2'!A:A, 'Component Masterlist v2'!G:G, "Not found")</f>
        <v>Santosh Golecha</v>
      </c>
      <c r="D123" s="233" t="str">
        <f>_xlfn.XLOOKUP(B123, 'Component Masterlist v2'!A:A, 'Component Masterlist v2'!E:E, "Not found")</f>
        <v>Santosh Golecha</v>
      </c>
    </row>
    <row r="124" spans="1:4">
      <c r="A124" s="226" t="s">
        <v>2216</v>
      </c>
      <c r="B124" s="227" t="s">
        <v>92</v>
      </c>
      <c r="C124" s="233" t="str">
        <f>_xlfn.XLOOKUP(B124, 'Component Masterlist v2'!A:A, 'Component Masterlist v2'!G:G, "Not found")</f>
        <v>Ved Singh</v>
      </c>
      <c r="D124" s="233" t="str">
        <f>_xlfn.XLOOKUP(B124, 'Component Masterlist v2'!A:A, 'Component Masterlist v2'!E:E, "Not found")</f>
        <v>Ketan Dikshit</v>
      </c>
    </row>
    <row r="125" spans="1:4">
      <c r="A125" s="226" t="s">
        <v>2217</v>
      </c>
      <c r="B125" s="227" t="s">
        <v>88</v>
      </c>
      <c r="C125" s="233" t="str">
        <f>_xlfn.XLOOKUP(B125, 'Component Masterlist v2'!A:A, 'Component Masterlist v2'!G:G, "Not found")</f>
        <v>Ved Singh</v>
      </c>
      <c r="D125" s="233" t="str">
        <f>_xlfn.XLOOKUP(B125, 'Component Masterlist v2'!A:A, 'Component Masterlist v2'!E:E, "Not found")</f>
        <v>Karan Jeet Singh</v>
      </c>
    </row>
    <row r="126" spans="1:4">
      <c r="A126" s="226" t="s">
        <v>2218</v>
      </c>
      <c r="B126" s="227" t="s">
        <v>40</v>
      </c>
      <c r="C126" s="233" t="str">
        <f>_xlfn.XLOOKUP(B126, 'Component Masterlist v2'!A:A, 'Component Masterlist v2'!G:G, "Not found")</f>
        <v>Santosh Golecha</v>
      </c>
      <c r="D126" s="233" t="str">
        <f>_xlfn.XLOOKUP(B126, 'Component Masterlist v2'!A:A, 'Component Masterlist v2'!E:E, "Not found")</f>
        <v>Ankur Agarwal</v>
      </c>
    </row>
    <row r="127" spans="1:4">
      <c r="A127" s="226" t="s">
        <v>2219</v>
      </c>
      <c r="B127" s="227" t="s">
        <v>47</v>
      </c>
      <c r="C127" s="233" t="str">
        <f>_xlfn.XLOOKUP(B127, 'Component Masterlist v2'!A:A, 'Component Masterlist v2'!G:G, "Not found")</f>
        <v>Sanyam Agrawal</v>
      </c>
      <c r="D127" s="233" t="str">
        <f>_xlfn.XLOOKUP(B127, 'Component Masterlist v2'!A:A, 'Component Masterlist v2'!E:E, "Not found")</f>
        <v>Anirudh Agarwal</v>
      </c>
    </row>
    <row r="128" spans="1:4">
      <c r="A128" s="226" t="s">
        <v>2220</v>
      </c>
      <c r="B128" s="227" t="s">
        <v>88</v>
      </c>
      <c r="C128" s="233" t="str">
        <f>_xlfn.XLOOKUP(B128, 'Component Masterlist v2'!A:A, 'Component Masterlist v2'!G:G, "Not found")</f>
        <v>Ved Singh</v>
      </c>
      <c r="D128" s="233" t="str">
        <f>_xlfn.XLOOKUP(B128, 'Component Masterlist v2'!A:A, 'Component Masterlist v2'!E:E, "Not found")</f>
        <v>Karan Jeet Singh</v>
      </c>
    </row>
    <row r="129" spans="1:4">
      <c r="A129" s="226" t="s">
        <v>2221</v>
      </c>
      <c r="B129" s="227" t="s">
        <v>92</v>
      </c>
      <c r="C129" s="233" t="str">
        <f>_xlfn.XLOOKUP(B129, 'Component Masterlist v2'!A:A, 'Component Masterlist v2'!G:G, "Not found")</f>
        <v>Ved Singh</v>
      </c>
      <c r="D129" s="233" t="str">
        <f>_xlfn.XLOOKUP(B129, 'Component Masterlist v2'!A:A, 'Component Masterlist v2'!E:E, "Not found")</f>
        <v>Ketan Dikshit</v>
      </c>
    </row>
    <row r="130" spans="1:4">
      <c r="A130" s="226" t="s">
        <v>2222</v>
      </c>
      <c r="B130" s="227" t="s">
        <v>47</v>
      </c>
      <c r="C130" s="233" t="str">
        <f>_xlfn.XLOOKUP(B130, 'Component Masterlist v2'!A:A, 'Component Masterlist v2'!G:G, "Not found")</f>
        <v>Sanyam Agrawal</v>
      </c>
      <c r="D130" s="233" t="str">
        <f>_xlfn.XLOOKUP(B130, 'Component Masterlist v2'!A:A, 'Component Masterlist v2'!E:E, "Not found")</f>
        <v>Anirudh Agarwal</v>
      </c>
    </row>
    <row r="131" spans="1:4">
      <c r="A131" s="226" t="s">
        <v>2223</v>
      </c>
      <c r="B131" s="227" t="s">
        <v>85</v>
      </c>
      <c r="C131" s="233" t="str">
        <f>_xlfn.XLOOKUP(B131, 'Component Masterlist v2'!A:A, 'Component Masterlist v2'!G:G, "Not found")</f>
        <v>Ved Singh</v>
      </c>
      <c r="D131" s="233" t="str">
        <f>_xlfn.XLOOKUP(B131, 'Component Masterlist v2'!A:A, 'Component Masterlist v2'!E:E, "Not found")</f>
        <v>Damodara Reddy</v>
      </c>
    </row>
    <row r="132" spans="1:4">
      <c r="A132" s="226" t="s">
        <v>2224</v>
      </c>
      <c r="B132" s="227" t="s">
        <v>47</v>
      </c>
      <c r="C132" s="233" t="str">
        <f>_xlfn.XLOOKUP(B132, 'Component Masterlist v2'!A:A, 'Component Masterlist v2'!G:G, "Not found")</f>
        <v>Sanyam Agrawal</v>
      </c>
      <c r="D132" s="233" t="str">
        <f>_xlfn.XLOOKUP(B132, 'Component Masterlist v2'!A:A, 'Component Masterlist v2'!E:E, "Not found")</f>
        <v>Anirudh Agarwal</v>
      </c>
    </row>
    <row r="133" spans="1:4">
      <c r="A133" s="226" t="s">
        <v>2225</v>
      </c>
      <c r="B133" s="227" t="s">
        <v>49</v>
      </c>
      <c r="C133" s="233" t="str">
        <f>_xlfn.XLOOKUP(B133, 'Component Masterlist v2'!A:A, 'Component Masterlist v2'!G:G, "Not found")</f>
        <v>Sanyam Agrawal</v>
      </c>
      <c r="D133" s="233" t="str">
        <f>_xlfn.XLOOKUP(B133, 'Component Masterlist v2'!A:A, 'Component Masterlist v2'!E:E, "Not found")</f>
        <v>Fahad Tasleem</v>
      </c>
    </row>
    <row r="134" spans="1:4">
      <c r="A134" s="226" t="s">
        <v>2226</v>
      </c>
      <c r="B134" s="227" t="s">
        <v>88</v>
      </c>
      <c r="C134" s="233" t="str">
        <f>_xlfn.XLOOKUP(B134, 'Component Masterlist v2'!A:A, 'Component Masterlist v2'!G:G, "Not found")</f>
        <v>Ved Singh</v>
      </c>
      <c r="D134" s="233" t="str">
        <f>_xlfn.XLOOKUP(B134, 'Component Masterlist v2'!A:A, 'Component Masterlist v2'!E:E, "Not found")</f>
        <v>Karan Jeet Singh</v>
      </c>
    </row>
    <row r="135" spans="1:4">
      <c r="A135" s="226" t="s">
        <v>2227</v>
      </c>
      <c r="B135" s="227" t="s">
        <v>88</v>
      </c>
      <c r="C135" s="233" t="str">
        <f>_xlfn.XLOOKUP(B135, 'Component Masterlist v2'!A:A, 'Component Masterlist v2'!G:G, "Not found")</f>
        <v>Ved Singh</v>
      </c>
      <c r="D135" s="233" t="str">
        <f>_xlfn.XLOOKUP(B135, 'Component Masterlist v2'!A:A, 'Component Masterlist v2'!E:E, "Not found")</f>
        <v>Karan Jeet Singh</v>
      </c>
    </row>
    <row r="136" spans="1:4">
      <c r="A136" s="226" t="s">
        <v>2228</v>
      </c>
      <c r="B136" s="227" t="s">
        <v>85</v>
      </c>
      <c r="C136" s="233" t="str">
        <f>_xlfn.XLOOKUP(B136, 'Component Masterlist v2'!A:A, 'Component Masterlist v2'!G:G, "Not found")</f>
        <v>Ved Singh</v>
      </c>
      <c r="D136" s="233" t="str">
        <f>_xlfn.XLOOKUP(B136, 'Component Masterlist v2'!A:A, 'Component Masterlist v2'!E:E, "Not found")</f>
        <v>Damodara Reddy</v>
      </c>
    </row>
    <row r="137" spans="1:4">
      <c r="A137" s="226" t="s">
        <v>2229</v>
      </c>
      <c r="B137" s="227" t="s">
        <v>84</v>
      </c>
      <c r="C137" s="233" t="str">
        <f>_xlfn.XLOOKUP(B137, 'Component Masterlist v2'!A:A, 'Component Masterlist v2'!G:G, "Not found")</f>
        <v>Ved Singh</v>
      </c>
      <c r="D137" s="233" t="str">
        <f>_xlfn.XLOOKUP(B137, 'Component Masterlist v2'!A:A, 'Component Masterlist v2'!E:E, "Not found")</f>
        <v>Damodara Reddy</v>
      </c>
    </row>
    <row r="138" spans="1:4">
      <c r="A138" s="226" t="s">
        <v>2230</v>
      </c>
      <c r="B138" s="227" t="s">
        <v>35</v>
      </c>
      <c r="C138" s="233" t="str">
        <f>_xlfn.XLOOKUP(B138, 'Component Masterlist v2'!A:A, 'Component Masterlist v2'!G:G, "Not found")</f>
        <v>Santosh Golecha</v>
      </c>
      <c r="D138" s="233" t="str">
        <f>_xlfn.XLOOKUP(B138, 'Component Masterlist v2'!A:A, 'Component Masterlist v2'!E:E, "Not found")</f>
        <v>Ankur Agarwal</v>
      </c>
    </row>
    <row r="139" spans="1:4">
      <c r="A139" s="226" t="s">
        <v>2231</v>
      </c>
      <c r="B139" s="227" t="s">
        <v>92</v>
      </c>
      <c r="C139" s="233" t="str">
        <f>_xlfn.XLOOKUP(B139, 'Component Masterlist v2'!A:A, 'Component Masterlist v2'!G:G, "Not found")</f>
        <v>Ved Singh</v>
      </c>
      <c r="D139" s="233" t="str">
        <f>_xlfn.XLOOKUP(B139, 'Component Masterlist v2'!A:A, 'Component Masterlist v2'!E:E, "Not found")</f>
        <v>Ketan Dikshit</v>
      </c>
    </row>
    <row r="140" spans="1:4">
      <c r="A140" s="226" t="s">
        <v>2232</v>
      </c>
      <c r="B140" s="227" t="s">
        <v>85</v>
      </c>
      <c r="C140" s="233" t="str">
        <f>_xlfn.XLOOKUP(B140, 'Component Masterlist v2'!A:A, 'Component Masterlist v2'!G:G, "Not found")</f>
        <v>Ved Singh</v>
      </c>
      <c r="D140" s="233" t="str">
        <f>_xlfn.XLOOKUP(B140, 'Component Masterlist v2'!A:A, 'Component Masterlist v2'!E:E, "Not found")</f>
        <v>Damodara Reddy</v>
      </c>
    </row>
    <row r="141" spans="1:4">
      <c r="A141" s="226" t="s">
        <v>2233</v>
      </c>
      <c r="B141" s="227" t="s">
        <v>92</v>
      </c>
      <c r="C141" s="233" t="str">
        <f>_xlfn.XLOOKUP(B141, 'Component Masterlist v2'!A:A, 'Component Masterlist v2'!G:G, "Not found")</f>
        <v>Ved Singh</v>
      </c>
      <c r="D141" s="233" t="str">
        <f>_xlfn.XLOOKUP(B141, 'Component Masterlist v2'!A:A, 'Component Masterlist v2'!E:E, "Not found")</f>
        <v>Ketan Dikshit</v>
      </c>
    </row>
    <row r="142" spans="1:4">
      <c r="A142" s="226" t="s">
        <v>2234</v>
      </c>
      <c r="B142" s="227" t="s">
        <v>82</v>
      </c>
      <c r="C142" s="233" t="str">
        <f>_xlfn.XLOOKUP(B142, 'Component Masterlist v2'!A:A, 'Component Masterlist v2'!G:G, "Not found")</f>
        <v>Ved Singh</v>
      </c>
      <c r="D142" s="233" t="str">
        <f>_xlfn.XLOOKUP(B142, 'Component Masterlist v2'!A:A, 'Component Masterlist v2'!E:E, "Not found")</f>
        <v>Arun Gangadhar</v>
      </c>
    </row>
    <row r="143" spans="1:4">
      <c r="A143" s="226" t="s">
        <v>2235</v>
      </c>
      <c r="B143" s="227" t="s">
        <v>47</v>
      </c>
      <c r="C143" s="233" t="str">
        <f>_xlfn.XLOOKUP(B143, 'Component Masterlist v2'!A:A, 'Component Masterlist v2'!G:G, "Not found")</f>
        <v>Sanyam Agrawal</v>
      </c>
      <c r="D143" s="233" t="str">
        <f>_xlfn.XLOOKUP(B143, 'Component Masterlist v2'!A:A, 'Component Masterlist v2'!E:E, "Not found")</f>
        <v>Anirudh Agarwal</v>
      </c>
    </row>
    <row r="144" spans="1:4">
      <c r="A144" s="226" t="s">
        <v>2236</v>
      </c>
      <c r="B144" s="227" t="s">
        <v>84</v>
      </c>
      <c r="C144" s="233" t="str">
        <f>_xlfn.XLOOKUP(B144, 'Component Masterlist v2'!A:A, 'Component Masterlist v2'!G:G, "Not found")</f>
        <v>Ved Singh</v>
      </c>
      <c r="D144" s="233" t="str">
        <f>_xlfn.XLOOKUP(B144, 'Component Masterlist v2'!A:A, 'Component Masterlist v2'!E:E, "Not found")</f>
        <v>Damodara Reddy</v>
      </c>
    </row>
    <row r="145" spans="1:4">
      <c r="A145" s="226" t="s">
        <v>2237</v>
      </c>
      <c r="B145" s="227" t="s">
        <v>92</v>
      </c>
      <c r="C145" s="233" t="str">
        <f>_xlfn.XLOOKUP(B145, 'Component Masterlist v2'!A:A, 'Component Masterlist v2'!G:G, "Not found")</f>
        <v>Ved Singh</v>
      </c>
      <c r="D145" s="233" t="str">
        <f>_xlfn.XLOOKUP(B145, 'Component Masterlist v2'!A:A, 'Component Masterlist v2'!E:E, "Not found")</f>
        <v>Ketan Dikshit</v>
      </c>
    </row>
    <row r="146" spans="1:4">
      <c r="A146" s="226" t="s">
        <v>2238</v>
      </c>
      <c r="B146" s="227" t="s">
        <v>42</v>
      </c>
      <c r="C146" s="233" t="str">
        <f>_xlfn.XLOOKUP(B146, 'Component Masterlist v2'!A:A, 'Component Masterlist v2'!G:G, "Not found")</f>
        <v>Santosh Golecha</v>
      </c>
      <c r="D146" s="233" t="str">
        <f>_xlfn.XLOOKUP(B146, 'Component Masterlist v2'!A:A, 'Component Masterlist v2'!E:E, "Not found")</f>
        <v>Santosh Golecha</v>
      </c>
    </row>
    <row r="147" spans="1:4">
      <c r="A147" s="226" t="s">
        <v>2239</v>
      </c>
      <c r="B147" s="227" t="s">
        <v>84</v>
      </c>
      <c r="C147" s="233" t="str">
        <f>_xlfn.XLOOKUP(B147, 'Component Masterlist v2'!A:A, 'Component Masterlist v2'!G:G, "Not found")</f>
        <v>Ved Singh</v>
      </c>
      <c r="D147" s="233" t="str">
        <f>_xlfn.XLOOKUP(B147, 'Component Masterlist v2'!A:A, 'Component Masterlist v2'!E:E, "Not found")</f>
        <v>Damodara Reddy</v>
      </c>
    </row>
    <row r="148" spans="1:4">
      <c r="A148" s="226" t="s">
        <v>2240</v>
      </c>
      <c r="B148" s="227" t="s">
        <v>84</v>
      </c>
      <c r="C148" s="233" t="str">
        <f>_xlfn.XLOOKUP(B148, 'Component Masterlist v2'!A:A, 'Component Masterlist v2'!G:G, "Not found")</f>
        <v>Ved Singh</v>
      </c>
      <c r="D148" s="233" t="str">
        <f>_xlfn.XLOOKUP(B148, 'Component Masterlist v2'!A:A, 'Component Masterlist v2'!E:E, "Not found")</f>
        <v>Damodara Reddy</v>
      </c>
    </row>
    <row r="149" spans="1:4">
      <c r="A149" s="226" t="s">
        <v>2241</v>
      </c>
      <c r="B149" s="227" t="s">
        <v>84</v>
      </c>
      <c r="C149" s="233" t="str">
        <f>_xlfn.XLOOKUP(B149, 'Component Masterlist v2'!A:A, 'Component Masterlist v2'!G:G, "Not found")</f>
        <v>Ved Singh</v>
      </c>
      <c r="D149" s="233" t="str">
        <f>_xlfn.XLOOKUP(B149, 'Component Masterlist v2'!A:A, 'Component Masterlist v2'!E:E, "Not found")</f>
        <v>Damodara Reddy</v>
      </c>
    </row>
    <row r="150" spans="1:4">
      <c r="A150" s="226" t="s">
        <v>2242</v>
      </c>
      <c r="B150" s="227" t="s">
        <v>40</v>
      </c>
      <c r="C150" s="233" t="str">
        <f>_xlfn.XLOOKUP(B150, 'Component Masterlist v2'!A:A, 'Component Masterlist v2'!G:G, "Not found")</f>
        <v>Santosh Golecha</v>
      </c>
      <c r="D150" s="233" t="str">
        <f>_xlfn.XLOOKUP(B150, 'Component Masterlist v2'!A:A, 'Component Masterlist v2'!E:E, "Not found")</f>
        <v>Ankur Agarwal</v>
      </c>
    </row>
    <row r="151" spans="1:4">
      <c r="A151" s="226" t="s">
        <v>2243</v>
      </c>
      <c r="B151" s="227" t="s">
        <v>84</v>
      </c>
      <c r="C151" s="233" t="str">
        <f>_xlfn.XLOOKUP(B151, 'Component Masterlist v2'!A:A, 'Component Masterlist v2'!G:G, "Not found")</f>
        <v>Ved Singh</v>
      </c>
      <c r="D151" s="233" t="str">
        <f>_xlfn.XLOOKUP(B151, 'Component Masterlist v2'!A:A, 'Component Masterlist v2'!E:E, "Not found")</f>
        <v>Damodara Reddy</v>
      </c>
    </row>
    <row r="152" spans="1:4">
      <c r="A152" s="226" t="s">
        <v>2244</v>
      </c>
      <c r="B152" s="227" t="s">
        <v>41</v>
      </c>
      <c r="C152" s="233" t="str">
        <f>_xlfn.XLOOKUP(B152, 'Component Masterlist v2'!A:A, 'Component Masterlist v2'!G:G, "Not found")</f>
        <v>Santosh Golecha</v>
      </c>
      <c r="D152" s="233" t="str">
        <f>_xlfn.XLOOKUP(B152, 'Component Masterlist v2'!A:A, 'Component Masterlist v2'!E:E, "Not found")</f>
        <v>Santosh Golecha</v>
      </c>
    </row>
    <row r="153" spans="1:4">
      <c r="A153" s="226" t="s">
        <v>2245</v>
      </c>
      <c r="B153" s="227" t="s">
        <v>84</v>
      </c>
      <c r="C153" s="233" t="str">
        <f>_xlfn.XLOOKUP(B153, 'Component Masterlist v2'!A:A, 'Component Masterlist v2'!G:G, "Not found")</f>
        <v>Ved Singh</v>
      </c>
      <c r="D153" s="233" t="str">
        <f>_xlfn.XLOOKUP(B153, 'Component Masterlist v2'!A:A, 'Component Masterlist v2'!E:E, "Not found")</f>
        <v>Damodara Reddy</v>
      </c>
    </row>
    <row r="154" spans="1:4">
      <c r="A154" s="226" t="s">
        <v>2246</v>
      </c>
      <c r="B154" s="227" t="s">
        <v>54</v>
      </c>
      <c r="C154" s="233" t="str">
        <f>_xlfn.XLOOKUP(B154, 'Component Masterlist v2'!A:A, 'Component Masterlist v2'!G:G, "Not found")</f>
        <v>Sanyam Agrawal</v>
      </c>
      <c r="D154" s="233" t="str">
        <f>_xlfn.XLOOKUP(B154, 'Component Masterlist v2'!A:A, 'Component Masterlist v2'!E:E, "Not found")</f>
        <v>Prashant Gupta, Vraj Solanki</v>
      </c>
    </row>
    <row r="155" spans="1:4">
      <c r="A155" s="226" t="s">
        <v>2247</v>
      </c>
      <c r="B155" s="227" t="s">
        <v>47</v>
      </c>
      <c r="C155" s="233" t="str">
        <f>_xlfn.XLOOKUP(B155, 'Component Masterlist v2'!A:A, 'Component Masterlist v2'!G:G, "Not found")</f>
        <v>Sanyam Agrawal</v>
      </c>
      <c r="D155" s="233" t="str">
        <f>_xlfn.XLOOKUP(B155, 'Component Masterlist v2'!A:A, 'Component Masterlist v2'!E:E, "Not found")</f>
        <v>Anirudh Agarwal</v>
      </c>
    </row>
    <row r="156" spans="1:4">
      <c r="A156" s="226" t="s">
        <v>2248</v>
      </c>
      <c r="B156" s="227" t="s">
        <v>84</v>
      </c>
      <c r="C156" s="233" t="str">
        <f>_xlfn.XLOOKUP(B156, 'Component Masterlist v2'!A:A, 'Component Masterlist v2'!G:G, "Not found")</f>
        <v>Ved Singh</v>
      </c>
      <c r="D156" s="233" t="str">
        <f>_xlfn.XLOOKUP(B156, 'Component Masterlist v2'!A:A, 'Component Masterlist v2'!E:E, "Not found")</f>
        <v>Damodara Reddy</v>
      </c>
    </row>
    <row r="157" spans="1:4">
      <c r="A157" s="226" t="s">
        <v>2249</v>
      </c>
      <c r="B157" s="227" t="s">
        <v>41</v>
      </c>
      <c r="C157" s="233" t="str">
        <f>_xlfn.XLOOKUP(B157, 'Component Masterlist v2'!A:A, 'Component Masterlist v2'!G:G, "Not found")</f>
        <v>Santosh Golecha</v>
      </c>
      <c r="D157" s="233" t="str">
        <f>_xlfn.XLOOKUP(B157, 'Component Masterlist v2'!A:A, 'Component Masterlist v2'!E:E, "Not found")</f>
        <v>Santosh Golecha</v>
      </c>
    </row>
    <row r="158" spans="1:4">
      <c r="A158" s="226" t="s">
        <v>2250</v>
      </c>
      <c r="B158" s="227" t="s">
        <v>84</v>
      </c>
      <c r="C158" s="233" t="str">
        <f>_xlfn.XLOOKUP(B158, 'Component Masterlist v2'!A:A, 'Component Masterlist v2'!G:G, "Not found")</f>
        <v>Ved Singh</v>
      </c>
      <c r="D158" s="233" t="str">
        <f>_xlfn.XLOOKUP(B158, 'Component Masterlist v2'!A:A, 'Component Masterlist v2'!E:E, "Not found")</f>
        <v>Damodara Reddy</v>
      </c>
    </row>
    <row r="159" spans="1:4">
      <c r="A159" s="226" t="s">
        <v>2251</v>
      </c>
      <c r="B159" s="227" t="s">
        <v>91</v>
      </c>
      <c r="C159" s="233" t="str">
        <f>_xlfn.XLOOKUP(B159, 'Component Masterlist v2'!A:A, 'Component Masterlist v2'!G:G, "Not found")</f>
        <v>Ved Singh</v>
      </c>
      <c r="D159" s="233" t="str">
        <f>_xlfn.XLOOKUP(B159, 'Component Masterlist v2'!A:A, 'Component Masterlist v2'!E:E, "Not found")</f>
        <v>Ketan Dikshit</v>
      </c>
    </row>
    <row r="160" spans="1:4">
      <c r="A160" s="226" t="s">
        <v>2252</v>
      </c>
      <c r="B160" s="227" t="s">
        <v>85</v>
      </c>
      <c r="C160" s="233" t="str">
        <f>_xlfn.XLOOKUP(B160, 'Component Masterlist v2'!A:A, 'Component Masterlist v2'!G:G, "Not found")</f>
        <v>Ved Singh</v>
      </c>
      <c r="D160" s="233" t="str">
        <f>_xlfn.XLOOKUP(B160, 'Component Masterlist v2'!A:A, 'Component Masterlist v2'!E:E, "Not found")</f>
        <v>Damodara Reddy</v>
      </c>
    </row>
    <row r="161" spans="1:4">
      <c r="A161" s="226" t="s">
        <v>2253</v>
      </c>
      <c r="B161" s="227" t="s">
        <v>88</v>
      </c>
      <c r="C161" s="233" t="str">
        <f>_xlfn.XLOOKUP(B161, 'Component Masterlist v2'!A:A, 'Component Masterlist v2'!G:G, "Not found")</f>
        <v>Ved Singh</v>
      </c>
      <c r="D161" s="233" t="str">
        <f>_xlfn.XLOOKUP(B161, 'Component Masterlist v2'!A:A, 'Component Masterlist v2'!E:E, "Not found")</f>
        <v>Karan Jeet Singh</v>
      </c>
    </row>
    <row r="162" spans="1:4">
      <c r="A162" s="226" t="s">
        <v>2254</v>
      </c>
      <c r="B162" s="227" t="s">
        <v>40</v>
      </c>
      <c r="C162" s="233" t="str">
        <f>_xlfn.XLOOKUP(B162, 'Component Masterlist v2'!A:A, 'Component Masterlist v2'!G:G, "Not found")</f>
        <v>Santosh Golecha</v>
      </c>
      <c r="D162" s="233" t="str">
        <f>_xlfn.XLOOKUP(B162, 'Component Masterlist v2'!A:A, 'Component Masterlist v2'!E:E, "Not found")</f>
        <v>Ankur Agarwal</v>
      </c>
    </row>
    <row r="163" spans="1:4">
      <c r="A163" s="226" t="s">
        <v>2255</v>
      </c>
      <c r="B163" s="227" t="s">
        <v>41</v>
      </c>
      <c r="C163" s="233" t="str">
        <f>_xlfn.XLOOKUP(B163, 'Component Masterlist v2'!A:A, 'Component Masterlist v2'!G:G, "Not found")</f>
        <v>Santosh Golecha</v>
      </c>
      <c r="D163" s="233" t="str">
        <f>_xlfn.XLOOKUP(B163, 'Component Masterlist v2'!A:A, 'Component Masterlist v2'!E:E, "Not found")</f>
        <v>Santosh Golecha</v>
      </c>
    </row>
    <row r="164" spans="1:4">
      <c r="A164" s="226" t="s">
        <v>2256</v>
      </c>
      <c r="B164" s="227" t="s">
        <v>41</v>
      </c>
      <c r="C164" s="233" t="str">
        <f>_xlfn.XLOOKUP(B164, 'Component Masterlist v2'!A:A, 'Component Masterlist v2'!G:G, "Not found")</f>
        <v>Santosh Golecha</v>
      </c>
      <c r="D164" s="233" t="str">
        <f>_xlfn.XLOOKUP(B164, 'Component Masterlist v2'!A:A, 'Component Masterlist v2'!E:E, "Not found")</f>
        <v>Santosh Golecha</v>
      </c>
    </row>
    <row r="165" spans="1:4">
      <c r="A165" s="226" t="s">
        <v>2257</v>
      </c>
      <c r="B165" s="227" t="s">
        <v>41</v>
      </c>
      <c r="C165" s="233" t="str">
        <f>_xlfn.XLOOKUP(B165, 'Component Masterlist v2'!A:A, 'Component Masterlist v2'!G:G, "Not found")</f>
        <v>Santosh Golecha</v>
      </c>
      <c r="D165" s="233" t="str">
        <f>_xlfn.XLOOKUP(B165, 'Component Masterlist v2'!A:A, 'Component Masterlist v2'!E:E, "Not found")</f>
        <v>Santosh Golecha</v>
      </c>
    </row>
    <row r="166" spans="1:4">
      <c r="A166" s="226" t="s">
        <v>2258</v>
      </c>
      <c r="B166" s="227" t="s">
        <v>47</v>
      </c>
      <c r="C166" s="233" t="str">
        <f>_xlfn.XLOOKUP(B166, 'Component Masterlist v2'!A:A, 'Component Masterlist v2'!G:G, "Not found")</f>
        <v>Sanyam Agrawal</v>
      </c>
      <c r="D166" s="233" t="str">
        <f>_xlfn.XLOOKUP(B166, 'Component Masterlist v2'!A:A, 'Component Masterlist v2'!E:E, "Not found")</f>
        <v>Anirudh Agarwal</v>
      </c>
    </row>
    <row r="167" spans="1:4">
      <c r="A167" s="226" t="s">
        <v>2259</v>
      </c>
      <c r="B167" s="227" t="s">
        <v>84</v>
      </c>
      <c r="C167" s="233" t="str">
        <f>_xlfn.XLOOKUP(B167, 'Component Masterlist v2'!A:A, 'Component Masterlist v2'!G:G, "Not found")</f>
        <v>Ved Singh</v>
      </c>
      <c r="D167" s="233" t="str">
        <f>_xlfn.XLOOKUP(B167, 'Component Masterlist v2'!A:A, 'Component Masterlist v2'!E:E, "Not found")</f>
        <v>Damodara Reddy</v>
      </c>
    </row>
    <row r="168" spans="1:4">
      <c r="A168" s="226" t="s">
        <v>2260</v>
      </c>
      <c r="B168" s="227" t="s">
        <v>88</v>
      </c>
      <c r="C168" s="233" t="str">
        <f>_xlfn.XLOOKUP(B168, 'Component Masterlist v2'!A:A, 'Component Masterlist v2'!G:G, "Not found")</f>
        <v>Ved Singh</v>
      </c>
      <c r="D168" s="233" t="str">
        <f>_xlfn.XLOOKUP(B168, 'Component Masterlist v2'!A:A, 'Component Masterlist v2'!E:E, "Not found")</f>
        <v>Karan Jeet Singh</v>
      </c>
    </row>
    <row r="169" spans="1:4">
      <c r="A169" s="226" t="s">
        <v>2261</v>
      </c>
      <c r="B169" s="227" t="s">
        <v>84</v>
      </c>
      <c r="C169" s="233" t="str">
        <f>_xlfn.XLOOKUP(B169, 'Component Masterlist v2'!A:A, 'Component Masterlist v2'!G:G, "Not found")</f>
        <v>Ved Singh</v>
      </c>
      <c r="D169" s="233" t="str">
        <f>_xlfn.XLOOKUP(B169, 'Component Masterlist v2'!A:A, 'Component Masterlist v2'!E:E, "Not found")</f>
        <v>Damodara Reddy</v>
      </c>
    </row>
    <row r="170" spans="1:4">
      <c r="A170" s="226" t="s">
        <v>2262</v>
      </c>
      <c r="B170" s="227" t="s">
        <v>42</v>
      </c>
      <c r="C170" s="233" t="str">
        <f>_xlfn.XLOOKUP(B170, 'Component Masterlist v2'!A:A, 'Component Masterlist v2'!G:G, "Not found")</f>
        <v>Santosh Golecha</v>
      </c>
      <c r="D170" s="233" t="str">
        <f>_xlfn.XLOOKUP(B170, 'Component Masterlist v2'!A:A, 'Component Masterlist v2'!E:E, "Not found")</f>
        <v>Santosh Golecha</v>
      </c>
    </row>
    <row r="171" spans="1:4">
      <c r="A171" s="226" t="s">
        <v>2263</v>
      </c>
      <c r="B171" s="227" t="s">
        <v>50</v>
      </c>
      <c r="C171" s="233" t="str">
        <f>_xlfn.XLOOKUP(B171, 'Component Masterlist v2'!A:A, 'Component Masterlist v2'!G:G, "Not found")</f>
        <v>Sanyam Agrawal</v>
      </c>
      <c r="D171" s="233" t="str">
        <f>_xlfn.XLOOKUP(B171, 'Component Masterlist v2'!A:A, 'Component Masterlist v2'!E:E, "Not found")</f>
        <v>Fahad Tasleem</v>
      </c>
    </row>
    <row r="172" spans="1:4">
      <c r="A172" s="226" t="s">
        <v>2264</v>
      </c>
      <c r="B172" s="227" t="s">
        <v>54</v>
      </c>
      <c r="C172" s="233" t="str">
        <f>_xlfn.XLOOKUP(B172, 'Component Masterlist v2'!A:A, 'Component Masterlist v2'!G:G, "Not found")</f>
        <v>Sanyam Agrawal</v>
      </c>
      <c r="D172" s="233" t="str">
        <f>_xlfn.XLOOKUP(B172, 'Component Masterlist v2'!A:A, 'Component Masterlist v2'!E:E, "Not found")</f>
        <v>Prashant Gupta, Vraj Solanki</v>
      </c>
    </row>
    <row r="173" spans="1:4">
      <c r="A173" s="226" t="s">
        <v>2265</v>
      </c>
      <c r="B173" s="227" t="s">
        <v>54</v>
      </c>
      <c r="C173" s="233" t="str">
        <f>_xlfn.XLOOKUP(B173, 'Component Masterlist v2'!A:A, 'Component Masterlist v2'!G:G, "Not found")</f>
        <v>Sanyam Agrawal</v>
      </c>
      <c r="D173" s="233" t="str">
        <f>_xlfn.XLOOKUP(B173, 'Component Masterlist v2'!A:A, 'Component Masterlist v2'!E:E, "Not found")</f>
        <v>Prashant Gupta, Vraj Solanki</v>
      </c>
    </row>
    <row r="174" spans="1:4">
      <c r="A174" s="226" t="s">
        <v>2266</v>
      </c>
      <c r="B174" s="227" t="s">
        <v>88</v>
      </c>
      <c r="C174" s="233" t="str">
        <f>_xlfn.XLOOKUP(B174, 'Component Masterlist v2'!A:A, 'Component Masterlist v2'!G:G, "Not found")</f>
        <v>Ved Singh</v>
      </c>
      <c r="D174" s="233" t="str">
        <f>_xlfn.XLOOKUP(B174, 'Component Masterlist v2'!A:A, 'Component Masterlist v2'!E:E, "Not found")</f>
        <v>Karan Jeet Singh</v>
      </c>
    </row>
    <row r="175" spans="1:4">
      <c r="A175" s="226" t="s">
        <v>2267</v>
      </c>
      <c r="B175" s="227" t="s">
        <v>41</v>
      </c>
      <c r="C175" s="233" t="str">
        <f>_xlfn.XLOOKUP(B175, 'Component Masterlist v2'!A:A, 'Component Masterlist v2'!G:G, "Not found")</f>
        <v>Santosh Golecha</v>
      </c>
      <c r="D175" s="233" t="str">
        <f>_xlfn.XLOOKUP(B175, 'Component Masterlist v2'!A:A, 'Component Masterlist v2'!E:E, "Not found")</f>
        <v>Santosh Golecha</v>
      </c>
    </row>
    <row r="176" spans="1:4">
      <c r="A176" s="226" t="s">
        <v>2268</v>
      </c>
      <c r="B176" s="227" t="s">
        <v>41</v>
      </c>
      <c r="C176" s="233" t="str">
        <f>_xlfn.XLOOKUP(B176, 'Component Masterlist v2'!A:A, 'Component Masterlist v2'!G:G, "Not found")</f>
        <v>Santosh Golecha</v>
      </c>
      <c r="D176" s="233" t="str">
        <f>_xlfn.XLOOKUP(B176, 'Component Masterlist v2'!A:A, 'Component Masterlist v2'!E:E, "Not found")</f>
        <v>Santosh Golecha</v>
      </c>
    </row>
    <row r="177" spans="1:4">
      <c r="A177" s="226" t="s">
        <v>2269</v>
      </c>
      <c r="B177" s="227" t="s">
        <v>41</v>
      </c>
      <c r="C177" s="233" t="str">
        <f>_xlfn.XLOOKUP(B177, 'Component Masterlist v2'!A:A, 'Component Masterlist v2'!G:G, "Not found")</f>
        <v>Santosh Golecha</v>
      </c>
      <c r="D177" s="233" t="str">
        <f>_xlfn.XLOOKUP(B177, 'Component Masterlist v2'!A:A, 'Component Masterlist v2'!E:E, "Not found")</f>
        <v>Santosh Golecha</v>
      </c>
    </row>
    <row r="178" spans="1:4">
      <c r="A178" s="226" t="s">
        <v>2270</v>
      </c>
      <c r="B178" s="227" t="s">
        <v>41</v>
      </c>
      <c r="C178" s="233" t="str">
        <f>_xlfn.XLOOKUP(B178, 'Component Masterlist v2'!A:A, 'Component Masterlist v2'!G:G, "Not found")</f>
        <v>Santosh Golecha</v>
      </c>
      <c r="D178" s="233" t="str">
        <f>_xlfn.XLOOKUP(B178, 'Component Masterlist v2'!A:A, 'Component Masterlist v2'!E:E, "Not found")</f>
        <v>Santosh Golecha</v>
      </c>
    </row>
    <row r="179" spans="1:4">
      <c r="A179" s="226" t="s">
        <v>2271</v>
      </c>
      <c r="B179" s="227" t="s">
        <v>41</v>
      </c>
      <c r="C179" s="233" t="str">
        <f>_xlfn.XLOOKUP(B179, 'Component Masterlist v2'!A:A, 'Component Masterlist v2'!G:G, "Not found")</f>
        <v>Santosh Golecha</v>
      </c>
      <c r="D179" s="233" t="str">
        <f>_xlfn.XLOOKUP(B179, 'Component Masterlist v2'!A:A, 'Component Masterlist v2'!E:E, "Not found")</f>
        <v>Santosh Golecha</v>
      </c>
    </row>
    <row r="180" spans="1:4">
      <c r="A180" s="226" t="s">
        <v>2272</v>
      </c>
      <c r="B180" s="227" t="s">
        <v>47</v>
      </c>
      <c r="C180" s="233" t="str">
        <f>_xlfn.XLOOKUP(B180, 'Component Masterlist v2'!A:A, 'Component Masterlist v2'!G:G, "Not found")</f>
        <v>Sanyam Agrawal</v>
      </c>
      <c r="D180" s="233" t="str">
        <f>_xlfn.XLOOKUP(B180, 'Component Masterlist v2'!A:A, 'Component Masterlist v2'!E:E, "Not found")</f>
        <v>Anirudh Agarwal</v>
      </c>
    </row>
    <row r="181" spans="1:4">
      <c r="A181" s="226" t="s">
        <v>2273</v>
      </c>
      <c r="B181" s="227" t="s">
        <v>47</v>
      </c>
      <c r="C181" s="233" t="str">
        <f>_xlfn.XLOOKUP(B181, 'Component Masterlist v2'!A:A, 'Component Masterlist v2'!G:G, "Not found")</f>
        <v>Sanyam Agrawal</v>
      </c>
      <c r="D181" s="233" t="str">
        <f>_xlfn.XLOOKUP(B181, 'Component Masterlist v2'!A:A, 'Component Masterlist v2'!E:E, "Not found")</f>
        <v>Anirudh Agarwal</v>
      </c>
    </row>
    <row r="182" spans="1:4">
      <c r="A182" s="226" t="s">
        <v>2274</v>
      </c>
      <c r="B182" s="227" t="s">
        <v>92</v>
      </c>
      <c r="C182" s="233" t="str">
        <f>_xlfn.XLOOKUP(B182, 'Component Masterlist v2'!A:A, 'Component Masterlist v2'!G:G, "Not found")</f>
        <v>Ved Singh</v>
      </c>
      <c r="D182" s="233" t="str">
        <f>_xlfn.XLOOKUP(B182, 'Component Masterlist v2'!A:A, 'Component Masterlist v2'!E:E, "Not found")</f>
        <v>Ketan Dikshit</v>
      </c>
    </row>
    <row r="183" spans="1:4">
      <c r="A183" s="226" t="s">
        <v>2275</v>
      </c>
      <c r="B183" s="227" t="s">
        <v>35</v>
      </c>
      <c r="C183" s="233" t="str">
        <f>_xlfn.XLOOKUP(B183, 'Component Masterlist v2'!A:A, 'Component Masterlist v2'!G:G, "Not found")</f>
        <v>Santosh Golecha</v>
      </c>
      <c r="D183" s="233" t="str">
        <f>_xlfn.XLOOKUP(B183, 'Component Masterlist v2'!A:A, 'Component Masterlist v2'!E:E, "Not found")</f>
        <v>Ankur Agarwal</v>
      </c>
    </row>
    <row r="184" spans="1:4">
      <c r="A184" s="226" t="s">
        <v>2276</v>
      </c>
      <c r="B184" s="227" t="s">
        <v>35</v>
      </c>
      <c r="C184" s="233" t="str">
        <f>_xlfn.XLOOKUP(B184, 'Component Masterlist v2'!A:A, 'Component Masterlist v2'!G:G, "Not found")</f>
        <v>Santosh Golecha</v>
      </c>
      <c r="D184" s="233" t="str">
        <f>_xlfn.XLOOKUP(B184, 'Component Masterlist v2'!A:A, 'Component Masterlist v2'!E:E, "Not found")</f>
        <v>Ankur Agarwal</v>
      </c>
    </row>
    <row r="185" spans="1:4">
      <c r="A185" s="226" t="s">
        <v>2277</v>
      </c>
      <c r="B185" s="227" t="s">
        <v>84</v>
      </c>
      <c r="C185" s="233" t="str">
        <f>_xlfn.XLOOKUP(B185, 'Component Masterlist v2'!A:A, 'Component Masterlist v2'!G:G, "Not found")</f>
        <v>Ved Singh</v>
      </c>
      <c r="D185" s="233" t="str">
        <f>_xlfn.XLOOKUP(B185, 'Component Masterlist v2'!A:A, 'Component Masterlist v2'!E:E, "Not found")</f>
        <v>Damodara Reddy</v>
      </c>
    </row>
    <row r="186" spans="1:4">
      <c r="A186" s="226" t="s">
        <v>2278</v>
      </c>
      <c r="B186" s="227" t="s">
        <v>40</v>
      </c>
      <c r="C186" s="233" t="str">
        <f>_xlfn.XLOOKUP(B186, 'Component Masterlist v2'!A:A, 'Component Masterlist v2'!G:G, "Not found")</f>
        <v>Santosh Golecha</v>
      </c>
      <c r="D186" s="233" t="str">
        <f>_xlfn.XLOOKUP(B186, 'Component Masterlist v2'!A:A, 'Component Masterlist v2'!E:E, "Not found")</f>
        <v>Ankur Agarwal</v>
      </c>
    </row>
    <row r="187" spans="1:4">
      <c r="A187" s="226" t="s">
        <v>2279</v>
      </c>
      <c r="B187" s="227" t="s">
        <v>88</v>
      </c>
      <c r="C187" s="233" t="str">
        <f>_xlfn.XLOOKUP(B187, 'Component Masterlist v2'!A:A, 'Component Masterlist v2'!G:G, "Not found")</f>
        <v>Ved Singh</v>
      </c>
      <c r="D187" s="233" t="str">
        <f>_xlfn.XLOOKUP(B187, 'Component Masterlist v2'!A:A, 'Component Masterlist v2'!E:E, "Not found")</f>
        <v>Karan Jeet Singh</v>
      </c>
    </row>
    <row r="188" spans="1:4">
      <c r="A188" s="226" t="s">
        <v>2280</v>
      </c>
      <c r="B188" s="227" t="s">
        <v>49</v>
      </c>
      <c r="C188" s="233" t="str">
        <f>_xlfn.XLOOKUP(B188, 'Component Masterlist v2'!A:A, 'Component Masterlist v2'!G:G, "Not found")</f>
        <v>Sanyam Agrawal</v>
      </c>
      <c r="D188" s="233" t="str">
        <f>_xlfn.XLOOKUP(B188, 'Component Masterlist v2'!A:A, 'Component Masterlist v2'!E:E, "Not found")</f>
        <v>Fahad Tasleem</v>
      </c>
    </row>
    <row r="189" spans="1:4">
      <c r="A189" s="226" t="s">
        <v>2281</v>
      </c>
      <c r="B189" s="227" t="s">
        <v>54</v>
      </c>
      <c r="C189" s="233" t="str">
        <f>_xlfn.XLOOKUP(B189, 'Component Masterlist v2'!A:A, 'Component Masterlist v2'!G:G, "Not found")</f>
        <v>Sanyam Agrawal</v>
      </c>
      <c r="D189" s="233" t="str">
        <f>_xlfn.XLOOKUP(B189, 'Component Masterlist v2'!A:A, 'Component Masterlist v2'!E:E, "Not found")</f>
        <v>Prashant Gupta, Vraj Solanki</v>
      </c>
    </row>
    <row r="190" spans="1:4">
      <c r="A190" s="226" t="s">
        <v>2282</v>
      </c>
      <c r="B190" s="227" t="s">
        <v>49</v>
      </c>
      <c r="C190" s="233" t="str">
        <f>_xlfn.XLOOKUP(B190, 'Component Masterlist v2'!A:A, 'Component Masterlist v2'!G:G, "Not found")</f>
        <v>Sanyam Agrawal</v>
      </c>
      <c r="D190" s="233" t="str">
        <f>_xlfn.XLOOKUP(B190, 'Component Masterlist v2'!A:A, 'Component Masterlist v2'!E:E, "Not found")</f>
        <v>Fahad Tasleem</v>
      </c>
    </row>
    <row r="191" spans="1:4">
      <c r="A191" s="226" t="s">
        <v>2283</v>
      </c>
      <c r="B191" s="227" t="s">
        <v>40</v>
      </c>
      <c r="C191" s="233" t="str">
        <f>_xlfn.XLOOKUP(B191, 'Component Masterlist v2'!A:A, 'Component Masterlist v2'!G:G, "Not found")</f>
        <v>Santosh Golecha</v>
      </c>
      <c r="D191" s="233" t="str">
        <f>_xlfn.XLOOKUP(B191, 'Component Masterlist v2'!A:A, 'Component Masterlist v2'!E:E, "Not found")</f>
        <v>Ankur Agarwal</v>
      </c>
    </row>
    <row r="192" spans="1:4">
      <c r="A192" s="226" t="s">
        <v>2284</v>
      </c>
      <c r="B192" s="227" t="s">
        <v>88</v>
      </c>
      <c r="C192" s="233" t="str">
        <f>_xlfn.XLOOKUP(B192, 'Component Masterlist v2'!A:A, 'Component Masterlist v2'!G:G, "Not found")</f>
        <v>Ved Singh</v>
      </c>
      <c r="D192" s="233" t="str">
        <f>_xlfn.XLOOKUP(B192, 'Component Masterlist v2'!A:A, 'Component Masterlist v2'!E:E, "Not found")</f>
        <v>Karan Jeet Singh</v>
      </c>
    </row>
    <row r="193" spans="1:4">
      <c r="A193" s="226" t="s">
        <v>2285</v>
      </c>
      <c r="B193" s="227" t="s">
        <v>54</v>
      </c>
      <c r="C193" s="233" t="str">
        <f>_xlfn.XLOOKUP(B193, 'Component Masterlist v2'!A:A, 'Component Masterlist v2'!G:G, "Not found")</f>
        <v>Sanyam Agrawal</v>
      </c>
      <c r="D193" s="233" t="str">
        <f>_xlfn.XLOOKUP(B193, 'Component Masterlist v2'!A:A, 'Component Masterlist v2'!E:E, "Not found")</f>
        <v>Prashant Gupta, Vraj Solanki</v>
      </c>
    </row>
    <row r="194" spans="1:4">
      <c r="A194" s="226" t="s">
        <v>2286</v>
      </c>
      <c r="B194" s="227" t="s">
        <v>54</v>
      </c>
      <c r="C194" s="233" t="str">
        <f>_xlfn.XLOOKUP(B194, 'Component Masterlist v2'!A:A, 'Component Masterlist v2'!G:G, "Not found")</f>
        <v>Sanyam Agrawal</v>
      </c>
      <c r="D194" s="233" t="str">
        <f>_xlfn.XLOOKUP(B194, 'Component Masterlist v2'!A:A, 'Component Masterlist v2'!E:E, "Not found")</f>
        <v>Prashant Gupta, Vraj Solanki</v>
      </c>
    </row>
    <row r="195" spans="1:4">
      <c r="A195" s="226" t="s">
        <v>2287</v>
      </c>
      <c r="B195" s="227" t="s">
        <v>40</v>
      </c>
      <c r="C195" s="233" t="str">
        <f>_xlfn.XLOOKUP(B195, 'Component Masterlist v2'!A:A, 'Component Masterlist v2'!G:G, "Not found")</f>
        <v>Santosh Golecha</v>
      </c>
      <c r="D195" s="233" t="str">
        <f>_xlfn.XLOOKUP(B195, 'Component Masterlist v2'!A:A, 'Component Masterlist v2'!E:E, "Not found")</f>
        <v>Ankur Agarwal</v>
      </c>
    </row>
    <row r="196" spans="1:4">
      <c r="A196" s="226" t="s">
        <v>2288</v>
      </c>
      <c r="B196" s="227" t="s">
        <v>49</v>
      </c>
      <c r="C196" s="233" t="str">
        <f>_xlfn.XLOOKUP(B196, 'Component Masterlist v2'!A:A, 'Component Masterlist v2'!G:G, "Not found")</f>
        <v>Sanyam Agrawal</v>
      </c>
      <c r="D196" s="233" t="str">
        <f>_xlfn.XLOOKUP(B196, 'Component Masterlist v2'!A:A, 'Component Masterlist v2'!E:E, "Not found")</f>
        <v>Fahad Tasleem</v>
      </c>
    </row>
    <row r="197" spans="1:4">
      <c r="A197" s="226" t="s">
        <v>2289</v>
      </c>
      <c r="B197" s="227" t="s">
        <v>41</v>
      </c>
      <c r="C197" s="233" t="str">
        <f>_xlfn.XLOOKUP(B197, 'Component Masterlist v2'!A:A, 'Component Masterlist v2'!G:G, "Not found")</f>
        <v>Santosh Golecha</v>
      </c>
      <c r="D197" s="233" t="str">
        <f>_xlfn.XLOOKUP(B197, 'Component Masterlist v2'!A:A, 'Component Masterlist v2'!E:E, "Not found")</f>
        <v>Santosh Golecha</v>
      </c>
    </row>
    <row r="198" spans="1:4">
      <c r="A198" s="226" t="s">
        <v>2290</v>
      </c>
      <c r="B198" s="227" t="s">
        <v>41</v>
      </c>
      <c r="C198" s="233" t="str">
        <f>_xlfn.XLOOKUP(B198, 'Component Masterlist v2'!A:A, 'Component Masterlist v2'!G:G, "Not found")</f>
        <v>Santosh Golecha</v>
      </c>
      <c r="D198" s="233" t="str">
        <f>_xlfn.XLOOKUP(B198, 'Component Masterlist v2'!A:A, 'Component Masterlist v2'!E:E, "Not found")</f>
        <v>Santosh Golecha</v>
      </c>
    </row>
    <row r="199" spans="1:4">
      <c r="A199" s="226" t="s">
        <v>2291</v>
      </c>
      <c r="B199" s="227" t="s">
        <v>82</v>
      </c>
      <c r="C199" s="233" t="str">
        <f>_xlfn.XLOOKUP(B199, 'Component Masterlist v2'!A:A, 'Component Masterlist v2'!G:G, "Not found")</f>
        <v>Ved Singh</v>
      </c>
      <c r="D199" s="233" t="str">
        <f>_xlfn.XLOOKUP(B199, 'Component Masterlist v2'!A:A, 'Component Masterlist v2'!E:E, "Not found")</f>
        <v>Arun Gangadhar</v>
      </c>
    </row>
    <row r="200" spans="1:4">
      <c r="A200" s="226" t="s">
        <v>2292</v>
      </c>
      <c r="B200" s="227" t="s">
        <v>40</v>
      </c>
      <c r="C200" s="233" t="str">
        <f>_xlfn.XLOOKUP(B200, 'Component Masterlist v2'!A:A, 'Component Masterlist v2'!G:G, "Not found")</f>
        <v>Santosh Golecha</v>
      </c>
      <c r="D200" s="233" t="str">
        <f>_xlfn.XLOOKUP(B200, 'Component Masterlist v2'!A:A, 'Component Masterlist v2'!E:E, "Not found")</f>
        <v>Ankur Agarwal</v>
      </c>
    </row>
    <row r="201" spans="1:4">
      <c r="A201" s="226" t="s">
        <v>2293</v>
      </c>
      <c r="B201" s="227" t="s">
        <v>49</v>
      </c>
      <c r="C201" s="233" t="str">
        <f>_xlfn.XLOOKUP(B201, 'Component Masterlist v2'!A:A, 'Component Masterlist v2'!G:G, "Not found")</f>
        <v>Sanyam Agrawal</v>
      </c>
      <c r="D201" s="233" t="str">
        <f>_xlfn.XLOOKUP(B201, 'Component Masterlist v2'!A:A, 'Component Masterlist v2'!E:E, "Not found")</f>
        <v>Fahad Tasleem</v>
      </c>
    </row>
    <row r="202" spans="1:4">
      <c r="A202" s="226" t="s">
        <v>2294</v>
      </c>
      <c r="B202" s="227" t="s">
        <v>41</v>
      </c>
      <c r="C202" s="233" t="str">
        <f>_xlfn.XLOOKUP(B202, 'Component Masterlist v2'!A:A, 'Component Masterlist v2'!G:G, "Not found")</f>
        <v>Santosh Golecha</v>
      </c>
      <c r="D202" s="233" t="str">
        <f>_xlfn.XLOOKUP(B202, 'Component Masterlist v2'!A:A, 'Component Masterlist v2'!E:E, "Not found")</f>
        <v>Santosh Golecha</v>
      </c>
    </row>
    <row r="203" spans="1:4">
      <c r="A203" s="226" t="s">
        <v>2295</v>
      </c>
      <c r="B203" s="227" t="s">
        <v>42</v>
      </c>
      <c r="C203" s="233" t="str">
        <f>_xlfn.XLOOKUP(B203, 'Component Masterlist v2'!A:A, 'Component Masterlist v2'!G:G, "Not found")</f>
        <v>Santosh Golecha</v>
      </c>
      <c r="D203" s="233" t="str">
        <f>_xlfn.XLOOKUP(B203, 'Component Masterlist v2'!A:A, 'Component Masterlist v2'!E:E, "Not found")</f>
        <v>Santosh Golecha</v>
      </c>
    </row>
    <row r="204" spans="1:4">
      <c r="A204" s="226" t="s">
        <v>2296</v>
      </c>
      <c r="B204" s="227" t="s">
        <v>35</v>
      </c>
      <c r="C204" s="233" t="str">
        <f>_xlfn.XLOOKUP(B204, 'Component Masterlist v2'!A:A, 'Component Masterlist v2'!G:G, "Not found")</f>
        <v>Santosh Golecha</v>
      </c>
      <c r="D204" s="233" t="str">
        <f>_xlfn.XLOOKUP(B204, 'Component Masterlist v2'!A:A, 'Component Masterlist v2'!E:E, "Not found")</f>
        <v>Ankur Agarwal</v>
      </c>
    </row>
    <row r="205" spans="1:4">
      <c r="A205" s="226" t="s">
        <v>2297</v>
      </c>
      <c r="B205" s="227" t="s">
        <v>35</v>
      </c>
      <c r="C205" s="233" t="str">
        <f>_xlfn.XLOOKUP(B205, 'Component Masterlist v2'!A:A, 'Component Masterlist v2'!G:G, "Not found")</f>
        <v>Santosh Golecha</v>
      </c>
      <c r="D205" s="233" t="str">
        <f>_xlfn.XLOOKUP(B205, 'Component Masterlist v2'!A:A, 'Component Masterlist v2'!E:E, "Not found")</f>
        <v>Ankur Agarwal</v>
      </c>
    </row>
    <row r="206" spans="1:4">
      <c r="A206" s="226" t="s">
        <v>2298</v>
      </c>
      <c r="B206" s="227" t="s">
        <v>35</v>
      </c>
      <c r="C206" s="233" t="str">
        <f>_xlfn.XLOOKUP(B206, 'Component Masterlist v2'!A:A, 'Component Masterlist v2'!G:G, "Not found")</f>
        <v>Santosh Golecha</v>
      </c>
      <c r="D206" s="233" t="str">
        <f>_xlfn.XLOOKUP(B206, 'Component Masterlist v2'!A:A, 'Component Masterlist v2'!E:E, "Not found")</f>
        <v>Ankur Agarwal</v>
      </c>
    </row>
    <row r="207" spans="1:4">
      <c r="A207" s="226" t="s">
        <v>2299</v>
      </c>
      <c r="B207" s="227" t="s">
        <v>40</v>
      </c>
      <c r="C207" s="233" t="str">
        <f>_xlfn.XLOOKUP(B207, 'Component Masterlist v2'!A:A, 'Component Masterlist v2'!G:G, "Not found")</f>
        <v>Santosh Golecha</v>
      </c>
      <c r="D207" s="233" t="str">
        <f>_xlfn.XLOOKUP(B207, 'Component Masterlist v2'!A:A, 'Component Masterlist v2'!E:E, "Not found")</f>
        <v>Ankur Agarwal</v>
      </c>
    </row>
    <row r="208" spans="1:4">
      <c r="A208" s="226" t="s">
        <v>2300</v>
      </c>
      <c r="B208" s="227" t="s">
        <v>35</v>
      </c>
      <c r="C208" s="233" t="str">
        <f>_xlfn.XLOOKUP(B208, 'Component Masterlist v2'!A:A, 'Component Masterlist v2'!G:G, "Not found")</f>
        <v>Santosh Golecha</v>
      </c>
      <c r="D208" s="233" t="str">
        <f>_xlfn.XLOOKUP(B208, 'Component Masterlist v2'!A:A, 'Component Masterlist v2'!E:E, "Not found")</f>
        <v>Ankur Agarwal</v>
      </c>
    </row>
    <row r="209" spans="1:4">
      <c r="A209" s="226" t="s">
        <v>2301</v>
      </c>
      <c r="B209" s="227" t="s">
        <v>40</v>
      </c>
      <c r="C209" s="233" t="str">
        <f>_xlfn.XLOOKUP(B209, 'Component Masterlist v2'!A:A, 'Component Masterlist v2'!G:G, "Not found")</f>
        <v>Santosh Golecha</v>
      </c>
      <c r="D209" s="233" t="str">
        <f>_xlfn.XLOOKUP(B209, 'Component Masterlist v2'!A:A, 'Component Masterlist v2'!E:E, "Not found")</f>
        <v>Ankur Agarwal</v>
      </c>
    </row>
    <row r="210" spans="1:4">
      <c r="A210" s="226" t="s">
        <v>2302</v>
      </c>
      <c r="B210" s="227" t="s">
        <v>49</v>
      </c>
      <c r="C210" s="233" t="str">
        <f>_xlfn.XLOOKUP(B210, 'Component Masterlist v2'!A:A, 'Component Masterlist v2'!G:G, "Not found")</f>
        <v>Sanyam Agrawal</v>
      </c>
      <c r="D210" s="233" t="str">
        <f>_xlfn.XLOOKUP(B210, 'Component Masterlist v2'!A:A, 'Component Masterlist v2'!E:E, "Not found")</f>
        <v>Fahad Tasleem</v>
      </c>
    </row>
    <row r="211" spans="1:4">
      <c r="A211" s="226" t="s">
        <v>2303</v>
      </c>
      <c r="B211" s="227" t="s">
        <v>49</v>
      </c>
      <c r="C211" s="233" t="str">
        <f>_xlfn.XLOOKUP(B211, 'Component Masterlist v2'!A:A, 'Component Masterlist v2'!G:G, "Not found")</f>
        <v>Sanyam Agrawal</v>
      </c>
      <c r="D211" s="233" t="str">
        <f>_xlfn.XLOOKUP(B211, 'Component Masterlist v2'!A:A, 'Component Masterlist v2'!E:E, "Not found")</f>
        <v>Fahad Tasleem</v>
      </c>
    </row>
    <row r="212" spans="1:4">
      <c r="A212" s="226" t="s">
        <v>2304</v>
      </c>
      <c r="B212" s="227" t="s">
        <v>40</v>
      </c>
      <c r="C212" s="233" t="str">
        <f>_xlfn.XLOOKUP(B212, 'Component Masterlist v2'!A:A, 'Component Masterlist v2'!G:G, "Not found")</f>
        <v>Santosh Golecha</v>
      </c>
      <c r="D212" s="233" t="str">
        <f>_xlfn.XLOOKUP(B212, 'Component Masterlist v2'!A:A, 'Component Masterlist v2'!E:E, "Not found")</f>
        <v>Ankur Agarwal</v>
      </c>
    </row>
    <row r="213" spans="1:4">
      <c r="A213" s="226" t="s">
        <v>2305</v>
      </c>
      <c r="B213" s="227" t="s">
        <v>40</v>
      </c>
      <c r="C213" s="233" t="str">
        <f>_xlfn.XLOOKUP(B213, 'Component Masterlist v2'!A:A, 'Component Masterlist v2'!G:G, "Not found")</f>
        <v>Santosh Golecha</v>
      </c>
      <c r="D213" s="233" t="str">
        <f>_xlfn.XLOOKUP(B213, 'Component Masterlist v2'!A:A, 'Component Masterlist v2'!E:E, "Not found")</f>
        <v>Ankur Agarwal</v>
      </c>
    </row>
    <row r="214" spans="1:4">
      <c r="A214" s="226" t="s">
        <v>2306</v>
      </c>
      <c r="B214" s="227" t="s">
        <v>40</v>
      </c>
      <c r="C214" s="233" t="str">
        <f>_xlfn.XLOOKUP(B214, 'Component Masterlist v2'!A:A, 'Component Masterlist v2'!G:G, "Not found")</f>
        <v>Santosh Golecha</v>
      </c>
      <c r="D214" s="233" t="str">
        <f>_xlfn.XLOOKUP(B214, 'Component Masterlist v2'!A:A, 'Component Masterlist v2'!E:E, "Not found")</f>
        <v>Ankur Agarwal</v>
      </c>
    </row>
    <row r="215" spans="1:4">
      <c r="A215" s="226" t="s">
        <v>2307</v>
      </c>
      <c r="B215" s="227" t="s">
        <v>49</v>
      </c>
      <c r="C215" s="233" t="str">
        <f>_xlfn.XLOOKUP(B215, 'Component Masterlist v2'!A:A, 'Component Masterlist v2'!G:G, "Not found")</f>
        <v>Sanyam Agrawal</v>
      </c>
      <c r="D215" s="233" t="str">
        <f>_xlfn.XLOOKUP(B215, 'Component Masterlist v2'!A:A, 'Component Masterlist v2'!E:E, "Not found")</f>
        <v>Fahad Tasleem</v>
      </c>
    </row>
    <row r="216" spans="1:4">
      <c r="A216" s="226" t="s">
        <v>2308</v>
      </c>
      <c r="B216" s="227" t="s">
        <v>40</v>
      </c>
      <c r="C216" s="233" t="str">
        <f>_xlfn.XLOOKUP(B216, 'Component Masterlist v2'!A:A, 'Component Masterlist v2'!G:G, "Not found")</f>
        <v>Santosh Golecha</v>
      </c>
      <c r="D216" s="233" t="str">
        <f>_xlfn.XLOOKUP(B216, 'Component Masterlist v2'!A:A, 'Component Masterlist v2'!E:E, "Not found")</f>
        <v>Ankur Agarwal</v>
      </c>
    </row>
    <row r="217" spans="1:4">
      <c r="A217" s="226" t="s">
        <v>2309</v>
      </c>
      <c r="B217" s="227" t="s">
        <v>88</v>
      </c>
      <c r="C217" s="233" t="str">
        <f>_xlfn.XLOOKUP(B217, 'Component Masterlist v2'!A:A, 'Component Masterlist v2'!G:G, "Not found")</f>
        <v>Ved Singh</v>
      </c>
      <c r="D217" s="233" t="str">
        <f>_xlfn.XLOOKUP(B217, 'Component Masterlist v2'!A:A, 'Component Masterlist v2'!E:E, "Not found")</f>
        <v>Karan Jeet Singh</v>
      </c>
    </row>
    <row r="218" spans="1:4">
      <c r="A218" s="226" t="s">
        <v>2310</v>
      </c>
      <c r="B218" s="227" t="s">
        <v>49</v>
      </c>
      <c r="C218" s="233" t="str">
        <f>_xlfn.XLOOKUP(B218, 'Component Masterlist v2'!A:A, 'Component Masterlist v2'!G:G, "Not found")</f>
        <v>Sanyam Agrawal</v>
      </c>
      <c r="D218" s="233" t="str">
        <f>_xlfn.XLOOKUP(B218, 'Component Masterlist v2'!A:A, 'Component Masterlist v2'!E:E, "Not found")</f>
        <v>Fahad Tasleem</v>
      </c>
    </row>
    <row r="219" spans="1:4">
      <c r="A219" s="226" t="s">
        <v>2311</v>
      </c>
      <c r="B219" s="227" t="s">
        <v>91</v>
      </c>
      <c r="C219" s="233" t="str">
        <f>_xlfn.XLOOKUP(B219, 'Component Masterlist v2'!A:A, 'Component Masterlist v2'!G:G, "Not found")</f>
        <v>Ved Singh</v>
      </c>
      <c r="D219" s="233" t="str">
        <f>_xlfn.XLOOKUP(B219, 'Component Masterlist v2'!A:A, 'Component Masterlist v2'!E:E, "Not found")</f>
        <v>Ketan Dikshit</v>
      </c>
    </row>
    <row r="220" spans="1:4">
      <c r="A220" s="226" t="s">
        <v>2312</v>
      </c>
      <c r="B220" s="227" t="s">
        <v>51</v>
      </c>
      <c r="C220" s="233" t="str">
        <f>_xlfn.XLOOKUP(B220, 'Component Masterlist v2'!A:A, 'Component Masterlist v2'!G:G, "Not found")</f>
        <v>Sanyam Agrawal</v>
      </c>
      <c r="D220" s="233" t="str">
        <f>_xlfn.XLOOKUP(B220, 'Component Masterlist v2'!A:A, 'Component Masterlist v2'!E:E, "Not found")</f>
        <v>Fahad Tasleem</v>
      </c>
    </row>
    <row r="221" spans="1:4">
      <c r="A221" s="226" t="s">
        <v>2313</v>
      </c>
      <c r="B221" s="227" t="s">
        <v>40</v>
      </c>
      <c r="C221" s="233" t="str">
        <f>_xlfn.XLOOKUP(B221, 'Component Masterlist v2'!A:A, 'Component Masterlist v2'!G:G, "Not found")</f>
        <v>Santosh Golecha</v>
      </c>
      <c r="D221" s="233" t="str">
        <f>_xlfn.XLOOKUP(B221, 'Component Masterlist v2'!A:A, 'Component Masterlist v2'!E:E, "Not found")</f>
        <v>Ankur Agarwal</v>
      </c>
    </row>
    <row r="222" spans="1:4">
      <c r="A222" s="226" t="s">
        <v>2314</v>
      </c>
      <c r="B222" s="227" t="s">
        <v>82</v>
      </c>
      <c r="C222" s="233" t="str">
        <f>_xlfn.XLOOKUP(B222, 'Component Masterlist v2'!A:A, 'Component Masterlist v2'!G:G, "Not found")</f>
        <v>Ved Singh</v>
      </c>
      <c r="D222" s="233" t="str">
        <f>_xlfn.XLOOKUP(B222, 'Component Masterlist v2'!A:A, 'Component Masterlist v2'!E:E, "Not found")</f>
        <v>Arun Gangadhar</v>
      </c>
    </row>
    <row r="223" spans="1:4">
      <c r="A223" s="226" t="s">
        <v>2315</v>
      </c>
      <c r="B223" s="227" t="s">
        <v>40</v>
      </c>
      <c r="C223" s="233" t="str">
        <f>_xlfn.XLOOKUP(B223, 'Component Masterlist v2'!A:A, 'Component Masterlist v2'!G:G, "Not found")</f>
        <v>Santosh Golecha</v>
      </c>
      <c r="D223" s="233" t="str">
        <f>_xlfn.XLOOKUP(B223, 'Component Masterlist v2'!A:A, 'Component Masterlist v2'!E:E, "Not found")</f>
        <v>Ankur Agarwal</v>
      </c>
    </row>
    <row r="224" spans="1:4">
      <c r="A224" s="226" t="s">
        <v>2316</v>
      </c>
      <c r="B224" s="227" t="s">
        <v>54</v>
      </c>
      <c r="C224" s="233" t="str">
        <f>_xlfn.XLOOKUP(B224, 'Component Masterlist v2'!A:A, 'Component Masterlist v2'!G:G, "Not found")</f>
        <v>Sanyam Agrawal</v>
      </c>
      <c r="D224" s="233" t="str">
        <f>_xlfn.XLOOKUP(B224, 'Component Masterlist v2'!A:A, 'Component Masterlist v2'!E:E, "Not found")</f>
        <v>Prashant Gupta, Vraj Solanki</v>
      </c>
    </row>
    <row r="225" spans="1:4">
      <c r="A225" s="226" t="s">
        <v>2317</v>
      </c>
      <c r="B225" s="227" t="s">
        <v>51</v>
      </c>
      <c r="C225" s="233" t="str">
        <f>_xlfn.XLOOKUP(B225, 'Component Masterlist v2'!A:A, 'Component Masterlist v2'!G:G, "Not found")</f>
        <v>Sanyam Agrawal</v>
      </c>
      <c r="D225" s="233" t="str">
        <f>_xlfn.XLOOKUP(B225, 'Component Masterlist v2'!A:A, 'Component Masterlist v2'!E:E, "Not found")</f>
        <v>Fahad Tasleem</v>
      </c>
    </row>
    <row r="226" spans="1:4">
      <c r="A226" s="226" t="s">
        <v>2318</v>
      </c>
      <c r="B226" s="227" t="s">
        <v>88</v>
      </c>
      <c r="C226" s="233" t="str">
        <f>_xlfn.XLOOKUP(B226, 'Component Masterlist v2'!A:A, 'Component Masterlist v2'!G:G, "Not found")</f>
        <v>Ved Singh</v>
      </c>
      <c r="D226" s="233" t="str">
        <f>_xlfn.XLOOKUP(B226, 'Component Masterlist v2'!A:A, 'Component Masterlist v2'!E:E, "Not found")</f>
        <v>Karan Jeet Singh</v>
      </c>
    </row>
    <row r="227" spans="1:4">
      <c r="A227" s="226" t="s">
        <v>2319</v>
      </c>
      <c r="B227" s="227" t="s">
        <v>54</v>
      </c>
      <c r="C227" s="233" t="str">
        <f>_xlfn.XLOOKUP(B227, 'Component Masterlist v2'!A:A, 'Component Masterlist v2'!G:G, "Not found")</f>
        <v>Sanyam Agrawal</v>
      </c>
      <c r="D227" s="233" t="str">
        <f>_xlfn.XLOOKUP(B227, 'Component Masterlist v2'!A:A, 'Component Masterlist v2'!E:E, "Not found")</f>
        <v>Prashant Gupta, Vraj Solanki</v>
      </c>
    </row>
    <row r="228" spans="1:4">
      <c r="A228" s="226" t="s">
        <v>2320</v>
      </c>
      <c r="B228" s="227" t="s">
        <v>82</v>
      </c>
      <c r="C228" s="233" t="str">
        <f>_xlfn.XLOOKUP(B228, 'Component Masterlist v2'!A:A, 'Component Masterlist v2'!G:G, "Not found")</f>
        <v>Ved Singh</v>
      </c>
      <c r="D228" s="233" t="str">
        <f>_xlfn.XLOOKUP(B228, 'Component Masterlist v2'!A:A, 'Component Masterlist v2'!E:E, "Not found")</f>
        <v>Arun Gangadhar</v>
      </c>
    </row>
    <row r="229" spans="1:4">
      <c r="A229" s="226" t="s">
        <v>2321</v>
      </c>
      <c r="B229" s="227" t="s">
        <v>82</v>
      </c>
      <c r="C229" s="233" t="str">
        <f>_xlfn.XLOOKUP(B229, 'Component Masterlist v2'!A:A, 'Component Masterlist v2'!G:G, "Not found")</f>
        <v>Ved Singh</v>
      </c>
      <c r="D229" s="233" t="str">
        <f>_xlfn.XLOOKUP(B229, 'Component Masterlist v2'!A:A, 'Component Masterlist v2'!E:E, "Not found")</f>
        <v>Arun Gangadhar</v>
      </c>
    </row>
    <row r="230" spans="1:4">
      <c r="A230" s="226" t="s">
        <v>2322</v>
      </c>
      <c r="B230" s="227" t="s">
        <v>84</v>
      </c>
      <c r="C230" s="233" t="str">
        <f>_xlfn.XLOOKUP(B230, 'Component Masterlist v2'!A:A, 'Component Masterlist v2'!G:G, "Not found")</f>
        <v>Ved Singh</v>
      </c>
      <c r="D230" s="233" t="str">
        <f>_xlfn.XLOOKUP(B230, 'Component Masterlist v2'!A:A, 'Component Masterlist v2'!E:E, "Not found")</f>
        <v>Damodara Reddy</v>
      </c>
    </row>
    <row r="231" spans="1:4">
      <c r="A231" s="226" t="s">
        <v>2323</v>
      </c>
      <c r="B231" s="227" t="s">
        <v>40</v>
      </c>
      <c r="C231" s="233" t="str">
        <f>_xlfn.XLOOKUP(B231, 'Component Masterlist v2'!A:A, 'Component Masterlist v2'!G:G, "Not found")</f>
        <v>Santosh Golecha</v>
      </c>
      <c r="D231" s="233" t="str">
        <f>_xlfn.XLOOKUP(B231, 'Component Masterlist v2'!A:A, 'Component Masterlist v2'!E:E, "Not found")</f>
        <v>Ankur Agarwal</v>
      </c>
    </row>
    <row r="232" spans="1:4">
      <c r="A232" s="226" t="s">
        <v>2324</v>
      </c>
      <c r="B232" s="227" t="s">
        <v>88</v>
      </c>
      <c r="C232" s="233" t="str">
        <f>_xlfn.XLOOKUP(B232, 'Component Masterlist v2'!A:A, 'Component Masterlist v2'!G:G, "Not found")</f>
        <v>Ved Singh</v>
      </c>
      <c r="D232" s="233" t="str">
        <f>_xlfn.XLOOKUP(B232, 'Component Masterlist v2'!A:A, 'Component Masterlist v2'!E:E, "Not found")</f>
        <v>Karan Jeet Singh</v>
      </c>
    </row>
    <row r="233" spans="1:4">
      <c r="A233" s="226" t="s">
        <v>2325</v>
      </c>
      <c r="B233" s="227" t="s">
        <v>51</v>
      </c>
      <c r="C233" s="233" t="str">
        <f>_xlfn.XLOOKUP(B233, 'Component Masterlist v2'!A:A, 'Component Masterlist v2'!G:G, "Not found")</f>
        <v>Sanyam Agrawal</v>
      </c>
      <c r="D233" s="233" t="str">
        <f>_xlfn.XLOOKUP(B233, 'Component Masterlist v2'!A:A, 'Component Masterlist v2'!E:E, "Not found")</f>
        <v>Fahad Tasleem</v>
      </c>
    </row>
    <row r="234" spans="1:4">
      <c r="A234" s="226" t="s">
        <v>2326</v>
      </c>
      <c r="B234" s="227" t="s">
        <v>49</v>
      </c>
      <c r="C234" s="233" t="str">
        <f>_xlfn.XLOOKUP(B234, 'Component Masterlist v2'!A:A, 'Component Masterlist v2'!G:G, "Not found")</f>
        <v>Sanyam Agrawal</v>
      </c>
      <c r="D234" s="233" t="str">
        <f>_xlfn.XLOOKUP(B234, 'Component Masterlist v2'!A:A, 'Component Masterlist v2'!E:E, "Not found")</f>
        <v>Fahad Tasleem</v>
      </c>
    </row>
    <row r="235" spans="1:4">
      <c r="A235" s="226" t="s">
        <v>2327</v>
      </c>
      <c r="B235" s="227" t="s">
        <v>91</v>
      </c>
      <c r="C235" s="233" t="str">
        <f>_xlfn.XLOOKUP(B235, 'Component Masterlist v2'!A:A, 'Component Masterlist v2'!G:G, "Not found")</f>
        <v>Ved Singh</v>
      </c>
      <c r="D235" s="233" t="str">
        <f>_xlfn.XLOOKUP(B235, 'Component Masterlist v2'!A:A, 'Component Masterlist v2'!E:E, "Not found")</f>
        <v>Ketan Dikshit</v>
      </c>
    </row>
    <row r="236" spans="1:4">
      <c r="A236" s="226" t="s">
        <v>2328</v>
      </c>
      <c r="B236" s="227" t="s">
        <v>88</v>
      </c>
      <c r="C236" s="233" t="str">
        <f>_xlfn.XLOOKUP(B236, 'Component Masterlist v2'!A:A, 'Component Masterlist v2'!G:G, "Not found")</f>
        <v>Ved Singh</v>
      </c>
      <c r="D236" s="233" t="str">
        <f>_xlfn.XLOOKUP(B236, 'Component Masterlist v2'!A:A, 'Component Masterlist v2'!E:E, "Not found")</f>
        <v>Karan Jeet Singh</v>
      </c>
    </row>
    <row r="237" spans="1:4">
      <c r="A237" s="226" t="s">
        <v>2329</v>
      </c>
      <c r="B237" s="227" t="s">
        <v>40</v>
      </c>
      <c r="C237" s="233" t="str">
        <f>_xlfn.XLOOKUP(B237, 'Component Masterlist v2'!A:A, 'Component Masterlist v2'!G:G, "Not found")</f>
        <v>Santosh Golecha</v>
      </c>
      <c r="D237" s="233" t="str">
        <f>_xlfn.XLOOKUP(B237, 'Component Masterlist v2'!A:A, 'Component Masterlist v2'!E:E, "Not found")</f>
        <v>Ankur Agarwal</v>
      </c>
    </row>
    <row r="238" spans="1:4">
      <c r="A238" s="226" t="s">
        <v>2330</v>
      </c>
      <c r="B238" s="227" t="s">
        <v>42</v>
      </c>
      <c r="C238" s="233" t="str">
        <f>_xlfn.XLOOKUP(B238, 'Component Masterlist v2'!A:A, 'Component Masterlist v2'!G:G, "Not found")</f>
        <v>Santosh Golecha</v>
      </c>
      <c r="D238" s="233" t="str">
        <f>_xlfn.XLOOKUP(B238, 'Component Masterlist v2'!A:A, 'Component Masterlist v2'!E:E, "Not found")</f>
        <v>Santosh Golecha</v>
      </c>
    </row>
    <row r="239" spans="1:4">
      <c r="A239" s="226" t="s">
        <v>2331</v>
      </c>
      <c r="B239" s="227" t="s">
        <v>41</v>
      </c>
      <c r="C239" s="233" t="str">
        <f>_xlfn.XLOOKUP(B239, 'Component Masterlist v2'!A:A, 'Component Masterlist v2'!G:G, "Not found")</f>
        <v>Santosh Golecha</v>
      </c>
      <c r="D239" s="233" t="str">
        <f>_xlfn.XLOOKUP(B239, 'Component Masterlist v2'!A:A, 'Component Masterlist v2'!E:E, "Not found")</f>
        <v>Santosh Golecha</v>
      </c>
    </row>
    <row r="240" spans="1:4">
      <c r="A240" s="226" t="s">
        <v>2332</v>
      </c>
      <c r="B240" s="227" t="s">
        <v>84</v>
      </c>
      <c r="C240" s="233" t="str">
        <f>_xlfn.XLOOKUP(B240, 'Component Masterlist v2'!A:A, 'Component Masterlist v2'!G:G, "Not found")</f>
        <v>Ved Singh</v>
      </c>
      <c r="D240" s="233" t="str">
        <f>_xlfn.XLOOKUP(B240, 'Component Masterlist v2'!A:A, 'Component Masterlist v2'!E:E, "Not found")</f>
        <v>Damodara Reddy</v>
      </c>
    </row>
    <row r="241" spans="1:4">
      <c r="A241" s="226" t="s">
        <v>2333</v>
      </c>
      <c r="B241" s="227" t="s">
        <v>82</v>
      </c>
      <c r="C241" s="233" t="str">
        <f>_xlfn.XLOOKUP(B241, 'Component Masterlist v2'!A:A, 'Component Masterlist v2'!G:G, "Not found")</f>
        <v>Ved Singh</v>
      </c>
      <c r="D241" s="233" t="str">
        <f>_xlfn.XLOOKUP(B241, 'Component Masterlist v2'!A:A, 'Component Masterlist v2'!E:E, "Not found")</f>
        <v>Arun Gangadhar</v>
      </c>
    </row>
    <row r="242" spans="1:4">
      <c r="A242" s="226" t="s">
        <v>2334</v>
      </c>
      <c r="B242" s="227" t="s">
        <v>41</v>
      </c>
      <c r="C242" s="233" t="str">
        <f>_xlfn.XLOOKUP(B242, 'Component Masterlist v2'!A:A, 'Component Masterlist v2'!G:G, "Not found")</f>
        <v>Santosh Golecha</v>
      </c>
      <c r="D242" s="233" t="str">
        <f>_xlfn.XLOOKUP(B242, 'Component Masterlist v2'!A:A, 'Component Masterlist v2'!E:E, "Not found")</f>
        <v>Santosh Golecha</v>
      </c>
    </row>
    <row r="243" spans="1:4">
      <c r="A243" s="226" t="s">
        <v>2335</v>
      </c>
      <c r="B243" s="227" t="s">
        <v>40</v>
      </c>
      <c r="C243" s="233" t="str">
        <f>_xlfn.XLOOKUP(B243, 'Component Masterlist v2'!A:A, 'Component Masterlist v2'!G:G, "Not found")</f>
        <v>Santosh Golecha</v>
      </c>
      <c r="D243" s="233" t="str">
        <f>_xlfn.XLOOKUP(B243, 'Component Masterlist v2'!A:A, 'Component Masterlist v2'!E:E, "Not found")</f>
        <v>Ankur Agarwal</v>
      </c>
    </row>
    <row r="244" spans="1:4">
      <c r="A244" s="226" t="s">
        <v>2336</v>
      </c>
      <c r="B244" s="227" t="s">
        <v>82</v>
      </c>
      <c r="C244" s="233" t="str">
        <f>_xlfn.XLOOKUP(B244, 'Component Masterlist v2'!A:A, 'Component Masterlist v2'!G:G, "Not found")</f>
        <v>Ved Singh</v>
      </c>
      <c r="D244" s="233" t="str">
        <f>_xlfn.XLOOKUP(B244, 'Component Masterlist v2'!A:A, 'Component Masterlist v2'!E:E, "Not found")</f>
        <v>Arun Gangadhar</v>
      </c>
    </row>
    <row r="245" spans="1:4">
      <c r="A245" s="226" t="s">
        <v>2337</v>
      </c>
      <c r="B245" s="227" t="s">
        <v>84</v>
      </c>
      <c r="C245" s="233" t="str">
        <f>_xlfn.XLOOKUP(B245, 'Component Masterlist v2'!A:A, 'Component Masterlist v2'!G:G, "Not found")</f>
        <v>Ved Singh</v>
      </c>
      <c r="D245" s="233" t="str">
        <f>_xlfn.XLOOKUP(B245, 'Component Masterlist v2'!A:A, 'Component Masterlist v2'!E:E, "Not found")</f>
        <v>Damodara Reddy</v>
      </c>
    </row>
    <row r="246" spans="1:4">
      <c r="A246" s="226" t="s">
        <v>2338</v>
      </c>
      <c r="B246" s="227" t="s">
        <v>54</v>
      </c>
      <c r="C246" s="233" t="str">
        <f>_xlfn.XLOOKUP(B246, 'Component Masterlist v2'!A:A, 'Component Masterlist v2'!G:G, "Not found")</f>
        <v>Sanyam Agrawal</v>
      </c>
      <c r="D246" s="233" t="str">
        <f>_xlfn.XLOOKUP(B246, 'Component Masterlist v2'!A:A, 'Component Masterlist v2'!E:E, "Not found")</f>
        <v>Prashant Gupta, Vraj Solanki</v>
      </c>
    </row>
    <row r="247" spans="1:4">
      <c r="A247" s="226" t="s">
        <v>2339</v>
      </c>
      <c r="B247" s="227" t="s">
        <v>54</v>
      </c>
      <c r="C247" s="233" t="str">
        <f>_xlfn.XLOOKUP(B247, 'Component Masterlist v2'!A:A, 'Component Masterlist v2'!G:G, "Not found")</f>
        <v>Sanyam Agrawal</v>
      </c>
      <c r="D247" s="233" t="str">
        <f>_xlfn.XLOOKUP(B247, 'Component Masterlist v2'!A:A, 'Component Masterlist v2'!E:E, "Not found")</f>
        <v>Prashant Gupta, Vraj Solanki</v>
      </c>
    </row>
    <row r="248" spans="1:4">
      <c r="A248" s="226" t="s">
        <v>2340</v>
      </c>
      <c r="B248" s="227" t="s">
        <v>82</v>
      </c>
      <c r="C248" s="233" t="str">
        <f>_xlfn.XLOOKUP(B248, 'Component Masterlist v2'!A:A, 'Component Masterlist v2'!G:G, "Not found")</f>
        <v>Ved Singh</v>
      </c>
      <c r="D248" s="233" t="str">
        <f>_xlfn.XLOOKUP(B248, 'Component Masterlist v2'!A:A, 'Component Masterlist v2'!E:E, "Not found")</f>
        <v>Arun Gangadhar</v>
      </c>
    </row>
    <row r="249" spans="1:4">
      <c r="A249" s="226" t="s">
        <v>2341</v>
      </c>
      <c r="B249" s="227" t="s">
        <v>50</v>
      </c>
      <c r="C249" s="233" t="str">
        <f>_xlfn.XLOOKUP(B249, 'Component Masterlist v2'!A:A, 'Component Masterlist v2'!G:G, "Not found")</f>
        <v>Sanyam Agrawal</v>
      </c>
      <c r="D249" s="233" t="str">
        <f>_xlfn.XLOOKUP(B249, 'Component Masterlist v2'!A:A, 'Component Masterlist v2'!E:E, "Not found")</f>
        <v>Fahad Tasleem</v>
      </c>
    </row>
    <row r="250" spans="1:4">
      <c r="A250" s="226" t="s">
        <v>2342</v>
      </c>
      <c r="B250" s="227" t="s">
        <v>47</v>
      </c>
      <c r="C250" s="233" t="str">
        <f>_xlfn.XLOOKUP(B250, 'Component Masterlist v2'!A:A, 'Component Masterlist v2'!G:G, "Not found")</f>
        <v>Sanyam Agrawal</v>
      </c>
      <c r="D250" s="233" t="str">
        <f>_xlfn.XLOOKUP(B250, 'Component Masterlist v2'!A:A, 'Component Masterlist v2'!E:E, "Not found")</f>
        <v>Anirudh Agarwal</v>
      </c>
    </row>
    <row r="251" spans="1:4">
      <c r="A251" s="226" t="s">
        <v>2343</v>
      </c>
      <c r="B251" s="227" t="s">
        <v>54</v>
      </c>
      <c r="C251" s="233" t="str">
        <f>_xlfn.XLOOKUP(B251, 'Component Masterlist v2'!A:A, 'Component Masterlist v2'!G:G, "Not found")</f>
        <v>Sanyam Agrawal</v>
      </c>
      <c r="D251" s="233" t="str">
        <f>_xlfn.XLOOKUP(B251, 'Component Masterlist v2'!A:A, 'Component Masterlist v2'!E:E, "Not found")</f>
        <v>Prashant Gupta, Vraj Solanki</v>
      </c>
    </row>
    <row r="252" spans="1:4">
      <c r="A252" s="226" t="s">
        <v>2344</v>
      </c>
      <c r="B252" s="227" t="s">
        <v>54</v>
      </c>
      <c r="C252" s="233" t="str">
        <f>_xlfn.XLOOKUP(B252, 'Component Masterlist v2'!A:A, 'Component Masterlist v2'!G:G, "Not found")</f>
        <v>Sanyam Agrawal</v>
      </c>
      <c r="D252" s="233" t="str">
        <f>_xlfn.XLOOKUP(B252, 'Component Masterlist v2'!A:A, 'Component Masterlist v2'!E:E, "Not found")</f>
        <v>Prashant Gupta, Vraj Solanki</v>
      </c>
    </row>
    <row r="253" spans="1:4">
      <c r="A253" s="226" t="s">
        <v>2345</v>
      </c>
      <c r="B253" s="227" t="s">
        <v>88</v>
      </c>
      <c r="C253" s="233" t="str">
        <f>_xlfn.XLOOKUP(B253, 'Component Masterlist v2'!A:A, 'Component Masterlist v2'!G:G, "Not found")</f>
        <v>Ved Singh</v>
      </c>
      <c r="D253" s="233" t="str">
        <f>_xlfn.XLOOKUP(B253, 'Component Masterlist v2'!A:A, 'Component Masterlist v2'!E:E, "Not found")</f>
        <v>Karan Jeet Singh</v>
      </c>
    </row>
    <row r="254" spans="1:4">
      <c r="A254" s="226" t="s">
        <v>2346</v>
      </c>
      <c r="B254" s="227" t="s">
        <v>40</v>
      </c>
      <c r="C254" s="233" t="str">
        <f>_xlfn.XLOOKUP(B254, 'Component Masterlist v2'!A:A, 'Component Masterlist v2'!G:G, "Not found")</f>
        <v>Santosh Golecha</v>
      </c>
      <c r="D254" s="233" t="str">
        <f>_xlfn.XLOOKUP(B254, 'Component Masterlist v2'!A:A, 'Component Masterlist v2'!E:E, "Not found")</f>
        <v>Ankur Agarwal</v>
      </c>
    </row>
    <row r="255" spans="1:4">
      <c r="A255" s="226" t="s">
        <v>2347</v>
      </c>
      <c r="B255" s="227" t="s">
        <v>92</v>
      </c>
      <c r="C255" s="233" t="str">
        <f>_xlfn.XLOOKUP(B255, 'Component Masterlist v2'!A:A, 'Component Masterlist v2'!G:G, "Not found")</f>
        <v>Ved Singh</v>
      </c>
      <c r="D255" s="233" t="str">
        <f>_xlfn.XLOOKUP(B255, 'Component Masterlist v2'!A:A, 'Component Masterlist v2'!E:E, "Not found")</f>
        <v>Ketan Dikshit</v>
      </c>
    </row>
    <row r="256" spans="1:4">
      <c r="A256" s="226" t="s">
        <v>2348</v>
      </c>
      <c r="B256" s="227" t="s">
        <v>49</v>
      </c>
      <c r="C256" s="233" t="str">
        <f>_xlfn.XLOOKUP(B256, 'Component Masterlist v2'!A:A, 'Component Masterlist v2'!G:G, "Not found")</f>
        <v>Sanyam Agrawal</v>
      </c>
      <c r="D256" s="233" t="str">
        <f>_xlfn.XLOOKUP(B256, 'Component Masterlist v2'!A:A, 'Component Masterlist v2'!E:E, "Not found")</f>
        <v>Fahad Tasleem</v>
      </c>
    </row>
    <row r="257" spans="1:4">
      <c r="A257" s="226" t="s">
        <v>2349</v>
      </c>
      <c r="B257" s="227" t="s">
        <v>54</v>
      </c>
      <c r="C257" s="233" t="str">
        <f>_xlfn.XLOOKUP(B257, 'Component Masterlist v2'!A:A, 'Component Masterlist v2'!G:G, "Not found")</f>
        <v>Sanyam Agrawal</v>
      </c>
      <c r="D257" s="233" t="str">
        <f>_xlfn.XLOOKUP(B257, 'Component Masterlist v2'!A:A, 'Component Masterlist v2'!E:E, "Not found")</f>
        <v>Prashant Gupta, Vraj Solanki</v>
      </c>
    </row>
    <row r="258" spans="1:4">
      <c r="A258" s="226" t="s">
        <v>2350</v>
      </c>
      <c r="B258" s="227" t="s">
        <v>47</v>
      </c>
      <c r="C258" s="233" t="str">
        <f>_xlfn.XLOOKUP(B258, 'Component Masterlist v2'!A:A, 'Component Masterlist v2'!G:G, "Not found")</f>
        <v>Sanyam Agrawal</v>
      </c>
      <c r="D258" s="233" t="str">
        <f>_xlfn.XLOOKUP(B258, 'Component Masterlist v2'!A:A, 'Component Masterlist v2'!E:E, "Not found")</f>
        <v>Anirudh Agarwal</v>
      </c>
    </row>
    <row r="259" spans="1:4">
      <c r="A259" s="226" t="s">
        <v>2351</v>
      </c>
      <c r="B259" s="227" t="s">
        <v>54</v>
      </c>
      <c r="C259" s="233" t="str">
        <f>_xlfn.XLOOKUP(B259, 'Component Masterlist v2'!A:A, 'Component Masterlist v2'!G:G, "Not found")</f>
        <v>Sanyam Agrawal</v>
      </c>
      <c r="D259" s="233" t="str">
        <f>_xlfn.XLOOKUP(B259, 'Component Masterlist v2'!A:A, 'Component Masterlist v2'!E:E, "Not found")</f>
        <v>Prashant Gupta, Vraj Solanki</v>
      </c>
    </row>
    <row r="260" spans="1:4">
      <c r="A260" s="226" t="s">
        <v>2352</v>
      </c>
      <c r="B260" s="227" t="s">
        <v>54</v>
      </c>
      <c r="C260" s="233" t="str">
        <f>_xlfn.XLOOKUP(B260, 'Component Masterlist v2'!A:A, 'Component Masterlist v2'!G:G, "Not found")</f>
        <v>Sanyam Agrawal</v>
      </c>
      <c r="D260" s="233" t="str">
        <f>_xlfn.XLOOKUP(B260, 'Component Masterlist v2'!A:A, 'Component Masterlist v2'!E:E, "Not found")</f>
        <v>Prashant Gupta, Vraj Solanki</v>
      </c>
    </row>
    <row r="261" spans="1:4">
      <c r="A261" s="226" t="s">
        <v>2353</v>
      </c>
      <c r="B261" s="227" t="s">
        <v>47</v>
      </c>
      <c r="C261" s="233" t="str">
        <f>_xlfn.XLOOKUP(B261, 'Component Masterlist v2'!A:A, 'Component Masterlist v2'!G:G, "Not found")</f>
        <v>Sanyam Agrawal</v>
      </c>
      <c r="D261" s="233" t="str">
        <f>_xlfn.XLOOKUP(B261, 'Component Masterlist v2'!A:A, 'Component Masterlist v2'!E:E, "Not found")</f>
        <v>Anirudh Agarwal</v>
      </c>
    </row>
    <row r="262" spans="1:4">
      <c r="A262" s="226" t="s">
        <v>2354</v>
      </c>
      <c r="B262" s="227" t="s">
        <v>52</v>
      </c>
      <c r="C262" s="233" t="str">
        <f>_xlfn.XLOOKUP(B262, 'Component Masterlist v2'!A:A, 'Component Masterlist v2'!G:G, "Not found")</f>
        <v>Sanyam Agrawal</v>
      </c>
      <c r="D262" s="233" t="str">
        <f>_xlfn.XLOOKUP(B262, 'Component Masterlist v2'!A:A, 'Component Masterlist v2'!E:E, "Not found")</f>
        <v>Fahad Tasleem</v>
      </c>
    </row>
    <row r="263" spans="1:4">
      <c r="A263" s="226" t="s">
        <v>2355</v>
      </c>
      <c r="B263" s="227" t="s">
        <v>92</v>
      </c>
      <c r="C263" s="233" t="str">
        <f>_xlfn.XLOOKUP(B263, 'Component Masterlist v2'!A:A, 'Component Masterlist v2'!G:G, "Not found")</f>
        <v>Ved Singh</v>
      </c>
      <c r="D263" s="233" t="str">
        <f>_xlfn.XLOOKUP(B263, 'Component Masterlist v2'!A:A, 'Component Masterlist v2'!E:E, "Not found")</f>
        <v>Ketan Dikshit</v>
      </c>
    </row>
    <row r="264" spans="1:4">
      <c r="A264" s="226" t="s">
        <v>2356</v>
      </c>
      <c r="B264" s="227" t="s">
        <v>47</v>
      </c>
      <c r="C264" s="233" t="str">
        <f>_xlfn.XLOOKUP(B264, 'Component Masterlist v2'!A:A, 'Component Masterlist v2'!G:G, "Not found")</f>
        <v>Sanyam Agrawal</v>
      </c>
      <c r="D264" s="233" t="str">
        <f>_xlfn.XLOOKUP(B264, 'Component Masterlist v2'!A:A, 'Component Masterlist v2'!E:E, "Not found")</f>
        <v>Anirudh Agarwal</v>
      </c>
    </row>
    <row r="265" spans="1:4">
      <c r="A265" s="226" t="s">
        <v>2357</v>
      </c>
      <c r="B265" s="227" t="s">
        <v>49</v>
      </c>
      <c r="C265" s="233" t="str">
        <f>_xlfn.XLOOKUP(B265, 'Component Masterlist v2'!A:A, 'Component Masterlist v2'!G:G, "Not found")</f>
        <v>Sanyam Agrawal</v>
      </c>
      <c r="D265" s="233" t="str">
        <f>_xlfn.XLOOKUP(B265, 'Component Masterlist v2'!A:A, 'Component Masterlist v2'!E:E, "Not found")</f>
        <v>Fahad Tasleem</v>
      </c>
    </row>
    <row r="266" spans="1:4">
      <c r="A266" s="226" t="s">
        <v>2358</v>
      </c>
      <c r="B266" s="227" t="s">
        <v>82</v>
      </c>
      <c r="C266" s="233" t="str">
        <f>_xlfn.XLOOKUP(B266, 'Component Masterlist v2'!A:A, 'Component Masterlist v2'!G:G, "Not found")</f>
        <v>Ved Singh</v>
      </c>
      <c r="D266" s="233" t="str">
        <f>_xlfn.XLOOKUP(B266, 'Component Masterlist v2'!A:A, 'Component Masterlist v2'!E:E, "Not found")</f>
        <v>Arun Gangadhar</v>
      </c>
    </row>
    <row r="267" spans="1:4">
      <c r="A267" s="226" t="s">
        <v>2359</v>
      </c>
      <c r="B267" s="227" t="s">
        <v>54</v>
      </c>
      <c r="C267" s="233" t="str">
        <f>_xlfn.XLOOKUP(B267, 'Component Masterlist v2'!A:A, 'Component Masterlist v2'!G:G, "Not found")</f>
        <v>Sanyam Agrawal</v>
      </c>
      <c r="D267" s="233" t="str">
        <f>_xlfn.XLOOKUP(B267, 'Component Masterlist v2'!A:A, 'Component Masterlist v2'!E:E, "Not found")</f>
        <v>Prashant Gupta, Vraj Solanki</v>
      </c>
    </row>
    <row r="268" spans="1:4">
      <c r="A268" s="226" t="s">
        <v>2360</v>
      </c>
      <c r="B268" s="227" t="s">
        <v>47</v>
      </c>
      <c r="C268" s="233" t="str">
        <f>_xlfn.XLOOKUP(B268, 'Component Masterlist v2'!A:A, 'Component Masterlist v2'!G:G, "Not found")</f>
        <v>Sanyam Agrawal</v>
      </c>
      <c r="D268" s="233" t="str">
        <f>_xlfn.XLOOKUP(B268, 'Component Masterlist v2'!A:A, 'Component Masterlist v2'!E:E, "Not found")</f>
        <v>Anirudh Agarwal</v>
      </c>
    </row>
    <row r="269" spans="1:4">
      <c r="A269" s="226" t="s">
        <v>2361</v>
      </c>
      <c r="B269" s="227" t="s">
        <v>84</v>
      </c>
      <c r="C269" s="233" t="str">
        <f>_xlfn.XLOOKUP(B269, 'Component Masterlist v2'!A:A, 'Component Masterlist v2'!G:G, "Not found")</f>
        <v>Ved Singh</v>
      </c>
      <c r="D269" s="233" t="str">
        <f>_xlfn.XLOOKUP(B269, 'Component Masterlist v2'!A:A, 'Component Masterlist v2'!E:E, "Not found")</f>
        <v>Damodara Reddy</v>
      </c>
    </row>
    <row r="270" spans="1:4">
      <c r="A270" s="226" t="s">
        <v>2362</v>
      </c>
      <c r="B270" s="227" t="s">
        <v>47</v>
      </c>
      <c r="C270" s="233" t="str">
        <f>_xlfn.XLOOKUP(B270, 'Component Masterlist v2'!A:A, 'Component Masterlist v2'!G:G, "Not found")</f>
        <v>Sanyam Agrawal</v>
      </c>
      <c r="D270" s="233" t="str">
        <f>_xlfn.XLOOKUP(B270, 'Component Masterlist v2'!A:A, 'Component Masterlist v2'!E:E, "Not found")</f>
        <v>Anirudh Agarwal</v>
      </c>
    </row>
    <row r="271" spans="1:4">
      <c r="A271" s="226" t="s">
        <v>2363</v>
      </c>
      <c r="B271" s="227" t="s">
        <v>84</v>
      </c>
      <c r="C271" s="233" t="str">
        <f>_xlfn.XLOOKUP(B271, 'Component Masterlist v2'!A:A, 'Component Masterlist v2'!G:G, "Not found")</f>
        <v>Ved Singh</v>
      </c>
      <c r="D271" s="233" t="str">
        <f>_xlfn.XLOOKUP(B271, 'Component Masterlist v2'!A:A, 'Component Masterlist v2'!E:E, "Not found")</f>
        <v>Damodara Reddy</v>
      </c>
    </row>
    <row r="272" spans="1:4">
      <c r="A272" s="226" t="s">
        <v>2364</v>
      </c>
      <c r="B272" s="227" t="s">
        <v>47</v>
      </c>
      <c r="C272" s="233" t="str">
        <f>_xlfn.XLOOKUP(B272, 'Component Masterlist v2'!A:A, 'Component Masterlist v2'!G:G, "Not found")</f>
        <v>Sanyam Agrawal</v>
      </c>
      <c r="D272" s="233" t="str">
        <f>_xlfn.XLOOKUP(B272, 'Component Masterlist v2'!A:A, 'Component Masterlist v2'!E:E, "Not found")</f>
        <v>Anirudh Agarwal</v>
      </c>
    </row>
    <row r="273" spans="1:4">
      <c r="A273" s="226" t="s">
        <v>2365</v>
      </c>
      <c r="B273" s="227" t="s">
        <v>40</v>
      </c>
      <c r="C273" s="233" t="str">
        <f>_xlfn.XLOOKUP(B273, 'Component Masterlist v2'!A:A, 'Component Masterlist v2'!G:G, "Not found")</f>
        <v>Santosh Golecha</v>
      </c>
      <c r="D273" s="233" t="str">
        <f>_xlfn.XLOOKUP(B273, 'Component Masterlist v2'!A:A, 'Component Masterlist v2'!E:E, "Not found")</f>
        <v>Ankur Agarwal</v>
      </c>
    </row>
    <row r="274" spans="1:4">
      <c r="A274" s="226" t="s">
        <v>2366</v>
      </c>
      <c r="B274" s="227" t="s">
        <v>47</v>
      </c>
      <c r="C274" s="233" t="str">
        <f>_xlfn.XLOOKUP(B274, 'Component Masterlist v2'!A:A, 'Component Masterlist v2'!G:G, "Not found")</f>
        <v>Sanyam Agrawal</v>
      </c>
      <c r="D274" s="233" t="str">
        <f>_xlfn.XLOOKUP(B274, 'Component Masterlist v2'!A:A, 'Component Masterlist v2'!E:E, "Not found")</f>
        <v>Anirudh Agarwal</v>
      </c>
    </row>
    <row r="275" spans="1:4">
      <c r="A275" s="226" t="s">
        <v>2367</v>
      </c>
      <c r="B275" s="227" t="s">
        <v>47</v>
      </c>
      <c r="C275" s="233" t="str">
        <f>_xlfn.XLOOKUP(B275, 'Component Masterlist v2'!A:A, 'Component Masterlist v2'!G:G, "Not found")</f>
        <v>Sanyam Agrawal</v>
      </c>
      <c r="D275" s="233" t="str">
        <f>_xlfn.XLOOKUP(B275, 'Component Masterlist v2'!A:A, 'Component Masterlist v2'!E:E, "Not found")</f>
        <v>Anirudh Agarwal</v>
      </c>
    </row>
    <row r="276" spans="1:4">
      <c r="A276" s="226" t="s">
        <v>2368</v>
      </c>
      <c r="B276" s="227" t="s">
        <v>84</v>
      </c>
      <c r="C276" s="233" t="str">
        <f>_xlfn.XLOOKUP(B276, 'Component Masterlist v2'!A:A, 'Component Masterlist v2'!G:G, "Not found")</f>
        <v>Ved Singh</v>
      </c>
      <c r="D276" s="233" t="str">
        <f>_xlfn.XLOOKUP(B276, 'Component Masterlist v2'!A:A, 'Component Masterlist v2'!E:E, "Not found")</f>
        <v>Damodara Reddy</v>
      </c>
    </row>
    <row r="277" spans="1:4">
      <c r="A277" s="226" t="s">
        <v>2369</v>
      </c>
      <c r="B277" s="227" t="s">
        <v>47</v>
      </c>
      <c r="C277" s="233" t="str">
        <f>_xlfn.XLOOKUP(B277, 'Component Masterlist v2'!A:A, 'Component Masterlist v2'!G:G, "Not found")</f>
        <v>Sanyam Agrawal</v>
      </c>
      <c r="D277" s="233" t="str">
        <f>_xlfn.XLOOKUP(B277, 'Component Masterlist v2'!A:A, 'Component Masterlist v2'!E:E, "Not found")</f>
        <v>Anirudh Agarwal</v>
      </c>
    </row>
    <row r="278" spans="1:4">
      <c r="A278" s="226" t="s">
        <v>2370</v>
      </c>
      <c r="B278" s="227" t="s">
        <v>82</v>
      </c>
      <c r="C278" s="233" t="str">
        <f>_xlfn.XLOOKUP(B278, 'Component Masterlist v2'!A:A, 'Component Masterlist v2'!G:G, "Not found")</f>
        <v>Ved Singh</v>
      </c>
      <c r="D278" s="233" t="str">
        <f>_xlfn.XLOOKUP(B278, 'Component Masterlist v2'!A:A, 'Component Masterlist v2'!E:E, "Not found")</f>
        <v>Arun Gangadhar</v>
      </c>
    </row>
    <row r="279" spans="1:4">
      <c r="A279" s="226" t="s">
        <v>2371</v>
      </c>
      <c r="B279" s="227" t="s">
        <v>40</v>
      </c>
      <c r="C279" s="233" t="str">
        <f>_xlfn.XLOOKUP(B279, 'Component Masterlist v2'!A:A, 'Component Masterlist v2'!G:G, "Not found")</f>
        <v>Santosh Golecha</v>
      </c>
      <c r="D279" s="233" t="str">
        <f>_xlfn.XLOOKUP(B279, 'Component Masterlist v2'!A:A, 'Component Masterlist v2'!E:E, "Not found")</f>
        <v>Ankur Agarwal</v>
      </c>
    </row>
    <row r="280" spans="1:4">
      <c r="A280" s="226" t="s">
        <v>2372</v>
      </c>
      <c r="B280" s="227" t="s">
        <v>47</v>
      </c>
      <c r="C280" s="233" t="str">
        <f>_xlfn.XLOOKUP(B280, 'Component Masterlist v2'!A:A, 'Component Masterlist v2'!G:G, "Not found")</f>
        <v>Sanyam Agrawal</v>
      </c>
      <c r="D280" s="233" t="str">
        <f>_xlfn.XLOOKUP(B280, 'Component Masterlist v2'!A:A, 'Component Masterlist v2'!E:E, "Not found")</f>
        <v>Anirudh Agarwal</v>
      </c>
    </row>
    <row r="281" spans="1:4">
      <c r="A281" s="226" t="s">
        <v>2373</v>
      </c>
      <c r="B281" s="227" t="s">
        <v>40</v>
      </c>
      <c r="C281" s="233" t="str">
        <f>_xlfn.XLOOKUP(B281, 'Component Masterlist v2'!A:A, 'Component Masterlist v2'!G:G, "Not found")</f>
        <v>Santosh Golecha</v>
      </c>
      <c r="D281" s="233" t="str">
        <f>_xlfn.XLOOKUP(B281, 'Component Masterlist v2'!A:A, 'Component Masterlist v2'!E:E, "Not found")</f>
        <v>Ankur Agarwal</v>
      </c>
    </row>
    <row r="282" spans="1:4">
      <c r="A282" s="226" t="s">
        <v>2374</v>
      </c>
      <c r="B282" s="227" t="s">
        <v>40</v>
      </c>
      <c r="C282" s="233" t="str">
        <f>_xlfn.XLOOKUP(B282, 'Component Masterlist v2'!A:A, 'Component Masterlist v2'!G:G, "Not found")</f>
        <v>Santosh Golecha</v>
      </c>
      <c r="D282" s="233" t="str">
        <f>_xlfn.XLOOKUP(B282, 'Component Masterlist v2'!A:A, 'Component Masterlist v2'!E:E, "Not found")</f>
        <v>Ankur Agarwal</v>
      </c>
    </row>
    <row r="283" spans="1:4">
      <c r="A283" s="226" t="s">
        <v>2375</v>
      </c>
      <c r="B283" s="227" t="s">
        <v>84</v>
      </c>
      <c r="C283" s="233" t="str">
        <f>_xlfn.XLOOKUP(B283, 'Component Masterlist v2'!A:A, 'Component Masterlist v2'!G:G, "Not found")</f>
        <v>Ved Singh</v>
      </c>
      <c r="D283" s="233" t="str">
        <f>_xlfn.XLOOKUP(B283, 'Component Masterlist v2'!A:A, 'Component Masterlist v2'!E:E, "Not found")</f>
        <v>Damodara Reddy</v>
      </c>
    </row>
    <row r="284" spans="1:4">
      <c r="A284" s="226" t="s">
        <v>2376</v>
      </c>
      <c r="B284" s="227" t="s">
        <v>91</v>
      </c>
      <c r="C284" s="233" t="str">
        <f>_xlfn.XLOOKUP(B284, 'Component Masterlist v2'!A:A, 'Component Masterlist v2'!G:G, "Not found")</f>
        <v>Ved Singh</v>
      </c>
      <c r="D284" s="233" t="str">
        <f>_xlfn.XLOOKUP(B284, 'Component Masterlist v2'!A:A, 'Component Masterlist v2'!E:E, "Not found")</f>
        <v>Ketan Dikshit</v>
      </c>
    </row>
    <row r="285" spans="1:4">
      <c r="A285" s="226" t="s">
        <v>2377</v>
      </c>
      <c r="B285" s="227" t="s">
        <v>13</v>
      </c>
      <c r="C285" s="233" t="str">
        <f>_xlfn.XLOOKUP(B285, 'Component Masterlist v2'!A:A, 'Component Masterlist v2'!G:G, "Not found")</f>
        <v>Keith Wiseman</v>
      </c>
      <c r="D285" s="233" t="str">
        <f>_xlfn.XLOOKUP(B285, 'Component Masterlist v2'!A:A, 'Component Masterlist v2'!E:E, "Not found")</f>
        <v>Vaibhav Saini</v>
      </c>
    </row>
    <row r="286" spans="1:4">
      <c r="A286" s="226" t="s">
        <v>2378</v>
      </c>
      <c r="B286" s="227" t="s">
        <v>47</v>
      </c>
      <c r="C286" s="233" t="str">
        <f>_xlfn.XLOOKUP(B286, 'Component Masterlist v2'!A:A, 'Component Masterlist v2'!G:G, "Not found")</f>
        <v>Sanyam Agrawal</v>
      </c>
      <c r="D286" s="233" t="str">
        <f>_xlfn.XLOOKUP(B286, 'Component Masterlist v2'!A:A, 'Component Masterlist v2'!E:E, "Not found")</f>
        <v>Anirudh Agarwal</v>
      </c>
    </row>
    <row r="287" spans="1:4">
      <c r="A287" s="226" t="s">
        <v>2379</v>
      </c>
      <c r="B287" s="227" t="s">
        <v>82</v>
      </c>
      <c r="C287" s="233" t="str">
        <f>_xlfn.XLOOKUP(B287, 'Component Masterlist v2'!A:A, 'Component Masterlist v2'!G:G, "Not found")</f>
        <v>Ved Singh</v>
      </c>
      <c r="D287" s="233" t="str">
        <f>_xlfn.XLOOKUP(B287, 'Component Masterlist v2'!A:A, 'Component Masterlist v2'!E:E, "Not found")</f>
        <v>Arun Gangadhar</v>
      </c>
    </row>
    <row r="288" spans="1:4">
      <c r="A288" s="226" t="s">
        <v>2380</v>
      </c>
      <c r="B288" s="227" t="s">
        <v>35</v>
      </c>
      <c r="C288" s="233" t="str">
        <f>_xlfn.XLOOKUP(B288, 'Component Masterlist v2'!A:A, 'Component Masterlist v2'!G:G, "Not found")</f>
        <v>Santosh Golecha</v>
      </c>
      <c r="D288" s="233" t="str">
        <f>_xlfn.XLOOKUP(B288, 'Component Masterlist v2'!A:A, 'Component Masterlist v2'!E:E, "Not found")</f>
        <v>Ankur Agarwal</v>
      </c>
    </row>
    <row r="289" spans="1:4">
      <c r="A289" s="226" t="s">
        <v>2381</v>
      </c>
      <c r="B289" s="227" t="s">
        <v>35</v>
      </c>
      <c r="C289" s="233" t="str">
        <f>_xlfn.XLOOKUP(B289, 'Component Masterlist v2'!A:A, 'Component Masterlist v2'!G:G, "Not found")</f>
        <v>Santosh Golecha</v>
      </c>
      <c r="D289" s="233" t="str">
        <f>_xlfn.XLOOKUP(B289, 'Component Masterlist v2'!A:A, 'Component Masterlist v2'!E:E, "Not found")</f>
        <v>Ankur Agarwal</v>
      </c>
    </row>
    <row r="290" spans="1:4">
      <c r="A290" s="226" t="s">
        <v>2382</v>
      </c>
      <c r="B290" s="227" t="s">
        <v>92</v>
      </c>
      <c r="C290" s="233" t="str">
        <f>_xlfn.XLOOKUP(B290, 'Component Masterlist v2'!A:A, 'Component Masterlist v2'!G:G, "Not found")</f>
        <v>Ved Singh</v>
      </c>
      <c r="D290" s="233" t="str">
        <f>_xlfn.XLOOKUP(B290, 'Component Masterlist v2'!A:A, 'Component Masterlist v2'!E:E, "Not found")</f>
        <v>Ketan Dikshit</v>
      </c>
    </row>
    <row r="291" spans="1:4">
      <c r="A291" s="226" t="s">
        <v>2383</v>
      </c>
      <c r="B291" s="227" t="s">
        <v>47</v>
      </c>
      <c r="C291" s="233" t="str">
        <f>_xlfn.XLOOKUP(B291, 'Component Masterlist v2'!A:A, 'Component Masterlist v2'!G:G, "Not found")</f>
        <v>Sanyam Agrawal</v>
      </c>
      <c r="D291" s="233" t="str">
        <f>_xlfn.XLOOKUP(B291, 'Component Masterlist v2'!A:A, 'Component Masterlist v2'!E:E, "Not found")</f>
        <v>Anirudh Agarwal</v>
      </c>
    </row>
    <row r="292" spans="1:4">
      <c r="A292" s="226" t="s">
        <v>2384</v>
      </c>
      <c r="B292" s="227" t="s">
        <v>35</v>
      </c>
      <c r="C292" s="233" t="str">
        <f>_xlfn.XLOOKUP(B292, 'Component Masterlist v2'!A:A, 'Component Masterlist v2'!G:G, "Not found")</f>
        <v>Santosh Golecha</v>
      </c>
      <c r="D292" s="233" t="str">
        <f>_xlfn.XLOOKUP(B292, 'Component Masterlist v2'!A:A, 'Component Masterlist v2'!E:E, "Not found")</f>
        <v>Ankur Agarwal</v>
      </c>
    </row>
    <row r="293" spans="1:4">
      <c r="A293" s="226" t="s">
        <v>2385</v>
      </c>
      <c r="B293" s="227" t="s">
        <v>47</v>
      </c>
      <c r="C293" s="233" t="str">
        <f>_xlfn.XLOOKUP(B293, 'Component Masterlist v2'!A:A, 'Component Masterlist v2'!G:G, "Not found")</f>
        <v>Sanyam Agrawal</v>
      </c>
      <c r="D293" s="233" t="str">
        <f>_xlfn.XLOOKUP(B293, 'Component Masterlist v2'!A:A, 'Component Masterlist v2'!E:E, "Not found")</f>
        <v>Anirudh Agarwal</v>
      </c>
    </row>
    <row r="294" spans="1:4">
      <c r="A294" s="226" t="s">
        <v>2386</v>
      </c>
      <c r="B294" s="227" t="s">
        <v>35</v>
      </c>
      <c r="C294" s="233" t="str">
        <f>_xlfn.XLOOKUP(B294, 'Component Masterlist v2'!A:A, 'Component Masterlist v2'!G:G, "Not found")</f>
        <v>Santosh Golecha</v>
      </c>
      <c r="D294" s="233" t="str">
        <f>_xlfn.XLOOKUP(B294, 'Component Masterlist v2'!A:A, 'Component Masterlist v2'!E:E, "Not found")</f>
        <v>Ankur Agarwal</v>
      </c>
    </row>
    <row r="295" spans="1:4">
      <c r="A295" s="226" t="s">
        <v>2387</v>
      </c>
      <c r="B295" s="227" t="s">
        <v>88</v>
      </c>
      <c r="C295" s="233" t="str">
        <f>_xlfn.XLOOKUP(B295, 'Component Masterlist v2'!A:A, 'Component Masterlist v2'!G:G, "Not found")</f>
        <v>Ved Singh</v>
      </c>
      <c r="D295" s="233" t="str">
        <f>_xlfn.XLOOKUP(B295, 'Component Masterlist v2'!A:A, 'Component Masterlist v2'!E:E, "Not found")</f>
        <v>Karan Jeet Singh</v>
      </c>
    </row>
    <row r="296" spans="1:4">
      <c r="A296" s="226" t="s">
        <v>2388</v>
      </c>
      <c r="B296" s="227" t="s">
        <v>49</v>
      </c>
      <c r="C296" s="233" t="str">
        <f>_xlfn.XLOOKUP(B296, 'Component Masterlist v2'!A:A, 'Component Masterlist v2'!G:G, "Not found")</f>
        <v>Sanyam Agrawal</v>
      </c>
      <c r="D296" s="233" t="str">
        <f>_xlfn.XLOOKUP(B296, 'Component Masterlist v2'!A:A, 'Component Masterlist v2'!E:E, "Not found")</f>
        <v>Fahad Tasleem</v>
      </c>
    </row>
    <row r="297" spans="1:4">
      <c r="A297" s="226" t="s">
        <v>2389</v>
      </c>
      <c r="B297" s="227" t="s">
        <v>49</v>
      </c>
      <c r="C297" s="233" t="str">
        <f>_xlfn.XLOOKUP(B297, 'Component Masterlist v2'!A:A, 'Component Masterlist v2'!G:G, "Not found")</f>
        <v>Sanyam Agrawal</v>
      </c>
      <c r="D297" s="233" t="str">
        <f>_xlfn.XLOOKUP(B297, 'Component Masterlist v2'!A:A, 'Component Masterlist v2'!E:E, "Not found")</f>
        <v>Fahad Tasleem</v>
      </c>
    </row>
    <row r="298" spans="1:4">
      <c r="A298" s="226" t="s">
        <v>2390</v>
      </c>
      <c r="B298" s="227" t="s">
        <v>47</v>
      </c>
      <c r="C298" s="233" t="str">
        <f>_xlfn.XLOOKUP(B298, 'Component Masterlist v2'!A:A, 'Component Masterlist v2'!G:G, "Not found")</f>
        <v>Sanyam Agrawal</v>
      </c>
      <c r="D298" s="233" t="str">
        <f>_xlfn.XLOOKUP(B298, 'Component Masterlist v2'!A:A, 'Component Masterlist v2'!E:E, "Not found")</f>
        <v>Anirudh Agarwal</v>
      </c>
    </row>
    <row r="299" spans="1:4">
      <c r="A299" s="226" t="s">
        <v>2391</v>
      </c>
      <c r="B299" s="227" t="s">
        <v>47</v>
      </c>
      <c r="C299" s="233" t="str">
        <f>_xlfn.XLOOKUP(B299, 'Component Masterlist v2'!A:A, 'Component Masterlist v2'!G:G, "Not found")</f>
        <v>Sanyam Agrawal</v>
      </c>
      <c r="D299" s="233" t="str">
        <f>_xlfn.XLOOKUP(B299, 'Component Masterlist v2'!A:A, 'Component Masterlist v2'!E:E, "Not found")</f>
        <v>Anirudh Agarwal</v>
      </c>
    </row>
    <row r="300" spans="1:4">
      <c r="A300" s="226" t="s">
        <v>2392</v>
      </c>
      <c r="B300" s="227" t="s">
        <v>88</v>
      </c>
      <c r="C300" s="233" t="str">
        <f>_xlfn.XLOOKUP(B300, 'Component Masterlist v2'!A:A, 'Component Masterlist v2'!G:G, "Not found")</f>
        <v>Ved Singh</v>
      </c>
      <c r="D300" s="233" t="str">
        <f>_xlfn.XLOOKUP(B300, 'Component Masterlist v2'!A:A, 'Component Masterlist v2'!E:E, "Not found")</f>
        <v>Karan Jeet Singh</v>
      </c>
    </row>
    <row r="301" spans="1:4">
      <c r="A301" s="226" t="s">
        <v>2393</v>
      </c>
      <c r="B301" s="227" t="s">
        <v>82</v>
      </c>
      <c r="C301" s="233" t="str">
        <f>_xlfn.XLOOKUP(B301, 'Component Masterlist v2'!A:A, 'Component Masterlist v2'!G:G, "Not found")</f>
        <v>Ved Singh</v>
      </c>
      <c r="D301" s="233" t="str">
        <f>_xlfn.XLOOKUP(B301, 'Component Masterlist v2'!A:A, 'Component Masterlist v2'!E:E, "Not found")</f>
        <v>Arun Gangadhar</v>
      </c>
    </row>
    <row r="302" spans="1:4">
      <c r="A302" s="226" t="s">
        <v>2394</v>
      </c>
      <c r="B302" s="227" t="s">
        <v>51</v>
      </c>
      <c r="C302" s="233" t="str">
        <f>_xlfn.XLOOKUP(B302, 'Component Masterlist v2'!A:A, 'Component Masterlist v2'!G:G, "Not found")</f>
        <v>Sanyam Agrawal</v>
      </c>
      <c r="D302" s="233" t="str">
        <f>_xlfn.XLOOKUP(B302, 'Component Masterlist v2'!A:A, 'Component Masterlist v2'!E:E, "Not found")</f>
        <v>Fahad Tasleem</v>
      </c>
    </row>
    <row r="303" spans="1:4">
      <c r="A303" s="226" t="s">
        <v>2395</v>
      </c>
      <c r="B303" s="227" t="s">
        <v>40</v>
      </c>
      <c r="C303" s="233" t="str">
        <f>_xlfn.XLOOKUP(B303, 'Component Masterlist v2'!A:A, 'Component Masterlist v2'!G:G, "Not found")</f>
        <v>Santosh Golecha</v>
      </c>
      <c r="D303" s="233" t="str">
        <f>_xlfn.XLOOKUP(B303, 'Component Masterlist v2'!A:A, 'Component Masterlist v2'!E:E, "Not found")</f>
        <v>Ankur Agarwal</v>
      </c>
    </row>
    <row r="304" spans="1:4">
      <c r="A304" s="226" t="s">
        <v>2396</v>
      </c>
      <c r="B304" s="227" t="s">
        <v>40</v>
      </c>
      <c r="C304" s="233" t="str">
        <f>_xlfn.XLOOKUP(B304, 'Component Masterlist v2'!A:A, 'Component Masterlist v2'!G:G, "Not found")</f>
        <v>Santosh Golecha</v>
      </c>
      <c r="D304" s="233" t="str">
        <f>_xlfn.XLOOKUP(B304, 'Component Masterlist v2'!A:A, 'Component Masterlist v2'!E:E, "Not found")</f>
        <v>Ankur Agarwal</v>
      </c>
    </row>
    <row r="305" spans="1:4">
      <c r="A305" s="226" t="s">
        <v>2397</v>
      </c>
      <c r="B305" s="227" t="s">
        <v>42</v>
      </c>
      <c r="C305" s="233" t="str">
        <f>_xlfn.XLOOKUP(B305, 'Component Masterlist v2'!A:A, 'Component Masterlist v2'!G:G, "Not found")</f>
        <v>Santosh Golecha</v>
      </c>
      <c r="D305" s="233" t="str">
        <f>_xlfn.XLOOKUP(B305, 'Component Masterlist v2'!A:A, 'Component Masterlist v2'!E:E, "Not found")</f>
        <v>Santosh Golecha</v>
      </c>
    </row>
    <row r="306" spans="1:4">
      <c r="A306" s="226" t="s">
        <v>2398</v>
      </c>
      <c r="B306" s="227" t="s">
        <v>35</v>
      </c>
      <c r="C306" s="233" t="str">
        <f>_xlfn.XLOOKUP(B306, 'Component Masterlist v2'!A:A, 'Component Masterlist v2'!G:G, "Not found")</f>
        <v>Santosh Golecha</v>
      </c>
      <c r="D306" s="233" t="str">
        <f>_xlfn.XLOOKUP(B306, 'Component Masterlist v2'!A:A, 'Component Masterlist v2'!E:E, "Not found")</f>
        <v>Ankur Agarwal</v>
      </c>
    </row>
    <row r="307" spans="1:4">
      <c r="A307" s="226" t="s">
        <v>2399</v>
      </c>
      <c r="B307" s="227" t="s">
        <v>92</v>
      </c>
      <c r="C307" s="233" t="str">
        <f>_xlfn.XLOOKUP(B307, 'Component Masterlist v2'!A:A, 'Component Masterlist v2'!G:G, "Not found")</f>
        <v>Ved Singh</v>
      </c>
      <c r="D307" s="233" t="str">
        <f>_xlfn.XLOOKUP(B307, 'Component Masterlist v2'!A:A, 'Component Masterlist v2'!E:E, "Not found")</f>
        <v>Ketan Dikshit</v>
      </c>
    </row>
    <row r="308" spans="1:4">
      <c r="A308" s="226" t="s">
        <v>2400</v>
      </c>
      <c r="B308" s="227" t="s">
        <v>40</v>
      </c>
      <c r="C308" s="233" t="str">
        <f>_xlfn.XLOOKUP(B308, 'Component Masterlist v2'!A:A, 'Component Masterlist v2'!G:G, "Not found")</f>
        <v>Santosh Golecha</v>
      </c>
      <c r="D308" s="233" t="str">
        <f>_xlfn.XLOOKUP(B308, 'Component Masterlist v2'!A:A, 'Component Masterlist v2'!E:E, "Not found")</f>
        <v>Ankur Agarwal</v>
      </c>
    </row>
    <row r="309" spans="1:4">
      <c r="A309" s="226" t="s">
        <v>2401</v>
      </c>
      <c r="B309" s="227" t="s">
        <v>47</v>
      </c>
      <c r="C309" s="233" t="str">
        <f>_xlfn.XLOOKUP(B309, 'Component Masterlist v2'!A:A, 'Component Masterlist v2'!G:G, "Not found")</f>
        <v>Sanyam Agrawal</v>
      </c>
      <c r="D309" s="233" t="str">
        <f>_xlfn.XLOOKUP(B309, 'Component Masterlist v2'!A:A, 'Component Masterlist v2'!E:E, "Not found")</f>
        <v>Anirudh Agarwal</v>
      </c>
    </row>
    <row r="310" spans="1:4">
      <c r="A310" s="226" t="s">
        <v>2402</v>
      </c>
      <c r="B310" s="227" t="s">
        <v>57</v>
      </c>
      <c r="C310" s="233" t="str">
        <f>_xlfn.XLOOKUP(B310, 'Component Masterlist v2'!A:A, 'Component Masterlist v2'!G:G, "Not found")</f>
        <v>Satish Sallakonda</v>
      </c>
      <c r="D310" s="233" t="str">
        <f>_xlfn.XLOOKUP(B310, 'Component Masterlist v2'!A:A, 'Component Masterlist v2'!E:E, "Not found")</f>
        <v>Anvesh Aileni</v>
      </c>
    </row>
    <row r="311" spans="1:4">
      <c r="A311" s="226" t="s">
        <v>2403</v>
      </c>
      <c r="B311" s="227" t="s">
        <v>40</v>
      </c>
      <c r="C311" s="233" t="str">
        <f>_xlfn.XLOOKUP(B311, 'Component Masterlist v2'!A:A, 'Component Masterlist v2'!G:G, "Not found")</f>
        <v>Santosh Golecha</v>
      </c>
      <c r="D311" s="233" t="str">
        <f>_xlfn.XLOOKUP(B311, 'Component Masterlist v2'!A:A, 'Component Masterlist v2'!E:E, "Not found")</f>
        <v>Ankur Agarwal</v>
      </c>
    </row>
    <row r="312" spans="1:4">
      <c r="A312" s="226" t="s">
        <v>2404</v>
      </c>
      <c r="B312" s="227" t="s">
        <v>40</v>
      </c>
      <c r="C312" s="233" t="str">
        <f>_xlfn.XLOOKUP(B312, 'Component Masterlist v2'!A:A, 'Component Masterlist v2'!G:G, "Not found")</f>
        <v>Santosh Golecha</v>
      </c>
      <c r="D312" s="233" t="str">
        <f>_xlfn.XLOOKUP(B312, 'Component Masterlist v2'!A:A, 'Component Masterlist v2'!E:E, "Not found")</f>
        <v>Ankur Agarwal</v>
      </c>
    </row>
    <row r="313" spans="1:4">
      <c r="A313" s="226" t="s">
        <v>2405</v>
      </c>
      <c r="B313" s="227" t="s">
        <v>47</v>
      </c>
      <c r="C313" s="233" t="str">
        <f>_xlfn.XLOOKUP(B313, 'Component Masterlist v2'!A:A, 'Component Masterlist v2'!G:G, "Not found")</f>
        <v>Sanyam Agrawal</v>
      </c>
      <c r="D313" s="233" t="str">
        <f>_xlfn.XLOOKUP(B313, 'Component Masterlist v2'!A:A, 'Component Masterlist v2'!E:E, "Not found")</f>
        <v>Anirudh Agarwal</v>
      </c>
    </row>
    <row r="314" spans="1:4">
      <c r="A314" s="226" t="s">
        <v>2406</v>
      </c>
      <c r="B314" s="227" t="s">
        <v>84</v>
      </c>
      <c r="C314" s="233" t="str">
        <f>_xlfn.XLOOKUP(B314, 'Component Masterlist v2'!A:A, 'Component Masterlist v2'!G:G, "Not found")</f>
        <v>Ved Singh</v>
      </c>
      <c r="D314" s="233" t="str">
        <f>_xlfn.XLOOKUP(B314, 'Component Masterlist v2'!A:A, 'Component Masterlist v2'!E:E, "Not found")</f>
        <v>Damodara Reddy</v>
      </c>
    </row>
    <row r="315" spans="1:4">
      <c r="A315" s="226" t="s">
        <v>2407</v>
      </c>
      <c r="B315" s="227" t="s">
        <v>92</v>
      </c>
      <c r="C315" s="233" t="str">
        <f>_xlfn.XLOOKUP(B315, 'Component Masterlist v2'!A:A, 'Component Masterlist v2'!G:G, "Not found")</f>
        <v>Ved Singh</v>
      </c>
      <c r="D315" s="233" t="str">
        <f>_xlfn.XLOOKUP(B315, 'Component Masterlist v2'!A:A, 'Component Masterlist v2'!E:E, "Not found")</f>
        <v>Ketan Dikshit</v>
      </c>
    </row>
    <row r="316" spans="1:4">
      <c r="A316" s="226" t="s">
        <v>2408</v>
      </c>
      <c r="B316" s="227" t="s">
        <v>84</v>
      </c>
      <c r="C316" s="233" t="str">
        <f>_xlfn.XLOOKUP(B316, 'Component Masterlist v2'!A:A, 'Component Masterlist v2'!G:G, "Not found")</f>
        <v>Ved Singh</v>
      </c>
      <c r="D316" s="233" t="str">
        <f>_xlfn.XLOOKUP(B316, 'Component Masterlist v2'!A:A, 'Component Masterlist v2'!E:E, "Not found")</f>
        <v>Damodara Reddy</v>
      </c>
    </row>
    <row r="317" spans="1:4">
      <c r="A317" s="226" t="s">
        <v>2409</v>
      </c>
      <c r="B317" s="227" t="s">
        <v>54</v>
      </c>
      <c r="C317" s="233" t="str">
        <f>_xlfn.XLOOKUP(B317, 'Component Masterlist v2'!A:A, 'Component Masterlist v2'!G:G, "Not found")</f>
        <v>Sanyam Agrawal</v>
      </c>
      <c r="D317" s="233" t="str">
        <f>_xlfn.XLOOKUP(B317, 'Component Masterlist v2'!A:A, 'Component Masterlist v2'!E:E, "Not found")</f>
        <v>Prashant Gupta, Vraj Solanki</v>
      </c>
    </row>
    <row r="318" spans="1:4">
      <c r="A318" s="226" t="s">
        <v>2410</v>
      </c>
      <c r="B318" s="227" t="s">
        <v>54</v>
      </c>
      <c r="C318" s="233" t="str">
        <f>_xlfn.XLOOKUP(B318, 'Component Masterlist v2'!A:A, 'Component Masterlist v2'!G:G, "Not found")</f>
        <v>Sanyam Agrawal</v>
      </c>
      <c r="D318" s="233" t="str">
        <f>_xlfn.XLOOKUP(B318, 'Component Masterlist v2'!A:A, 'Component Masterlist v2'!E:E, "Not found")</f>
        <v>Prashant Gupta, Vraj Solanki</v>
      </c>
    </row>
    <row r="319" spans="1:4">
      <c r="A319" s="226" t="s">
        <v>2411</v>
      </c>
      <c r="B319" s="227" t="s">
        <v>40</v>
      </c>
      <c r="C319" s="233" t="str">
        <f>_xlfn.XLOOKUP(B319, 'Component Masterlist v2'!A:A, 'Component Masterlist v2'!G:G, "Not found")</f>
        <v>Santosh Golecha</v>
      </c>
      <c r="D319" s="233" t="str">
        <f>_xlfn.XLOOKUP(B319, 'Component Masterlist v2'!A:A, 'Component Masterlist v2'!E:E, "Not found")</f>
        <v>Ankur Agarwal</v>
      </c>
    </row>
    <row r="320" spans="1:4">
      <c r="A320" s="226" t="s">
        <v>2412</v>
      </c>
      <c r="B320" s="227" t="s">
        <v>84</v>
      </c>
      <c r="C320" s="233" t="str">
        <f>_xlfn.XLOOKUP(B320, 'Component Masterlist v2'!A:A, 'Component Masterlist v2'!G:G, "Not found")</f>
        <v>Ved Singh</v>
      </c>
      <c r="D320" s="233" t="str">
        <f>_xlfn.XLOOKUP(B320, 'Component Masterlist v2'!A:A, 'Component Masterlist v2'!E:E, "Not found")</f>
        <v>Damodara Reddy</v>
      </c>
    </row>
    <row r="321" spans="1:4">
      <c r="A321" s="226" t="s">
        <v>2413</v>
      </c>
      <c r="B321" s="227" t="s">
        <v>25</v>
      </c>
      <c r="C321" s="233" t="str">
        <f>_xlfn.XLOOKUP(B321, 'Component Masterlist v2'!A:A, 'Component Masterlist v2'!G:G, "Not found")</f>
        <v>Raghu Edalur</v>
      </c>
      <c r="D321" s="233" t="str">
        <f>_xlfn.XLOOKUP(B321, 'Component Masterlist v2'!A:A, 'Component Masterlist v2'!E:E, "Not found")</f>
        <v>Jawahar Prasad</v>
      </c>
    </row>
    <row r="322" spans="1:4">
      <c r="A322" s="226" t="s">
        <v>2414</v>
      </c>
      <c r="B322" s="227" t="s">
        <v>54</v>
      </c>
      <c r="C322" s="233" t="str">
        <f>_xlfn.XLOOKUP(B322, 'Component Masterlist v2'!A:A, 'Component Masterlist v2'!G:G, "Not found")</f>
        <v>Sanyam Agrawal</v>
      </c>
      <c r="D322" s="233" t="str">
        <f>_xlfn.XLOOKUP(B322, 'Component Masterlist v2'!A:A, 'Component Masterlist v2'!E:E, "Not found")</f>
        <v>Prashant Gupta, Vraj Solanki</v>
      </c>
    </row>
    <row r="323" spans="1:4">
      <c r="A323" s="226" t="s">
        <v>2415</v>
      </c>
      <c r="B323" s="227" t="s">
        <v>82</v>
      </c>
      <c r="C323" s="233" t="str">
        <f>_xlfn.XLOOKUP(B323, 'Component Masterlist v2'!A:A, 'Component Masterlist v2'!G:G, "Not found")</f>
        <v>Ved Singh</v>
      </c>
      <c r="D323" s="233" t="str">
        <f>_xlfn.XLOOKUP(B323, 'Component Masterlist v2'!A:A, 'Component Masterlist v2'!E:E, "Not found")</f>
        <v>Arun Gangadhar</v>
      </c>
    </row>
    <row r="324" spans="1:4">
      <c r="A324" s="226" t="s">
        <v>2416</v>
      </c>
      <c r="B324" s="227" t="s">
        <v>47</v>
      </c>
      <c r="C324" s="233" t="str">
        <f>_xlfn.XLOOKUP(B324, 'Component Masterlist v2'!A:A, 'Component Masterlist v2'!G:G, "Not found")</f>
        <v>Sanyam Agrawal</v>
      </c>
      <c r="D324" s="233" t="str">
        <f>_xlfn.XLOOKUP(B324, 'Component Masterlist v2'!A:A, 'Component Masterlist v2'!E:E, "Not found")</f>
        <v>Anirudh Agarwal</v>
      </c>
    </row>
    <row r="325" spans="1:4">
      <c r="A325" s="226" t="s">
        <v>2417</v>
      </c>
      <c r="B325" s="227" t="s">
        <v>54</v>
      </c>
      <c r="C325" s="233" t="str">
        <f>_xlfn.XLOOKUP(B325, 'Component Masterlist v2'!A:A, 'Component Masterlist v2'!G:G, "Not found")</f>
        <v>Sanyam Agrawal</v>
      </c>
      <c r="D325" s="233" t="str">
        <f>_xlfn.XLOOKUP(B325, 'Component Masterlist v2'!A:A, 'Component Masterlist v2'!E:E, "Not found")</f>
        <v>Prashant Gupta, Vraj Solanki</v>
      </c>
    </row>
    <row r="326" spans="1:4">
      <c r="A326" s="226" t="s">
        <v>2418</v>
      </c>
      <c r="B326" s="227" t="s">
        <v>92</v>
      </c>
      <c r="C326" s="233" t="str">
        <f>_xlfn.XLOOKUP(B326, 'Component Masterlist v2'!A:A, 'Component Masterlist v2'!G:G, "Not found")</f>
        <v>Ved Singh</v>
      </c>
      <c r="D326" s="233" t="str">
        <f>_xlfn.XLOOKUP(B326, 'Component Masterlist v2'!A:A, 'Component Masterlist v2'!E:E, "Not found")</f>
        <v>Ketan Dikshit</v>
      </c>
    </row>
    <row r="327" spans="1:4">
      <c r="A327" s="226" t="s">
        <v>2419</v>
      </c>
      <c r="B327" s="227" t="s">
        <v>40</v>
      </c>
      <c r="C327" s="233" t="str">
        <f>_xlfn.XLOOKUP(B327, 'Component Masterlist v2'!A:A, 'Component Masterlist v2'!G:G, "Not found")</f>
        <v>Santosh Golecha</v>
      </c>
      <c r="D327" s="233" t="str">
        <f>_xlfn.XLOOKUP(B327, 'Component Masterlist v2'!A:A, 'Component Masterlist v2'!E:E, "Not found")</f>
        <v>Ankur Agarwal</v>
      </c>
    </row>
    <row r="328" spans="1:4">
      <c r="A328" s="226" t="s">
        <v>2420</v>
      </c>
      <c r="B328" s="227" t="s">
        <v>88</v>
      </c>
      <c r="C328" s="233" t="str">
        <f>_xlfn.XLOOKUP(B328, 'Component Masterlist v2'!A:A, 'Component Masterlist v2'!G:G, "Not found")</f>
        <v>Ved Singh</v>
      </c>
      <c r="D328" s="233" t="str">
        <f>_xlfn.XLOOKUP(B328, 'Component Masterlist v2'!A:A, 'Component Masterlist v2'!E:E, "Not found")</f>
        <v>Karan Jeet Singh</v>
      </c>
    </row>
    <row r="329" spans="1:4">
      <c r="A329" s="226" t="s">
        <v>2421</v>
      </c>
      <c r="B329" s="227" t="s">
        <v>88</v>
      </c>
      <c r="C329" s="233" t="str">
        <f>_xlfn.XLOOKUP(B329, 'Component Masterlist v2'!A:A, 'Component Masterlist v2'!G:G, "Not found")</f>
        <v>Ved Singh</v>
      </c>
      <c r="D329" s="233" t="str">
        <f>_xlfn.XLOOKUP(B329, 'Component Masterlist v2'!A:A, 'Component Masterlist v2'!E:E, "Not found")</f>
        <v>Karan Jeet Singh</v>
      </c>
    </row>
    <row r="330" spans="1:4">
      <c r="A330" s="226" t="s">
        <v>2422</v>
      </c>
      <c r="B330" s="227" t="s">
        <v>54</v>
      </c>
      <c r="C330" s="233" t="str">
        <f>_xlfn.XLOOKUP(B330, 'Component Masterlist v2'!A:A, 'Component Masterlist v2'!G:G, "Not found")</f>
        <v>Sanyam Agrawal</v>
      </c>
      <c r="D330" s="233" t="str">
        <f>_xlfn.XLOOKUP(B330, 'Component Masterlist v2'!A:A, 'Component Masterlist v2'!E:E, "Not found")</f>
        <v>Prashant Gupta, Vraj Solanki</v>
      </c>
    </row>
    <row r="331" spans="1:4">
      <c r="A331" s="226" t="s">
        <v>2423</v>
      </c>
      <c r="B331" s="227" t="s">
        <v>54</v>
      </c>
      <c r="C331" s="233" t="str">
        <f>_xlfn.XLOOKUP(B331, 'Component Masterlist v2'!A:A, 'Component Masterlist v2'!G:G, "Not found")</f>
        <v>Sanyam Agrawal</v>
      </c>
      <c r="D331" s="233" t="str">
        <f>_xlfn.XLOOKUP(B331, 'Component Masterlist v2'!A:A, 'Component Masterlist v2'!E:E, "Not found")</f>
        <v>Prashant Gupta, Vraj Solanki</v>
      </c>
    </row>
    <row r="332" spans="1:4">
      <c r="A332" s="226" t="s">
        <v>2424</v>
      </c>
      <c r="B332" s="227" t="s">
        <v>82</v>
      </c>
      <c r="C332" s="233" t="str">
        <f>_xlfn.XLOOKUP(B332, 'Component Masterlist v2'!A:A, 'Component Masterlist v2'!G:G, "Not found")</f>
        <v>Ved Singh</v>
      </c>
      <c r="D332" s="233" t="str">
        <f>_xlfn.XLOOKUP(B332, 'Component Masterlist v2'!A:A, 'Component Masterlist v2'!E:E, "Not found")</f>
        <v>Arun Gangadhar</v>
      </c>
    </row>
    <row r="333" spans="1:4">
      <c r="A333" s="226" t="s">
        <v>2425</v>
      </c>
      <c r="B333" s="227" t="s">
        <v>54</v>
      </c>
      <c r="C333" s="233" t="str">
        <f>_xlfn.XLOOKUP(B333, 'Component Masterlist v2'!A:A, 'Component Masterlist v2'!G:G, "Not found")</f>
        <v>Sanyam Agrawal</v>
      </c>
      <c r="D333" s="233" t="str">
        <f>_xlfn.XLOOKUP(B333, 'Component Masterlist v2'!A:A, 'Component Masterlist v2'!E:E, "Not found")</f>
        <v>Prashant Gupta, Vraj Solanki</v>
      </c>
    </row>
    <row r="334" spans="1:4">
      <c r="A334" s="226" t="s">
        <v>2426</v>
      </c>
      <c r="B334" s="227" t="s">
        <v>88</v>
      </c>
      <c r="C334" s="233" t="str">
        <f>_xlfn.XLOOKUP(B334, 'Component Masterlist v2'!A:A, 'Component Masterlist v2'!G:G, "Not found")</f>
        <v>Ved Singh</v>
      </c>
      <c r="D334" s="233" t="str">
        <f>_xlfn.XLOOKUP(B334, 'Component Masterlist v2'!A:A, 'Component Masterlist v2'!E:E, "Not found")</f>
        <v>Karan Jeet Singh</v>
      </c>
    </row>
    <row r="335" spans="1:4">
      <c r="A335" s="226" t="s">
        <v>2427</v>
      </c>
      <c r="B335" s="227" t="s">
        <v>54</v>
      </c>
      <c r="C335" s="233" t="str">
        <f>_xlfn.XLOOKUP(B335, 'Component Masterlist v2'!A:A, 'Component Masterlist v2'!G:G, "Not found")</f>
        <v>Sanyam Agrawal</v>
      </c>
      <c r="D335" s="233" t="str">
        <f>_xlfn.XLOOKUP(B335, 'Component Masterlist v2'!A:A, 'Component Masterlist v2'!E:E, "Not found")</f>
        <v>Prashant Gupta, Vraj Solanki</v>
      </c>
    </row>
    <row r="336" spans="1:4">
      <c r="A336" s="226" t="s">
        <v>2428</v>
      </c>
      <c r="B336" s="227" t="s">
        <v>92</v>
      </c>
      <c r="C336" s="233" t="str">
        <f>_xlfn.XLOOKUP(B336, 'Component Masterlist v2'!A:A, 'Component Masterlist v2'!G:G, "Not found")</f>
        <v>Ved Singh</v>
      </c>
      <c r="D336" s="233" t="str">
        <f>_xlfn.XLOOKUP(B336, 'Component Masterlist v2'!A:A, 'Component Masterlist v2'!E:E, "Not found")</f>
        <v>Ketan Dikshit</v>
      </c>
    </row>
    <row r="337" spans="1:4">
      <c r="A337" s="226" t="s">
        <v>2429</v>
      </c>
      <c r="B337" s="227" t="s">
        <v>45</v>
      </c>
      <c r="C337" s="233" t="str">
        <f>_xlfn.XLOOKUP(B337, 'Component Masterlist v2'!A:A, 'Component Masterlist v2'!G:G, "Not found")</f>
        <v>Sanyam Agrawal</v>
      </c>
      <c r="D337" s="233" t="str">
        <f>_xlfn.XLOOKUP(B337, 'Component Masterlist v2'!A:A, 'Component Masterlist v2'!E:E, "Not found")</f>
        <v>Ambuj Mehra</v>
      </c>
    </row>
    <row r="338" spans="1:4">
      <c r="A338" s="226" t="s">
        <v>2430</v>
      </c>
      <c r="B338" s="227" t="s">
        <v>54</v>
      </c>
      <c r="C338" s="233" t="str">
        <f>_xlfn.XLOOKUP(B338, 'Component Masterlist v2'!A:A, 'Component Masterlist v2'!G:G, "Not found")</f>
        <v>Sanyam Agrawal</v>
      </c>
      <c r="D338" s="233" t="str">
        <f>_xlfn.XLOOKUP(B338, 'Component Masterlist v2'!A:A, 'Component Masterlist v2'!E:E, "Not found")</f>
        <v>Prashant Gupta, Vraj Solanki</v>
      </c>
    </row>
    <row r="339" spans="1:4">
      <c r="A339" s="226" t="s">
        <v>2431</v>
      </c>
      <c r="B339" s="227" t="s">
        <v>92</v>
      </c>
      <c r="C339" s="233" t="str">
        <f>_xlfn.XLOOKUP(B339, 'Component Masterlist v2'!A:A, 'Component Masterlist v2'!G:G, "Not found")</f>
        <v>Ved Singh</v>
      </c>
      <c r="D339" s="233" t="str">
        <f>_xlfn.XLOOKUP(B339, 'Component Masterlist v2'!A:A, 'Component Masterlist v2'!E:E, "Not found")</f>
        <v>Ketan Dikshit</v>
      </c>
    </row>
    <row r="340" spans="1:4">
      <c r="A340" s="226" t="s">
        <v>2432</v>
      </c>
      <c r="B340" s="227" t="s">
        <v>91</v>
      </c>
      <c r="C340" s="233" t="str">
        <f>_xlfn.XLOOKUP(B340, 'Component Masterlist v2'!A:A, 'Component Masterlist v2'!G:G, "Not found")</f>
        <v>Ved Singh</v>
      </c>
      <c r="D340" s="233" t="str">
        <f>_xlfn.XLOOKUP(B340, 'Component Masterlist v2'!A:A, 'Component Masterlist v2'!E:E, "Not found")</f>
        <v>Ketan Dikshit</v>
      </c>
    </row>
    <row r="341" spans="1:4">
      <c r="A341" s="226" t="s">
        <v>2433</v>
      </c>
      <c r="B341" s="227" t="s">
        <v>40</v>
      </c>
      <c r="C341" s="233" t="str">
        <f>_xlfn.XLOOKUP(B341, 'Component Masterlist v2'!A:A, 'Component Masterlist v2'!G:G, "Not found")</f>
        <v>Santosh Golecha</v>
      </c>
      <c r="D341" s="233" t="str">
        <f>_xlfn.XLOOKUP(B341, 'Component Masterlist v2'!A:A, 'Component Masterlist v2'!E:E, "Not found")</f>
        <v>Ankur Agarwal</v>
      </c>
    </row>
    <row r="342" spans="1:4">
      <c r="A342" s="226" t="s">
        <v>2434</v>
      </c>
      <c r="B342" s="227" t="s">
        <v>47</v>
      </c>
      <c r="C342" s="233" t="str">
        <f>_xlfn.XLOOKUP(B342, 'Component Masterlist v2'!A:A, 'Component Masterlist v2'!G:G, "Not found")</f>
        <v>Sanyam Agrawal</v>
      </c>
      <c r="D342" s="233" t="str">
        <f>_xlfn.XLOOKUP(B342, 'Component Masterlist v2'!A:A, 'Component Masterlist v2'!E:E, "Not found")</f>
        <v>Anirudh Agarwal</v>
      </c>
    </row>
    <row r="343" spans="1:4">
      <c r="A343" s="226" t="s">
        <v>2435</v>
      </c>
      <c r="B343" s="227" t="s">
        <v>88</v>
      </c>
      <c r="C343" s="233" t="str">
        <f>_xlfn.XLOOKUP(B343, 'Component Masterlist v2'!A:A, 'Component Masterlist v2'!G:G, "Not found")</f>
        <v>Ved Singh</v>
      </c>
      <c r="D343" s="233" t="str">
        <f>_xlfn.XLOOKUP(B343, 'Component Masterlist v2'!A:A, 'Component Masterlist v2'!E:E, "Not found")</f>
        <v>Karan Jeet Singh</v>
      </c>
    </row>
    <row r="344" spans="1:4">
      <c r="A344" s="226" t="s">
        <v>2436</v>
      </c>
      <c r="B344" s="227" t="s">
        <v>92</v>
      </c>
      <c r="C344" s="233" t="str">
        <f>_xlfn.XLOOKUP(B344, 'Component Masterlist v2'!A:A, 'Component Masterlist v2'!G:G, "Not found")</f>
        <v>Ved Singh</v>
      </c>
      <c r="D344" s="233" t="str">
        <f>_xlfn.XLOOKUP(B344, 'Component Masterlist v2'!A:A, 'Component Masterlist v2'!E:E, "Not found")</f>
        <v>Ketan Dikshit</v>
      </c>
    </row>
    <row r="345" spans="1:4">
      <c r="A345" s="226" t="s">
        <v>2437</v>
      </c>
      <c r="B345" s="227" t="s">
        <v>88</v>
      </c>
      <c r="C345" s="233" t="str">
        <f>_xlfn.XLOOKUP(B345, 'Component Masterlist v2'!A:A, 'Component Masterlist v2'!G:G, "Not found")</f>
        <v>Ved Singh</v>
      </c>
      <c r="D345" s="233" t="str">
        <f>_xlfn.XLOOKUP(B345, 'Component Masterlist v2'!A:A, 'Component Masterlist v2'!E:E, "Not found")</f>
        <v>Karan Jeet Singh</v>
      </c>
    </row>
    <row r="346" spans="1:4">
      <c r="A346" s="226" t="s">
        <v>2438</v>
      </c>
      <c r="B346" s="227" t="s">
        <v>47</v>
      </c>
      <c r="C346" s="233" t="str">
        <f>_xlfn.XLOOKUP(B346, 'Component Masterlist v2'!A:A, 'Component Masterlist v2'!G:G, "Not found")</f>
        <v>Sanyam Agrawal</v>
      </c>
      <c r="D346" s="233" t="str">
        <f>_xlfn.XLOOKUP(B346, 'Component Masterlist v2'!A:A, 'Component Masterlist v2'!E:E, "Not found")</f>
        <v>Anirudh Agarwal</v>
      </c>
    </row>
    <row r="347" spans="1:4">
      <c r="A347" s="226" t="s">
        <v>2439</v>
      </c>
      <c r="B347" s="227" t="s">
        <v>54</v>
      </c>
      <c r="C347" s="233" t="str">
        <f>_xlfn.XLOOKUP(B347, 'Component Masterlist v2'!A:A, 'Component Masterlist v2'!G:G, "Not found")</f>
        <v>Sanyam Agrawal</v>
      </c>
      <c r="D347" s="233" t="str">
        <f>_xlfn.XLOOKUP(B347, 'Component Masterlist v2'!A:A, 'Component Masterlist v2'!E:E, "Not found")</f>
        <v>Prashant Gupta, Vraj Solanki</v>
      </c>
    </row>
    <row r="348" spans="1:4">
      <c r="A348" s="226" t="s">
        <v>2440</v>
      </c>
      <c r="B348" s="227" t="s">
        <v>47</v>
      </c>
      <c r="C348" s="233" t="str">
        <f>_xlfn.XLOOKUP(B348, 'Component Masterlist v2'!A:A, 'Component Masterlist v2'!G:G, "Not found")</f>
        <v>Sanyam Agrawal</v>
      </c>
      <c r="D348" s="233" t="str">
        <f>_xlfn.XLOOKUP(B348, 'Component Masterlist v2'!A:A, 'Component Masterlist v2'!E:E, "Not found")</f>
        <v>Anirudh Agarwal</v>
      </c>
    </row>
    <row r="349" spans="1:4">
      <c r="A349" s="226" t="s">
        <v>2441</v>
      </c>
      <c r="B349" s="227" t="s">
        <v>49</v>
      </c>
      <c r="C349" s="233" t="str">
        <f>_xlfn.XLOOKUP(B349, 'Component Masterlist v2'!A:A, 'Component Masterlist v2'!G:G, "Not found")</f>
        <v>Sanyam Agrawal</v>
      </c>
      <c r="D349" s="233" t="str">
        <f>_xlfn.XLOOKUP(B349, 'Component Masterlist v2'!A:A, 'Component Masterlist v2'!E:E, "Not found")</f>
        <v>Fahad Tasleem</v>
      </c>
    </row>
    <row r="350" spans="1:4">
      <c r="A350" s="226" t="s">
        <v>2442</v>
      </c>
      <c r="B350" s="227" t="s">
        <v>88</v>
      </c>
      <c r="C350" s="233" t="str">
        <f>_xlfn.XLOOKUP(B350, 'Component Masterlist v2'!A:A, 'Component Masterlist v2'!G:G, "Not found")</f>
        <v>Ved Singh</v>
      </c>
      <c r="D350" s="233" t="str">
        <f>_xlfn.XLOOKUP(B350, 'Component Masterlist v2'!A:A, 'Component Masterlist v2'!E:E, "Not found")</f>
        <v>Karan Jeet Singh</v>
      </c>
    </row>
    <row r="351" spans="1:4">
      <c r="A351" s="226" t="s">
        <v>2443</v>
      </c>
      <c r="B351" s="227" t="s">
        <v>40</v>
      </c>
      <c r="C351" s="233" t="str">
        <f>_xlfn.XLOOKUP(B351, 'Component Masterlist v2'!A:A, 'Component Masterlist v2'!G:G, "Not found")</f>
        <v>Santosh Golecha</v>
      </c>
      <c r="D351" s="233" t="str">
        <f>_xlfn.XLOOKUP(B351, 'Component Masterlist v2'!A:A, 'Component Masterlist v2'!E:E, "Not found")</f>
        <v>Ankur Agarwal</v>
      </c>
    </row>
    <row r="352" spans="1:4">
      <c r="A352" s="226" t="s">
        <v>2444</v>
      </c>
      <c r="B352" s="227" t="s">
        <v>40</v>
      </c>
      <c r="C352" s="233" t="str">
        <f>_xlfn.XLOOKUP(B352, 'Component Masterlist v2'!A:A, 'Component Masterlist v2'!G:G, "Not found")</f>
        <v>Santosh Golecha</v>
      </c>
      <c r="D352" s="233" t="str">
        <f>_xlfn.XLOOKUP(B352, 'Component Masterlist v2'!A:A, 'Component Masterlist v2'!E:E, "Not found")</f>
        <v>Ankur Agarwal</v>
      </c>
    </row>
    <row r="353" spans="1:4">
      <c r="A353" s="226" t="s">
        <v>2445</v>
      </c>
      <c r="B353" s="227" t="s">
        <v>47</v>
      </c>
      <c r="C353" s="233" t="str">
        <f>_xlfn.XLOOKUP(B353, 'Component Masterlist v2'!A:A, 'Component Masterlist v2'!G:G, "Not found")</f>
        <v>Sanyam Agrawal</v>
      </c>
      <c r="D353" s="233" t="str">
        <f>_xlfn.XLOOKUP(B353, 'Component Masterlist v2'!A:A, 'Component Masterlist v2'!E:E, "Not found")</f>
        <v>Anirudh Agarwal</v>
      </c>
    </row>
    <row r="354" spans="1:4">
      <c r="A354" s="226" t="s">
        <v>2446</v>
      </c>
      <c r="B354" s="227" t="s">
        <v>40</v>
      </c>
      <c r="C354" s="233" t="str">
        <f>_xlfn.XLOOKUP(B354, 'Component Masterlist v2'!A:A, 'Component Masterlist v2'!G:G, "Not found")</f>
        <v>Santosh Golecha</v>
      </c>
      <c r="D354" s="233" t="str">
        <f>_xlfn.XLOOKUP(B354, 'Component Masterlist v2'!A:A, 'Component Masterlist v2'!E:E, "Not found")</f>
        <v>Ankur Agarwal</v>
      </c>
    </row>
    <row r="355" spans="1:4">
      <c r="A355" s="226" t="s">
        <v>2447</v>
      </c>
      <c r="B355" s="227" t="s">
        <v>49</v>
      </c>
      <c r="C355" s="233" t="str">
        <f>_xlfn.XLOOKUP(B355, 'Component Masterlist v2'!A:A, 'Component Masterlist v2'!G:G, "Not found")</f>
        <v>Sanyam Agrawal</v>
      </c>
      <c r="D355" s="233" t="str">
        <f>_xlfn.XLOOKUP(B355, 'Component Masterlist v2'!A:A, 'Component Masterlist v2'!E:E, "Not found")</f>
        <v>Fahad Tasleem</v>
      </c>
    </row>
    <row r="356" spans="1:4">
      <c r="A356" s="226" t="s">
        <v>2448</v>
      </c>
      <c r="B356" s="227" t="s">
        <v>42</v>
      </c>
      <c r="C356" s="233" t="str">
        <f>_xlfn.XLOOKUP(B356, 'Component Masterlist v2'!A:A, 'Component Masterlist v2'!G:G, "Not found")</f>
        <v>Santosh Golecha</v>
      </c>
      <c r="D356" s="233" t="str">
        <f>_xlfn.XLOOKUP(B356, 'Component Masterlist v2'!A:A, 'Component Masterlist v2'!E:E, "Not found")</f>
        <v>Santosh Golecha</v>
      </c>
    </row>
    <row r="357" spans="1:4">
      <c r="A357" s="226" t="s">
        <v>2449</v>
      </c>
      <c r="B357" s="227" t="s">
        <v>49</v>
      </c>
      <c r="C357" s="233" t="str">
        <f>_xlfn.XLOOKUP(B357, 'Component Masterlist v2'!A:A, 'Component Masterlist v2'!G:G, "Not found")</f>
        <v>Sanyam Agrawal</v>
      </c>
      <c r="D357" s="233" t="str">
        <f>_xlfn.XLOOKUP(B357, 'Component Masterlist v2'!A:A, 'Component Masterlist v2'!E:E, "Not found")</f>
        <v>Fahad Tasleem</v>
      </c>
    </row>
    <row r="358" spans="1:4">
      <c r="A358" s="226" t="s">
        <v>2450</v>
      </c>
      <c r="B358" s="227" t="s">
        <v>54</v>
      </c>
      <c r="C358" s="233" t="str">
        <f>_xlfn.XLOOKUP(B358, 'Component Masterlist v2'!A:A, 'Component Masterlist v2'!G:G, "Not found")</f>
        <v>Sanyam Agrawal</v>
      </c>
      <c r="D358" s="233" t="str">
        <f>_xlfn.XLOOKUP(B358, 'Component Masterlist v2'!A:A, 'Component Masterlist v2'!E:E, "Not found")</f>
        <v>Prashant Gupta, Vraj Solanki</v>
      </c>
    </row>
    <row r="359" spans="1:4">
      <c r="A359" s="226" t="s">
        <v>2451</v>
      </c>
      <c r="B359" s="227" t="s">
        <v>84</v>
      </c>
      <c r="C359" s="233" t="str">
        <f>_xlfn.XLOOKUP(B359, 'Component Masterlist v2'!A:A, 'Component Masterlist v2'!G:G, "Not found")</f>
        <v>Ved Singh</v>
      </c>
      <c r="D359" s="233" t="str">
        <f>_xlfn.XLOOKUP(B359, 'Component Masterlist v2'!A:A, 'Component Masterlist v2'!E:E, "Not found")</f>
        <v>Damodara Reddy</v>
      </c>
    </row>
    <row r="360" spans="1:4">
      <c r="A360" s="226" t="s">
        <v>2452</v>
      </c>
      <c r="B360" s="227" t="s">
        <v>92</v>
      </c>
      <c r="C360" s="233" t="str">
        <f>_xlfn.XLOOKUP(B360, 'Component Masterlist v2'!A:A, 'Component Masterlist v2'!G:G, "Not found")</f>
        <v>Ved Singh</v>
      </c>
      <c r="D360" s="233" t="str">
        <f>_xlfn.XLOOKUP(B360, 'Component Masterlist v2'!A:A, 'Component Masterlist v2'!E:E, "Not found")</f>
        <v>Ketan Dikshit</v>
      </c>
    </row>
    <row r="361" spans="1:4">
      <c r="A361" s="226" t="s">
        <v>2453</v>
      </c>
      <c r="B361" s="227" t="s">
        <v>49</v>
      </c>
      <c r="C361" s="233" t="str">
        <f>_xlfn.XLOOKUP(B361, 'Component Masterlist v2'!A:A, 'Component Masterlist v2'!G:G, "Not found")</f>
        <v>Sanyam Agrawal</v>
      </c>
      <c r="D361" s="233" t="str">
        <f>_xlfn.XLOOKUP(B361, 'Component Masterlist v2'!A:A, 'Component Masterlist v2'!E:E, "Not found")</f>
        <v>Fahad Tasleem</v>
      </c>
    </row>
    <row r="362" spans="1:4">
      <c r="A362" s="226" t="s">
        <v>2454</v>
      </c>
      <c r="B362" s="227" t="s">
        <v>82</v>
      </c>
      <c r="C362" s="233" t="str">
        <f>_xlfn.XLOOKUP(B362, 'Component Masterlist v2'!A:A, 'Component Masterlist v2'!G:G, "Not found")</f>
        <v>Ved Singh</v>
      </c>
      <c r="D362" s="233" t="str">
        <f>_xlfn.XLOOKUP(B362, 'Component Masterlist v2'!A:A, 'Component Masterlist v2'!E:E, "Not found")</f>
        <v>Arun Gangadhar</v>
      </c>
    </row>
    <row r="363" spans="1:4">
      <c r="A363" s="226" t="s">
        <v>2455</v>
      </c>
      <c r="B363" s="227" t="s">
        <v>92</v>
      </c>
      <c r="C363" s="233" t="str">
        <f>_xlfn.XLOOKUP(B363, 'Component Masterlist v2'!A:A, 'Component Masterlist v2'!G:G, "Not found")</f>
        <v>Ved Singh</v>
      </c>
      <c r="D363" s="233" t="str">
        <f>_xlfn.XLOOKUP(B363, 'Component Masterlist v2'!A:A, 'Component Masterlist v2'!E:E, "Not found")</f>
        <v>Ketan Dikshit</v>
      </c>
    </row>
    <row r="364" spans="1:4">
      <c r="A364" s="226" t="s">
        <v>2456</v>
      </c>
      <c r="B364" s="227" t="s">
        <v>40</v>
      </c>
      <c r="C364" s="233" t="str">
        <f>_xlfn.XLOOKUP(B364, 'Component Masterlist v2'!A:A, 'Component Masterlist v2'!G:G, "Not found")</f>
        <v>Santosh Golecha</v>
      </c>
      <c r="D364" s="233" t="str">
        <f>_xlfn.XLOOKUP(B364, 'Component Masterlist v2'!A:A, 'Component Masterlist v2'!E:E, "Not found")</f>
        <v>Ankur Agarwal</v>
      </c>
    </row>
    <row r="365" spans="1:4">
      <c r="A365" s="226" t="s">
        <v>2457</v>
      </c>
      <c r="B365" s="227" t="s">
        <v>49</v>
      </c>
      <c r="C365" s="233" t="str">
        <f>_xlfn.XLOOKUP(B365, 'Component Masterlist v2'!A:A, 'Component Masterlist v2'!G:G, "Not found")</f>
        <v>Sanyam Agrawal</v>
      </c>
      <c r="D365" s="233" t="str">
        <f>_xlfn.XLOOKUP(B365, 'Component Masterlist v2'!A:A, 'Component Masterlist v2'!E:E, "Not found")</f>
        <v>Fahad Tasleem</v>
      </c>
    </row>
    <row r="366" spans="1:4">
      <c r="A366" s="226" t="s">
        <v>2458</v>
      </c>
      <c r="B366" s="227" t="s">
        <v>82</v>
      </c>
      <c r="C366" s="233" t="str">
        <f>_xlfn.XLOOKUP(B366, 'Component Masterlist v2'!A:A, 'Component Masterlist v2'!G:G, "Not found")</f>
        <v>Ved Singh</v>
      </c>
      <c r="D366" s="233" t="str">
        <f>_xlfn.XLOOKUP(B366, 'Component Masterlist v2'!A:A, 'Component Masterlist v2'!E:E, "Not found")</f>
        <v>Arun Gangadhar</v>
      </c>
    </row>
    <row r="367" spans="1:4">
      <c r="A367" s="226" t="s">
        <v>2459</v>
      </c>
      <c r="B367" s="227" t="s">
        <v>82</v>
      </c>
      <c r="C367" s="233" t="str">
        <f>_xlfn.XLOOKUP(B367, 'Component Masterlist v2'!A:A, 'Component Masterlist v2'!G:G, "Not found")</f>
        <v>Ved Singh</v>
      </c>
      <c r="D367" s="233" t="str">
        <f>_xlfn.XLOOKUP(B367, 'Component Masterlist v2'!A:A, 'Component Masterlist v2'!E:E, "Not found")</f>
        <v>Arun Gangadhar</v>
      </c>
    </row>
    <row r="368" spans="1:4">
      <c r="A368" s="226" t="s">
        <v>2460</v>
      </c>
      <c r="B368" s="227" t="s">
        <v>40</v>
      </c>
      <c r="C368" s="233" t="str">
        <f>_xlfn.XLOOKUP(B368, 'Component Masterlist v2'!A:A, 'Component Masterlist v2'!G:G, "Not found")</f>
        <v>Santosh Golecha</v>
      </c>
      <c r="D368" s="233" t="str">
        <f>_xlfn.XLOOKUP(B368, 'Component Masterlist v2'!A:A, 'Component Masterlist v2'!E:E, "Not found")</f>
        <v>Ankur Agarwal</v>
      </c>
    </row>
    <row r="369" spans="1:4">
      <c r="A369" s="226" t="s">
        <v>2461</v>
      </c>
      <c r="B369" s="227" t="s">
        <v>54</v>
      </c>
      <c r="C369" s="233" t="str">
        <f>_xlfn.XLOOKUP(B369, 'Component Masterlist v2'!A:A, 'Component Masterlist v2'!G:G, "Not found")</f>
        <v>Sanyam Agrawal</v>
      </c>
      <c r="D369" s="233" t="str">
        <f>_xlfn.XLOOKUP(B369, 'Component Masterlist v2'!A:A, 'Component Masterlist v2'!E:E, "Not found")</f>
        <v>Prashant Gupta, Vraj Solanki</v>
      </c>
    </row>
    <row r="370" spans="1:4">
      <c r="A370" s="226" t="s">
        <v>2462</v>
      </c>
      <c r="B370" s="227" t="s">
        <v>82</v>
      </c>
      <c r="C370" s="233" t="str">
        <f>_xlfn.XLOOKUP(B370, 'Component Masterlist v2'!A:A, 'Component Masterlist v2'!G:G, "Not found")</f>
        <v>Ved Singh</v>
      </c>
      <c r="D370" s="233" t="str">
        <f>_xlfn.XLOOKUP(B370, 'Component Masterlist v2'!A:A, 'Component Masterlist v2'!E:E, "Not found")</f>
        <v>Arun Gangadhar</v>
      </c>
    </row>
    <row r="371" spans="1:4">
      <c r="A371" s="226" t="s">
        <v>2463</v>
      </c>
      <c r="B371" s="227" t="s">
        <v>88</v>
      </c>
      <c r="C371" s="233" t="str">
        <f>_xlfn.XLOOKUP(B371, 'Component Masterlist v2'!A:A, 'Component Masterlist v2'!G:G, "Not found")</f>
        <v>Ved Singh</v>
      </c>
      <c r="D371" s="233" t="str">
        <f>_xlfn.XLOOKUP(B371, 'Component Masterlist v2'!A:A, 'Component Masterlist v2'!E:E, "Not found")</f>
        <v>Karan Jeet Singh</v>
      </c>
    </row>
    <row r="372" spans="1:4">
      <c r="A372" s="226" t="s">
        <v>2464</v>
      </c>
      <c r="B372" s="227" t="s">
        <v>28</v>
      </c>
      <c r="C372" s="233" t="str">
        <f>_xlfn.XLOOKUP(B372, 'Component Masterlist v2'!A:A, 'Component Masterlist v2'!G:G, "Not found")</f>
        <v>Raghu Edalur</v>
      </c>
      <c r="D372" s="233" t="str">
        <f>_xlfn.XLOOKUP(B372, 'Component Masterlist v2'!A:A, 'Component Masterlist v2'!E:E, "Not found")</f>
        <v>Parul Jain</v>
      </c>
    </row>
    <row r="373" spans="1:4">
      <c r="A373" s="226" t="s">
        <v>2465</v>
      </c>
      <c r="B373" s="227" t="s">
        <v>47</v>
      </c>
      <c r="C373" s="233" t="str">
        <f>_xlfn.XLOOKUP(B373, 'Component Masterlist v2'!A:A, 'Component Masterlist v2'!G:G, "Not found")</f>
        <v>Sanyam Agrawal</v>
      </c>
      <c r="D373" s="233" t="str">
        <f>_xlfn.XLOOKUP(B373, 'Component Masterlist v2'!A:A, 'Component Masterlist v2'!E:E, "Not found")</f>
        <v>Anirudh Agarwal</v>
      </c>
    </row>
    <row r="374" spans="1:4">
      <c r="A374" s="226" t="s">
        <v>2466</v>
      </c>
      <c r="B374" s="227" t="s">
        <v>47</v>
      </c>
      <c r="C374" s="233" t="str">
        <f>_xlfn.XLOOKUP(B374, 'Component Masterlist v2'!A:A, 'Component Masterlist v2'!G:G, "Not found")</f>
        <v>Sanyam Agrawal</v>
      </c>
      <c r="D374" s="233" t="str">
        <f>_xlfn.XLOOKUP(B374, 'Component Masterlist v2'!A:A, 'Component Masterlist v2'!E:E, "Not found")</f>
        <v>Anirudh Agarwal</v>
      </c>
    </row>
    <row r="375" spans="1:4">
      <c r="A375" s="226" t="s">
        <v>2467</v>
      </c>
      <c r="B375" s="227" t="s">
        <v>40</v>
      </c>
      <c r="C375" s="233" t="str">
        <f>_xlfn.XLOOKUP(B375, 'Component Masterlist v2'!A:A, 'Component Masterlist v2'!G:G, "Not found")</f>
        <v>Santosh Golecha</v>
      </c>
      <c r="D375" s="233" t="str">
        <f>_xlfn.XLOOKUP(B375, 'Component Masterlist v2'!A:A, 'Component Masterlist v2'!E:E, "Not found")</f>
        <v>Ankur Agarwal</v>
      </c>
    </row>
    <row r="376" spans="1:4">
      <c r="A376" s="226" t="s">
        <v>2468</v>
      </c>
      <c r="B376" s="227" t="s">
        <v>40</v>
      </c>
      <c r="C376" s="233" t="str">
        <f>_xlfn.XLOOKUP(B376, 'Component Masterlist v2'!A:A, 'Component Masterlist v2'!G:G, "Not found")</f>
        <v>Santosh Golecha</v>
      </c>
      <c r="D376" s="233" t="str">
        <f>_xlfn.XLOOKUP(B376, 'Component Masterlist v2'!A:A, 'Component Masterlist v2'!E:E, "Not found")</f>
        <v>Ankur Agarwal</v>
      </c>
    </row>
    <row r="377" spans="1:4">
      <c r="A377" s="226" t="s">
        <v>2469</v>
      </c>
      <c r="B377" s="227" t="s">
        <v>82</v>
      </c>
      <c r="C377" s="233" t="str">
        <f>_xlfn.XLOOKUP(B377, 'Component Masterlist v2'!A:A, 'Component Masterlist v2'!G:G, "Not found")</f>
        <v>Ved Singh</v>
      </c>
      <c r="D377" s="233" t="str">
        <f>_xlfn.XLOOKUP(B377, 'Component Masterlist v2'!A:A, 'Component Masterlist v2'!E:E, "Not found")</f>
        <v>Arun Gangadhar</v>
      </c>
    </row>
    <row r="378" spans="1:4">
      <c r="A378" s="226" t="s">
        <v>2470</v>
      </c>
      <c r="B378" s="227" t="s">
        <v>47</v>
      </c>
      <c r="C378" s="233" t="str">
        <f>_xlfn.XLOOKUP(B378, 'Component Masterlist v2'!A:A, 'Component Masterlist v2'!G:G, "Not found")</f>
        <v>Sanyam Agrawal</v>
      </c>
      <c r="D378" s="233" t="str">
        <f>_xlfn.XLOOKUP(B378, 'Component Masterlist v2'!A:A, 'Component Masterlist v2'!E:E, "Not found")</f>
        <v>Anirudh Agarwal</v>
      </c>
    </row>
    <row r="379" spans="1:4">
      <c r="A379" s="226" t="s">
        <v>2471</v>
      </c>
      <c r="B379" s="227" t="s">
        <v>47</v>
      </c>
      <c r="C379" s="233" t="str">
        <f>_xlfn.XLOOKUP(B379, 'Component Masterlist v2'!A:A, 'Component Masterlist v2'!G:G, "Not found")</f>
        <v>Sanyam Agrawal</v>
      </c>
      <c r="D379" s="233" t="str">
        <f>_xlfn.XLOOKUP(B379, 'Component Masterlist v2'!A:A, 'Component Masterlist v2'!E:E, "Not found")</f>
        <v>Anirudh Agarwal</v>
      </c>
    </row>
    <row r="380" spans="1:4">
      <c r="A380" s="226" t="s">
        <v>2472</v>
      </c>
      <c r="B380" s="227" t="s">
        <v>40</v>
      </c>
      <c r="C380" s="233" t="str">
        <f>_xlfn.XLOOKUP(B380, 'Component Masterlist v2'!A:A, 'Component Masterlist v2'!G:G, "Not found")</f>
        <v>Santosh Golecha</v>
      </c>
      <c r="D380" s="233" t="str">
        <f>_xlfn.XLOOKUP(B380, 'Component Masterlist v2'!A:A, 'Component Masterlist v2'!E:E, "Not found")</f>
        <v>Ankur Agarwal</v>
      </c>
    </row>
    <row r="381" spans="1:4">
      <c r="A381" s="226" t="s">
        <v>2473</v>
      </c>
      <c r="B381" s="227" t="s">
        <v>40</v>
      </c>
      <c r="C381" s="233" t="str">
        <f>_xlfn.XLOOKUP(B381, 'Component Masterlist v2'!A:A, 'Component Masterlist v2'!G:G, "Not found")</f>
        <v>Santosh Golecha</v>
      </c>
      <c r="D381" s="233" t="str">
        <f>_xlfn.XLOOKUP(B381, 'Component Masterlist v2'!A:A, 'Component Masterlist v2'!E:E, "Not found")</f>
        <v>Ankur Agarwal</v>
      </c>
    </row>
    <row r="382" spans="1:4">
      <c r="A382" s="226" t="s">
        <v>2474</v>
      </c>
      <c r="B382" s="227" t="s">
        <v>92</v>
      </c>
      <c r="C382" s="233" t="str">
        <f>_xlfn.XLOOKUP(B382, 'Component Masterlist v2'!A:A, 'Component Masterlist v2'!G:G, "Not found")</f>
        <v>Ved Singh</v>
      </c>
      <c r="D382" s="233" t="str">
        <f>_xlfn.XLOOKUP(B382, 'Component Masterlist v2'!A:A, 'Component Masterlist v2'!E:E, "Not found")</f>
        <v>Ketan Dikshit</v>
      </c>
    </row>
    <row r="383" spans="1:4">
      <c r="A383" s="226" t="s">
        <v>2475</v>
      </c>
      <c r="B383" s="227" t="s">
        <v>47</v>
      </c>
      <c r="C383" s="233" t="str">
        <f>_xlfn.XLOOKUP(B383, 'Component Masterlist v2'!A:A, 'Component Masterlist v2'!G:G, "Not found")</f>
        <v>Sanyam Agrawal</v>
      </c>
      <c r="D383" s="233" t="str">
        <f>_xlfn.XLOOKUP(B383, 'Component Masterlist v2'!A:A, 'Component Masterlist v2'!E:E, "Not found")</f>
        <v>Anirudh Agarwal</v>
      </c>
    </row>
    <row r="384" spans="1:4">
      <c r="A384" s="226" t="s">
        <v>2476</v>
      </c>
      <c r="B384" s="227" t="s">
        <v>84</v>
      </c>
      <c r="C384" s="233" t="str">
        <f>_xlfn.XLOOKUP(B384, 'Component Masterlist v2'!A:A, 'Component Masterlist v2'!G:G, "Not found")</f>
        <v>Ved Singh</v>
      </c>
      <c r="D384" s="233" t="str">
        <f>_xlfn.XLOOKUP(B384, 'Component Masterlist v2'!A:A, 'Component Masterlist v2'!E:E, "Not found")</f>
        <v>Damodara Reddy</v>
      </c>
    </row>
    <row r="385" spans="1:4">
      <c r="A385" s="226" t="s">
        <v>2477</v>
      </c>
      <c r="B385" s="227" t="s">
        <v>47</v>
      </c>
      <c r="C385" s="233" t="str">
        <f>_xlfn.XLOOKUP(B385, 'Component Masterlist v2'!A:A, 'Component Masterlist v2'!G:G, "Not found")</f>
        <v>Sanyam Agrawal</v>
      </c>
      <c r="D385" s="233" t="str">
        <f>_xlfn.XLOOKUP(B385, 'Component Masterlist v2'!A:A, 'Component Masterlist v2'!E:E, "Not found")</f>
        <v>Anirudh Agarwal</v>
      </c>
    </row>
    <row r="386" spans="1:4">
      <c r="A386" s="226" t="s">
        <v>2478</v>
      </c>
      <c r="B386" s="227" t="s">
        <v>54</v>
      </c>
      <c r="C386" s="233" t="str">
        <f>_xlfn.XLOOKUP(B386, 'Component Masterlist v2'!A:A, 'Component Masterlist v2'!G:G, "Not found")</f>
        <v>Sanyam Agrawal</v>
      </c>
      <c r="D386" s="233" t="str">
        <f>_xlfn.XLOOKUP(B386, 'Component Masterlist v2'!A:A, 'Component Masterlist v2'!E:E, "Not found")</f>
        <v>Prashant Gupta, Vraj Solanki</v>
      </c>
    </row>
    <row r="387" spans="1:4">
      <c r="A387" s="226" t="s">
        <v>2479</v>
      </c>
      <c r="B387" s="227" t="s">
        <v>54</v>
      </c>
      <c r="C387" s="233" t="str">
        <f>_xlfn.XLOOKUP(B387, 'Component Masterlist v2'!A:A, 'Component Masterlist v2'!G:G, "Not found")</f>
        <v>Sanyam Agrawal</v>
      </c>
      <c r="D387" s="233" t="str">
        <f>_xlfn.XLOOKUP(B387, 'Component Masterlist v2'!A:A, 'Component Masterlist v2'!E:E, "Not found")</f>
        <v>Prashant Gupta, Vraj Solanki</v>
      </c>
    </row>
    <row r="388" spans="1:4">
      <c r="A388" s="226" t="s">
        <v>2480</v>
      </c>
      <c r="B388" s="227" t="s">
        <v>84</v>
      </c>
      <c r="C388" s="233" t="str">
        <f>_xlfn.XLOOKUP(B388, 'Component Masterlist v2'!A:A, 'Component Masterlist v2'!G:G, "Not found")</f>
        <v>Ved Singh</v>
      </c>
      <c r="D388" s="233" t="str">
        <f>_xlfn.XLOOKUP(B388, 'Component Masterlist v2'!A:A, 'Component Masterlist v2'!E:E, "Not found")</f>
        <v>Damodara Reddy</v>
      </c>
    </row>
    <row r="389" spans="1:4">
      <c r="A389" s="226" t="s">
        <v>2481</v>
      </c>
      <c r="B389" s="227" t="s">
        <v>84</v>
      </c>
      <c r="C389" s="233" t="str">
        <f>_xlfn.XLOOKUP(B389, 'Component Masterlist v2'!A:A, 'Component Masterlist v2'!G:G, "Not found")</f>
        <v>Ved Singh</v>
      </c>
      <c r="D389" s="233" t="str">
        <f>_xlfn.XLOOKUP(B389, 'Component Masterlist v2'!A:A, 'Component Masterlist v2'!E:E, "Not found")</f>
        <v>Damodara Reddy</v>
      </c>
    </row>
    <row r="390" spans="1:4">
      <c r="A390" s="226" t="s">
        <v>2482</v>
      </c>
      <c r="B390" s="227" t="s">
        <v>40</v>
      </c>
      <c r="C390" s="233" t="str">
        <f>_xlfn.XLOOKUP(B390, 'Component Masterlist v2'!A:A, 'Component Masterlist v2'!G:G, "Not found")</f>
        <v>Santosh Golecha</v>
      </c>
      <c r="D390" s="233" t="str">
        <f>_xlfn.XLOOKUP(B390, 'Component Masterlist v2'!A:A, 'Component Masterlist v2'!E:E, "Not found")</f>
        <v>Ankur Agarwal</v>
      </c>
    </row>
    <row r="391" spans="1:4">
      <c r="A391" s="226" t="s">
        <v>2483</v>
      </c>
      <c r="B391" s="227" t="s">
        <v>91</v>
      </c>
      <c r="C391" s="233" t="str">
        <f>_xlfn.XLOOKUP(B391, 'Component Masterlist v2'!A:A, 'Component Masterlist v2'!G:G, "Not found")</f>
        <v>Ved Singh</v>
      </c>
      <c r="D391" s="233" t="str">
        <f>_xlfn.XLOOKUP(B391, 'Component Masterlist v2'!A:A, 'Component Masterlist v2'!E:E, "Not found")</f>
        <v>Ketan Dikshit</v>
      </c>
    </row>
    <row r="392" spans="1:4">
      <c r="A392" s="226" t="s">
        <v>2484</v>
      </c>
      <c r="B392" s="227" t="s">
        <v>85</v>
      </c>
      <c r="C392" s="233" t="str">
        <f>_xlfn.XLOOKUP(B392, 'Component Masterlist v2'!A:A, 'Component Masterlist v2'!G:G, "Not found")</f>
        <v>Ved Singh</v>
      </c>
      <c r="D392" s="233" t="str">
        <f>_xlfn.XLOOKUP(B392, 'Component Masterlist v2'!A:A, 'Component Masterlist v2'!E:E, "Not found")</f>
        <v>Damodara Reddy</v>
      </c>
    </row>
    <row r="393" spans="1:4">
      <c r="A393" s="226" t="s">
        <v>2485</v>
      </c>
      <c r="B393" s="227" t="s">
        <v>91</v>
      </c>
      <c r="C393" s="233" t="str">
        <f>_xlfn.XLOOKUP(B393, 'Component Masterlist v2'!A:A, 'Component Masterlist v2'!G:G, "Not found")</f>
        <v>Ved Singh</v>
      </c>
      <c r="D393" s="233" t="str">
        <f>_xlfn.XLOOKUP(B393, 'Component Masterlist v2'!A:A, 'Component Masterlist v2'!E:E, "Not found")</f>
        <v>Ketan Dikshit</v>
      </c>
    </row>
    <row r="394" spans="1:4">
      <c r="A394" s="226" t="s">
        <v>2486</v>
      </c>
      <c r="B394" s="227" t="s">
        <v>28</v>
      </c>
      <c r="C394" s="233" t="str">
        <f>_xlfn.XLOOKUP(B394, 'Component Masterlist v2'!A:A, 'Component Masterlist v2'!G:G, "Not found")</f>
        <v>Raghu Edalur</v>
      </c>
      <c r="D394" s="233" t="str">
        <f>_xlfn.XLOOKUP(B394, 'Component Masterlist v2'!A:A, 'Component Masterlist v2'!E:E, "Not found")</f>
        <v>Parul Jain</v>
      </c>
    </row>
    <row r="395" spans="1:4">
      <c r="A395" s="226" t="s">
        <v>2487</v>
      </c>
      <c r="B395" s="227" t="s">
        <v>54</v>
      </c>
      <c r="C395" s="233" t="str">
        <f>_xlfn.XLOOKUP(B395, 'Component Masterlist v2'!A:A, 'Component Masterlist v2'!G:G, "Not found")</f>
        <v>Sanyam Agrawal</v>
      </c>
      <c r="D395" s="233" t="str">
        <f>_xlfn.XLOOKUP(B395, 'Component Masterlist v2'!A:A, 'Component Masterlist v2'!E:E, "Not found")</f>
        <v>Prashant Gupta, Vraj Solanki</v>
      </c>
    </row>
    <row r="396" spans="1:4">
      <c r="A396" s="226" t="s">
        <v>2488</v>
      </c>
      <c r="B396" s="227" t="s">
        <v>40</v>
      </c>
      <c r="C396" s="233" t="str">
        <f>_xlfn.XLOOKUP(B396, 'Component Masterlist v2'!A:A, 'Component Masterlist v2'!G:G, "Not found")</f>
        <v>Santosh Golecha</v>
      </c>
      <c r="D396" s="233" t="str">
        <f>_xlfn.XLOOKUP(B396, 'Component Masterlist v2'!A:A, 'Component Masterlist v2'!E:E, "Not found")</f>
        <v>Ankur Agarwal</v>
      </c>
    </row>
    <row r="397" spans="1:4">
      <c r="A397" s="226" t="s">
        <v>2489</v>
      </c>
      <c r="B397" s="227" t="s">
        <v>54</v>
      </c>
      <c r="C397" s="233" t="str">
        <f>_xlfn.XLOOKUP(B397, 'Component Masterlist v2'!A:A, 'Component Masterlist v2'!G:G, "Not found")</f>
        <v>Sanyam Agrawal</v>
      </c>
      <c r="D397" s="233" t="str">
        <f>_xlfn.XLOOKUP(B397, 'Component Masterlist v2'!A:A, 'Component Masterlist v2'!E:E, "Not found")</f>
        <v>Prashant Gupta, Vraj Solanki</v>
      </c>
    </row>
    <row r="398" spans="1:4">
      <c r="A398" s="226" t="s">
        <v>2490</v>
      </c>
      <c r="B398" s="227" t="s">
        <v>40</v>
      </c>
      <c r="C398" s="233" t="str">
        <f>_xlfn.XLOOKUP(B398, 'Component Masterlist v2'!A:A, 'Component Masterlist v2'!G:G, "Not found")</f>
        <v>Santosh Golecha</v>
      </c>
      <c r="D398" s="233" t="str">
        <f>_xlfn.XLOOKUP(B398, 'Component Masterlist v2'!A:A, 'Component Masterlist v2'!E:E, "Not found")</f>
        <v>Ankur Agarwal</v>
      </c>
    </row>
    <row r="399" spans="1:4">
      <c r="A399" s="226" t="s">
        <v>2491</v>
      </c>
      <c r="B399" s="227" t="s">
        <v>84</v>
      </c>
      <c r="C399" s="233" t="str">
        <f>_xlfn.XLOOKUP(B399, 'Component Masterlist v2'!A:A, 'Component Masterlist v2'!G:G, "Not found")</f>
        <v>Ved Singh</v>
      </c>
      <c r="D399" s="233" t="str">
        <f>_xlfn.XLOOKUP(B399, 'Component Masterlist v2'!A:A, 'Component Masterlist v2'!E:E, "Not found")</f>
        <v>Damodara Reddy</v>
      </c>
    </row>
    <row r="400" spans="1:4">
      <c r="A400" s="226" t="s">
        <v>2492</v>
      </c>
      <c r="B400" s="227" t="s">
        <v>88</v>
      </c>
      <c r="C400" s="233" t="str">
        <f>_xlfn.XLOOKUP(B400, 'Component Masterlist v2'!A:A, 'Component Masterlist v2'!G:G, "Not found")</f>
        <v>Ved Singh</v>
      </c>
      <c r="D400" s="233" t="str">
        <f>_xlfn.XLOOKUP(B400, 'Component Masterlist v2'!A:A, 'Component Masterlist v2'!E:E, "Not found")</f>
        <v>Karan Jeet Singh</v>
      </c>
    </row>
    <row r="401" spans="1:4">
      <c r="A401" s="226" t="s">
        <v>2493</v>
      </c>
      <c r="B401" s="227" t="s">
        <v>40</v>
      </c>
      <c r="C401" s="233" t="str">
        <f>_xlfn.XLOOKUP(B401, 'Component Masterlist v2'!A:A, 'Component Masterlist v2'!G:G, "Not found")</f>
        <v>Santosh Golecha</v>
      </c>
      <c r="D401" s="233" t="str">
        <f>_xlfn.XLOOKUP(B401, 'Component Masterlist v2'!A:A, 'Component Masterlist v2'!E:E, "Not found")</f>
        <v>Ankur Agarwal</v>
      </c>
    </row>
    <row r="402" spans="1:4">
      <c r="A402" s="226" t="s">
        <v>2494</v>
      </c>
      <c r="B402" s="227" t="s">
        <v>82</v>
      </c>
      <c r="C402" s="233" t="str">
        <f>_xlfn.XLOOKUP(B402, 'Component Masterlist v2'!A:A, 'Component Masterlist v2'!G:G, "Not found")</f>
        <v>Ved Singh</v>
      </c>
      <c r="D402" s="233" t="str">
        <f>_xlfn.XLOOKUP(B402, 'Component Masterlist v2'!A:A, 'Component Masterlist v2'!E:E, "Not found")</f>
        <v>Arun Gangadhar</v>
      </c>
    </row>
    <row r="403" spans="1:4">
      <c r="A403" s="226" t="s">
        <v>2495</v>
      </c>
      <c r="B403" s="227" t="s">
        <v>47</v>
      </c>
      <c r="C403" s="233" t="str">
        <f>_xlfn.XLOOKUP(B403, 'Component Masterlist v2'!A:A, 'Component Masterlist v2'!G:G, "Not found")</f>
        <v>Sanyam Agrawal</v>
      </c>
      <c r="D403" s="233" t="str">
        <f>_xlfn.XLOOKUP(B403, 'Component Masterlist v2'!A:A, 'Component Masterlist v2'!E:E, "Not found")</f>
        <v>Anirudh Agarwal</v>
      </c>
    </row>
    <row r="404" spans="1:4">
      <c r="A404" s="226" t="s">
        <v>2496</v>
      </c>
      <c r="B404" s="227" t="s">
        <v>42</v>
      </c>
      <c r="C404" s="233" t="str">
        <f>_xlfn.XLOOKUP(B404, 'Component Masterlist v2'!A:A, 'Component Masterlist v2'!G:G, "Not found")</f>
        <v>Santosh Golecha</v>
      </c>
      <c r="D404" s="233" t="str">
        <f>_xlfn.XLOOKUP(B404, 'Component Masterlist v2'!A:A, 'Component Masterlist v2'!E:E, "Not found")</f>
        <v>Santosh Golecha</v>
      </c>
    </row>
    <row r="405" spans="1:4">
      <c r="A405" s="226" t="s">
        <v>2497</v>
      </c>
      <c r="B405" s="227" t="s">
        <v>40</v>
      </c>
      <c r="C405" s="233" t="str">
        <f>_xlfn.XLOOKUP(B405, 'Component Masterlist v2'!A:A, 'Component Masterlist v2'!G:G, "Not found")</f>
        <v>Santosh Golecha</v>
      </c>
      <c r="D405" s="233" t="str">
        <f>_xlfn.XLOOKUP(B405, 'Component Masterlist v2'!A:A, 'Component Masterlist v2'!E:E, "Not found")</f>
        <v>Ankur Agarwal</v>
      </c>
    </row>
    <row r="406" spans="1:4">
      <c r="A406" s="226" t="s">
        <v>2498</v>
      </c>
      <c r="B406" s="227" t="s">
        <v>82</v>
      </c>
      <c r="C406" s="233" t="str">
        <f>_xlfn.XLOOKUP(B406, 'Component Masterlist v2'!A:A, 'Component Masterlist v2'!G:G, "Not found")</f>
        <v>Ved Singh</v>
      </c>
      <c r="D406" s="233" t="str">
        <f>_xlfn.XLOOKUP(B406, 'Component Masterlist v2'!A:A, 'Component Masterlist v2'!E:E, "Not found")</f>
        <v>Arun Gangadhar</v>
      </c>
    </row>
    <row r="407" spans="1:4">
      <c r="A407" s="226" t="s">
        <v>2499</v>
      </c>
      <c r="B407" s="227" t="s">
        <v>40</v>
      </c>
      <c r="C407" s="233" t="str">
        <f>_xlfn.XLOOKUP(B407, 'Component Masterlist v2'!A:A, 'Component Masterlist v2'!G:G, "Not found")</f>
        <v>Santosh Golecha</v>
      </c>
      <c r="D407" s="233" t="str">
        <f>_xlfn.XLOOKUP(B407, 'Component Masterlist v2'!A:A, 'Component Masterlist v2'!E:E, "Not found")</f>
        <v>Ankur Agarwal</v>
      </c>
    </row>
    <row r="408" spans="1:4">
      <c r="A408" s="226" t="s">
        <v>2500</v>
      </c>
      <c r="B408" s="227" t="s">
        <v>42</v>
      </c>
      <c r="C408" s="233" t="str">
        <f>_xlfn.XLOOKUP(B408, 'Component Masterlist v2'!A:A, 'Component Masterlist v2'!G:G, "Not found")</f>
        <v>Santosh Golecha</v>
      </c>
      <c r="D408" s="233" t="str">
        <f>_xlfn.XLOOKUP(B408, 'Component Masterlist v2'!A:A, 'Component Masterlist v2'!E:E, "Not found")</f>
        <v>Santosh Golecha</v>
      </c>
    </row>
    <row r="409" spans="1:4">
      <c r="A409" s="226" t="s">
        <v>2501</v>
      </c>
      <c r="B409" s="227" t="s">
        <v>54</v>
      </c>
      <c r="C409" s="233" t="str">
        <f>_xlfn.XLOOKUP(B409, 'Component Masterlist v2'!A:A, 'Component Masterlist v2'!G:G, "Not found")</f>
        <v>Sanyam Agrawal</v>
      </c>
      <c r="D409" s="233" t="str">
        <f>_xlfn.XLOOKUP(B409, 'Component Masterlist v2'!A:A, 'Component Masterlist v2'!E:E, "Not found")</f>
        <v>Prashant Gupta, Vraj Solanki</v>
      </c>
    </row>
    <row r="410" spans="1:4">
      <c r="A410" s="226" t="s">
        <v>2502</v>
      </c>
      <c r="B410" s="227" t="s">
        <v>54</v>
      </c>
      <c r="C410" s="233" t="str">
        <f>_xlfn.XLOOKUP(B410, 'Component Masterlist v2'!A:A, 'Component Masterlist v2'!G:G, "Not found")</f>
        <v>Sanyam Agrawal</v>
      </c>
      <c r="D410" s="233" t="str">
        <f>_xlfn.XLOOKUP(B410, 'Component Masterlist v2'!A:A, 'Component Masterlist v2'!E:E, "Not found")</f>
        <v>Prashant Gupta, Vraj Solanki</v>
      </c>
    </row>
    <row r="411" spans="1:4">
      <c r="A411" s="226" t="s">
        <v>2503</v>
      </c>
      <c r="B411" s="227" t="s">
        <v>84</v>
      </c>
      <c r="C411" s="233" t="str">
        <f>_xlfn.XLOOKUP(B411, 'Component Masterlist v2'!A:A, 'Component Masterlist v2'!G:G, "Not found")</f>
        <v>Ved Singh</v>
      </c>
      <c r="D411" s="233" t="str">
        <f>_xlfn.XLOOKUP(B411, 'Component Masterlist v2'!A:A, 'Component Masterlist v2'!E:E, "Not found")</f>
        <v>Damodara Reddy</v>
      </c>
    </row>
    <row r="412" spans="1:4">
      <c r="A412" s="226" t="s">
        <v>2504</v>
      </c>
      <c r="B412" s="227" t="s">
        <v>51</v>
      </c>
      <c r="C412" s="233" t="str">
        <f>_xlfn.XLOOKUP(B412, 'Component Masterlist v2'!A:A, 'Component Masterlist v2'!G:G, "Not found")</f>
        <v>Sanyam Agrawal</v>
      </c>
      <c r="D412" s="233" t="str">
        <f>_xlfn.XLOOKUP(B412, 'Component Masterlist v2'!A:A, 'Component Masterlist v2'!E:E, "Not found")</f>
        <v>Fahad Tasleem</v>
      </c>
    </row>
    <row r="413" spans="1:4">
      <c r="A413" s="226" t="s">
        <v>2505</v>
      </c>
      <c r="B413" s="227" t="s">
        <v>54</v>
      </c>
      <c r="C413" s="233" t="str">
        <f>_xlfn.XLOOKUP(B413, 'Component Masterlist v2'!A:A, 'Component Masterlist v2'!G:G, "Not found")</f>
        <v>Sanyam Agrawal</v>
      </c>
      <c r="D413" s="233" t="str">
        <f>_xlfn.XLOOKUP(B413, 'Component Masterlist v2'!A:A, 'Component Masterlist v2'!E:E, "Not found")</f>
        <v>Prashant Gupta, Vraj Solanki</v>
      </c>
    </row>
    <row r="414" spans="1:4">
      <c r="A414" s="226" t="s">
        <v>2506</v>
      </c>
      <c r="B414" s="227" t="s">
        <v>47</v>
      </c>
      <c r="C414" s="233" t="str">
        <f>_xlfn.XLOOKUP(B414, 'Component Masterlist v2'!A:A, 'Component Masterlist v2'!G:G, "Not found")</f>
        <v>Sanyam Agrawal</v>
      </c>
      <c r="D414" s="233" t="str">
        <f>_xlfn.XLOOKUP(B414, 'Component Masterlist v2'!A:A, 'Component Masterlist v2'!E:E, "Not found")</f>
        <v>Anirudh Agarwal</v>
      </c>
    </row>
    <row r="415" spans="1:4">
      <c r="A415" s="226" t="s">
        <v>2507</v>
      </c>
      <c r="B415" s="227" t="s">
        <v>54</v>
      </c>
      <c r="C415" s="233" t="str">
        <f>_xlfn.XLOOKUP(B415, 'Component Masterlist v2'!A:A, 'Component Masterlist v2'!G:G, "Not found")</f>
        <v>Sanyam Agrawal</v>
      </c>
      <c r="D415" s="233" t="str">
        <f>_xlfn.XLOOKUP(B415, 'Component Masterlist v2'!A:A, 'Component Masterlist v2'!E:E, "Not found")</f>
        <v>Prashant Gupta, Vraj Solanki</v>
      </c>
    </row>
    <row r="416" spans="1:4">
      <c r="A416" s="226" t="s">
        <v>2508</v>
      </c>
      <c r="B416" s="227" t="s">
        <v>82</v>
      </c>
      <c r="C416" s="233" t="str">
        <f>_xlfn.XLOOKUP(B416, 'Component Masterlist v2'!A:A, 'Component Masterlist v2'!G:G, "Not found")</f>
        <v>Ved Singh</v>
      </c>
      <c r="D416" s="233" t="str">
        <f>_xlfn.XLOOKUP(B416, 'Component Masterlist v2'!A:A, 'Component Masterlist v2'!E:E, "Not found")</f>
        <v>Arun Gangadhar</v>
      </c>
    </row>
    <row r="417" spans="1:4">
      <c r="A417" s="226" t="s">
        <v>2509</v>
      </c>
      <c r="B417" s="227" t="s">
        <v>82</v>
      </c>
      <c r="C417" s="233" t="str">
        <f>_xlfn.XLOOKUP(B417, 'Component Masterlist v2'!A:A, 'Component Masterlist v2'!G:G, "Not found")</f>
        <v>Ved Singh</v>
      </c>
      <c r="D417" s="233" t="str">
        <f>_xlfn.XLOOKUP(B417, 'Component Masterlist v2'!A:A, 'Component Masterlist v2'!E:E, "Not found")</f>
        <v>Arun Gangadhar</v>
      </c>
    </row>
    <row r="418" spans="1:4">
      <c r="A418" s="226" t="s">
        <v>2510</v>
      </c>
      <c r="B418" s="227" t="s">
        <v>49</v>
      </c>
      <c r="C418" s="233" t="str">
        <f>_xlfn.XLOOKUP(B418, 'Component Masterlist v2'!A:A, 'Component Masterlist v2'!G:G, "Not found")</f>
        <v>Sanyam Agrawal</v>
      </c>
      <c r="D418" s="233" t="str">
        <f>_xlfn.XLOOKUP(B418, 'Component Masterlist v2'!A:A, 'Component Masterlist v2'!E:E, "Not found")</f>
        <v>Fahad Tasleem</v>
      </c>
    </row>
    <row r="419" spans="1:4">
      <c r="A419" s="226" t="s">
        <v>2511</v>
      </c>
      <c r="B419" s="227" t="s">
        <v>49</v>
      </c>
      <c r="C419" s="233" t="str">
        <f>_xlfn.XLOOKUP(B419, 'Component Masterlist v2'!A:A, 'Component Masterlist v2'!G:G, "Not found")</f>
        <v>Sanyam Agrawal</v>
      </c>
      <c r="D419" s="233" t="str">
        <f>_xlfn.XLOOKUP(B419, 'Component Masterlist v2'!A:A, 'Component Masterlist v2'!E:E, "Not found")</f>
        <v>Fahad Tasleem</v>
      </c>
    </row>
    <row r="420" spans="1:4">
      <c r="A420" s="226" t="s">
        <v>2512</v>
      </c>
      <c r="B420" s="227" t="s">
        <v>82</v>
      </c>
      <c r="C420" s="233" t="str">
        <f>_xlfn.XLOOKUP(B420, 'Component Masterlist v2'!A:A, 'Component Masterlist v2'!G:G, "Not found")</f>
        <v>Ved Singh</v>
      </c>
      <c r="D420" s="233" t="str">
        <f>_xlfn.XLOOKUP(B420, 'Component Masterlist v2'!A:A, 'Component Masterlist v2'!E:E, "Not found")</f>
        <v>Arun Gangadhar</v>
      </c>
    </row>
    <row r="421" spans="1:4">
      <c r="A421" s="226" t="s">
        <v>2513</v>
      </c>
      <c r="B421" s="227" t="s">
        <v>28</v>
      </c>
      <c r="C421" s="233" t="str">
        <f>_xlfn.XLOOKUP(B421, 'Component Masterlist v2'!A:A, 'Component Masterlist v2'!G:G, "Not found")</f>
        <v>Raghu Edalur</v>
      </c>
      <c r="D421" s="233" t="str">
        <f>_xlfn.XLOOKUP(B421, 'Component Masterlist v2'!A:A, 'Component Masterlist v2'!E:E, "Not found")</f>
        <v>Parul Jain</v>
      </c>
    </row>
    <row r="422" spans="1:4">
      <c r="A422" s="226" t="s">
        <v>2514</v>
      </c>
      <c r="B422" s="227" t="s">
        <v>54</v>
      </c>
      <c r="C422" s="233" t="str">
        <f>_xlfn.XLOOKUP(B422, 'Component Masterlist v2'!A:A, 'Component Masterlist v2'!G:G, "Not found")</f>
        <v>Sanyam Agrawal</v>
      </c>
      <c r="D422" s="233" t="str">
        <f>_xlfn.XLOOKUP(B422, 'Component Masterlist v2'!A:A, 'Component Masterlist v2'!E:E, "Not found")</f>
        <v>Prashant Gupta, Vraj Solanki</v>
      </c>
    </row>
    <row r="423" spans="1:4">
      <c r="A423" s="226" t="s">
        <v>2515</v>
      </c>
      <c r="B423" s="227" t="s">
        <v>49</v>
      </c>
      <c r="C423" s="233" t="str">
        <f>_xlfn.XLOOKUP(B423, 'Component Masterlist v2'!A:A, 'Component Masterlist v2'!G:G, "Not found")</f>
        <v>Sanyam Agrawal</v>
      </c>
      <c r="D423" s="233" t="str">
        <f>_xlfn.XLOOKUP(B423, 'Component Masterlist v2'!A:A, 'Component Masterlist v2'!E:E, "Not found")</f>
        <v>Fahad Tasleem</v>
      </c>
    </row>
    <row r="424" spans="1:4">
      <c r="A424" s="226" t="s">
        <v>2516</v>
      </c>
      <c r="B424" s="227" t="s">
        <v>92</v>
      </c>
      <c r="C424" s="233" t="str">
        <f>_xlfn.XLOOKUP(B424, 'Component Masterlist v2'!A:A, 'Component Masterlist v2'!G:G, "Not found")</f>
        <v>Ved Singh</v>
      </c>
      <c r="D424" s="233" t="str">
        <f>_xlfn.XLOOKUP(B424, 'Component Masterlist v2'!A:A, 'Component Masterlist v2'!E:E, "Not found")</f>
        <v>Ketan Dikshit</v>
      </c>
    </row>
    <row r="425" spans="1:4">
      <c r="A425" s="226" t="s">
        <v>2517</v>
      </c>
      <c r="B425" s="227" t="s">
        <v>49</v>
      </c>
      <c r="C425" s="233" t="str">
        <f>_xlfn.XLOOKUP(B425, 'Component Masterlist v2'!A:A, 'Component Masterlist v2'!G:G, "Not found")</f>
        <v>Sanyam Agrawal</v>
      </c>
      <c r="D425" s="233" t="str">
        <f>_xlfn.XLOOKUP(B425, 'Component Masterlist v2'!A:A, 'Component Masterlist v2'!E:E, "Not found")</f>
        <v>Fahad Tasleem</v>
      </c>
    </row>
    <row r="426" spans="1:4">
      <c r="A426" s="226" t="s">
        <v>2518</v>
      </c>
      <c r="B426" s="227" t="s">
        <v>40</v>
      </c>
      <c r="C426" s="233" t="str">
        <f>_xlfn.XLOOKUP(B426, 'Component Masterlist v2'!A:A, 'Component Masterlist v2'!G:G, "Not found")</f>
        <v>Santosh Golecha</v>
      </c>
      <c r="D426" s="233" t="str">
        <f>_xlfn.XLOOKUP(B426, 'Component Masterlist v2'!A:A, 'Component Masterlist v2'!E:E, "Not found")</f>
        <v>Ankur Agarwal</v>
      </c>
    </row>
    <row r="427" spans="1:4">
      <c r="A427" s="226" t="s">
        <v>2519</v>
      </c>
      <c r="B427" s="227" t="s">
        <v>49</v>
      </c>
      <c r="C427" s="233" t="str">
        <f>_xlfn.XLOOKUP(B427, 'Component Masterlist v2'!A:A, 'Component Masterlist v2'!G:G, "Not found")</f>
        <v>Sanyam Agrawal</v>
      </c>
      <c r="D427" s="233" t="str">
        <f>_xlfn.XLOOKUP(B427, 'Component Masterlist v2'!A:A, 'Component Masterlist v2'!E:E, "Not found")</f>
        <v>Fahad Tasleem</v>
      </c>
    </row>
    <row r="428" spans="1:4">
      <c r="A428" s="226" t="s">
        <v>2520</v>
      </c>
      <c r="B428" s="227" t="s">
        <v>82</v>
      </c>
      <c r="C428" s="233" t="str">
        <f>_xlfn.XLOOKUP(B428, 'Component Masterlist v2'!A:A, 'Component Masterlist v2'!G:G, "Not found")</f>
        <v>Ved Singh</v>
      </c>
      <c r="D428" s="233" t="str">
        <f>_xlfn.XLOOKUP(B428, 'Component Masterlist v2'!A:A, 'Component Masterlist v2'!E:E, "Not found")</f>
        <v>Arun Gangadhar</v>
      </c>
    </row>
    <row r="429" spans="1:4">
      <c r="A429" s="226" t="s">
        <v>2521</v>
      </c>
      <c r="B429" s="227" t="s">
        <v>54</v>
      </c>
      <c r="C429" s="233" t="str">
        <f>_xlfn.XLOOKUP(B429, 'Component Masterlist v2'!A:A, 'Component Masterlist v2'!G:G, "Not found")</f>
        <v>Sanyam Agrawal</v>
      </c>
      <c r="D429" s="233" t="str">
        <f>_xlfn.XLOOKUP(B429, 'Component Masterlist v2'!A:A, 'Component Masterlist v2'!E:E, "Not found")</f>
        <v>Prashant Gupta, Vraj Solanki</v>
      </c>
    </row>
    <row r="430" spans="1:4">
      <c r="A430" s="226" t="s">
        <v>2522</v>
      </c>
      <c r="B430" s="227" t="s">
        <v>40</v>
      </c>
      <c r="C430" s="233" t="str">
        <f>_xlfn.XLOOKUP(B430, 'Component Masterlist v2'!A:A, 'Component Masterlist v2'!G:G, "Not found")</f>
        <v>Santosh Golecha</v>
      </c>
      <c r="D430" s="233" t="str">
        <f>_xlfn.XLOOKUP(B430, 'Component Masterlist v2'!A:A, 'Component Masterlist v2'!E:E, "Not found")</f>
        <v>Ankur Agarwal</v>
      </c>
    </row>
    <row r="431" spans="1:4">
      <c r="A431" s="226" t="s">
        <v>2523</v>
      </c>
      <c r="B431" s="227" t="s">
        <v>40</v>
      </c>
      <c r="C431" s="233" t="str">
        <f>_xlfn.XLOOKUP(B431, 'Component Masterlist v2'!A:A, 'Component Masterlist v2'!G:G, "Not found")</f>
        <v>Santosh Golecha</v>
      </c>
      <c r="D431" s="233" t="str">
        <f>_xlfn.XLOOKUP(B431, 'Component Masterlist v2'!A:A, 'Component Masterlist v2'!E:E, "Not found")</f>
        <v>Ankur Agarwal</v>
      </c>
    </row>
    <row r="432" spans="1:4">
      <c r="A432" s="226" t="s">
        <v>2524</v>
      </c>
      <c r="B432" s="227" t="s">
        <v>88</v>
      </c>
      <c r="C432" s="233" t="str">
        <f>_xlfn.XLOOKUP(B432, 'Component Masterlist v2'!A:A, 'Component Masterlist v2'!G:G, "Not found")</f>
        <v>Ved Singh</v>
      </c>
      <c r="D432" s="233" t="str">
        <f>_xlfn.XLOOKUP(B432, 'Component Masterlist v2'!A:A, 'Component Masterlist v2'!E:E, "Not found")</f>
        <v>Karan Jeet Singh</v>
      </c>
    </row>
    <row r="433" spans="1:4">
      <c r="A433" s="226" t="s">
        <v>2525</v>
      </c>
      <c r="B433" s="227" t="s">
        <v>40</v>
      </c>
      <c r="C433" s="233" t="str">
        <f>_xlfn.XLOOKUP(B433, 'Component Masterlist v2'!A:A, 'Component Masterlist v2'!G:G, "Not found")</f>
        <v>Santosh Golecha</v>
      </c>
      <c r="D433" s="233" t="str">
        <f>_xlfn.XLOOKUP(B433, 'Component Masterlist v2'!A:A, 'Component Masterlist v2'!E:E, "Not found")</f>
        <v>Ankur Agarwal</v>
      </c>
    </row>
    <row r="434" spans="1:4">
      <c r="A434" s="226" t="s">
        <v>2526</v>
      </c>
      <c r="B434" s="227" t="s">
        <v>47</v>
      </c>
      <c r="C434" s="233" t="str">
        <f>_xlfn.XLOOKUP(B434, 'Component Masterlist v2'!A:A, 'Component Masterlist v2'!G:G, "Not found")</f>
        <v>Sanyam Agrawal</v>
      </c>
      <c r="D434" s="233" t="str">
        <f>_xlfn.XLOOKUP(B434, 'Component Masterlist v2'!A:A, 'Component Masterlist v2'!E:E, "Not found")</f>
        <v>Anirudh Agarwal</v>
      </c>
    </row>
    <row r="435" spans="1:4">
      <c r="A435" s="226" t="s">
        <v>2527</v>
      </c>
      <c r="B435" s="227" t="s">
        <v>54</v>
      </c>
      <c r="C435" s="233" t="str">
        <f>_xlfn.XLOOKUP(B435, 'Component Masterlist v2'!A:A, 'Component Masterlist v2'!G:G, "Not found")</f>
        <v>Sanyam Agrawal</v>
      </c>
      <c r="D435" s="233" t="str">
        <f>_xlfn.XLOOKUP(B435, 'Component Masterlist v2'!A:A, 'Component Masterlist v2'!E:E, "Not found")</f>
        <v>Prashant Gupta, Vraj Solanki</v>
      </c>
    </row>
    <row r="436" spans="1:4">
      <c r="A436" s="226" t="s">
        <v>2528</v>
      </c>
      <c r="B436" s="227" t="s">
        <v>54</v>
      </c>
      <c r="C436" s="233" t="str">
        <f>_xlfn.XLOOKUP(B436, 'Component Masterlist v2'!A:A, 'Component Masterlist v2'!G:G, "Not found")</f>
        <v>Sanyam Agrawal</v>
      </c>
      <c r="D436" s="233" t="str">
        <f>_xlfn.XLOOKUP(B436, 'Component Masterlist v2'!A:A, 'Component Masterlist v2'!E:E, "Not found")</f>
        <v>Prashant Gupta, Vraj Solanki</v>
      </c>
    </row>
    <row r="437" spans="1:4">
      <c r="A437" s="226" t="s">
        <v>2529</v>
      </c>
      <c r="B437" s="227" t="s">
        <v>54</v>
      </c>
      <c r="C437" s="233" t="str">
        <f>_xlfn.XLOOKUP(B437, 'Component Masterlist v2'!A:A, 'Component Masterlist v2'!G:G, "Not found")</f>
        <v>Sanyam Agrawal</v>
      </c>
      <c r="D437" s="233" t="str">
        <f>_xlfn.XLOOKUP(B437, 'Component Masterlist v2'!A:A, 'Component Masterlist v2'!E:E, "Not found")</f>
        <v>Prashant Gupta, Vraj Solanki</v>
      </c>
    </row>
    <row r="438" spans="1:4">
      <c r="A438" s="226" t="s">
        <v>2530</v>
      </c>
      <c r="B438" s="227" t="s">
        <v>49</v>
      </c>
      <c r="C438" s="233" t="str">
        <f>_xlfn.XLOOKUP(B438, 'Component Masterlist v2'!A:A, 'Component Masterlist v2'!G:G, "Not found")</f>
        <v>Sanyam Agrawal</v>
      </c>
      <c r="D438" s="233" t="str">
        <f>_xlfn.XLOOKUP(B438, 'Component Masterlist v2'!A:A, 'Component Masterlist v2'!E:E, "Not found")</f>
        <v>Fahad Tasleem</v>
      </c>
    </row>
    <row r="439" spans="1:4">
      <c r="A439" s="226" t="s">
        <v>2531</v>
      </c>
      <c r="B439" s="227" t="s">
        <v>35</v>
      </c>
      <c r="C439" s="233" t="str">
        <f>_xlfn.XLOOKUP(B439, 'Component Masterlist v2'!A:A, 'Component Masterlist v2'!G:G, "Not found")</f>
        <v>Santosh Golecha</v>
      </c>
      <c r="D439" s="233" t="str">
        <f>_xlfn.XLOOKUP(B439, 'Component Masterlist v2'!A:A, 'Component Masterlist v2'!E:E, "Not found")</f>
        <v>Ankur Agarwal</v>
      </c>
    </row>
    <row r="440" spans="1:4">
      <c r="A440" s="226" t="s">
        <v>2532</v>
      </c>
      <c r="B440" s="227" t="s">
        <v>91</v>
      </c>
      <c r="C440" s="233" t="str">
        <f>_xlfn.XLOOKUP(B440, 'Component Masterlist v2'!A:A, 'Component Masterlist v2'!G:G, "Not found")</f>
        <v>Ved Singh</v>
      </c>
      <c r="D440" s="233" t="str">
        <f>_xlfn.XLOOKUP(B440, 'Component Masterlist v2'!A:A, 'Component Masterlist v2'!E:E, "Not found")</f>
        <v>Ketan Dikshit</v>
      </c>
    </row>
    <row r="441" spans="1:4">
      <c r="A441" s="226" t="s">
        <v>2533</v>
      </c>
      <c r="B441" s="227" t="s">
        <v>85</v>
      </c>
      <c r="C441" s="233" t="str">
        <f>_xlfn.XLOOKUP(B441, 'Component Masterlist v2'!A:A, 'Component Masterlist v2'!G:G, "Not found")</f>
        <v>Ved Singh</v>
      </c>
      <c r="D441" s="233" t="str">
        <f>_xlfn.XLOOKUP(B441, 'Component Masterlist v2'!A:A, 'Component Masterlist v2'!E:E, "Not found")</f>
        <v>Damodara Reddy</v>
      </c>
    </row>
    <row r="442" spans="1:4">
      <c r="A442" s="226" t="s">
        <v>2534</v>
      </c>
      <c r="B442" s="227" t="s">
        <v>47</v>
      </c>
      <c r="C442" s="233" t="str">
        <f>_xlfn.XLOOKUP(B442, 'Component Masterlist v2'!A:A, 'Component Masterlist v2'!G:G, "Not found")</f>
        <v>Sanyam Agrawal</v>
      </c>
      <c r="D442" s="233" t="str">
        <f>_xlfn.XLOOKUP(B442, 'Component Masterlist v2'!A:A, 'Component Masterlist v2'!E:E, "Not found")</f>
        <v>Anirudh Agarwal</v>
      </c>
    </row>
    <row r="443" spans="1:4">
      <c r="A443" s="226" t="s">
        <v>2535</v>
      </c>
      <c r="B443" s="227" t="s">
        <v>41</v>
      </c>
      <c r="C443" s="233" t="str">
        <f>_xlfn.XLOOKUP(B443, 'Component Masterlist v2'!A:A, 'Component Masterlist v2'!G:G, "Not found")</f>
        <v>Santosh Golecha</v>
      </c>
      <c r="D443" s="233" t="str">
        <f>_xlfn.XLOOKUP(B443, 'Component Masterlist v2'!A:A, 'Component Masterlist v2'!E:E, "Not found")</f>
        <v>Santosh Golecha</v>
      </c>
    </row>
    <row r="444" spans="1:4">
      <c r="A444" s="226" t="s">
        <v>2536</v>
      </c>
      <c r="B444" s="227" t="s">
        <v>40</v>
      </c>
      <c r="C444" s="233" t="str">
        <f>_xlfn.XLOOKUP(B444, 'Component Masterlist v2'!A:A, 'Component Masterlist v2'!G:G, "Not found")</f>
        <v>Santosh Golecha</v>
      </c>
      <c r="D444" s="233" t="str">
        <f>_xlfn.XLOOKUP(B444, 'Component Masterlist v2'!A:A, 'Component Masterlist v2'!E:E, "Not found")</f>
        <v>Ankur Agarwal</v>
      </c>
    </row>
    <row r="445" spans="1:4">
      <c r="A445" s="226" t="s">
        <v>2537</v>
      </c>
      <c r="B445" s="227" t="s">
        <v>40</v>
      </c>
      <c r="C445" s="233" t="str">
        <f>_xlfn.XLOOKUP(B445, 'Component Masterlist v2'!A:A, 'Component Masterlist v2'!G:G, "Not found")</f>
        <v>Santosh Golecha</v>
      </c>
      <c r="D445" s="233" t="str">
        <f>_xlfn.XLOOKUP(B445, 'Component Masterlist v2'!A:A, 'Component Masterlist v2'!E:E, "Not found")</f>
        <v>Ankur Agarwal</v>
      </c>
    </row>
    <row r="446" spans="1:4">
      <c r="A446" s="226" t="s">
        <v>2538</v>
      </c>
      <c r="B446" s="227" t="s">
        <v>82</v>
      </c>
      <c r="C446" s="233" t="str">
        <f>_xlfn.XLOOKUP(B446, 'Component Masterlist v2'!A:A, 'Component Masterlist v2'!G:G, "Not found")</f>
        <v>Ved Singh</v>
      </c>
      <c r="D446" s="233" t="str">
        <f>_xlfn.XLOOKUP(B446, 'Component Masterlist v2'!A:A, 'Component Masterlist v2'!E:E, "Not found")</f>
        <v>Arun Gangadhar</v>
      </c>
    </row>
    <row r="447" spans="1:4">
      <c r="A447" s="226" t="s">
        <v>2539</v>
      </c>
      <c r="B447" s="227" t="s">
        <v>54</v>
      </c>
      <c r="C447" s="233" t="str">
        <f>_xlfn.XLOOKUP(B447, 'Component Masterlist v2'!A:A, 'Component Masterlist v2'!G:G, "Not found")</f>
        <v>Sanyam Agrawal</v>
      </c>
      <c r="D447" s="233" t="str">
        <f>_xlfn.XLOOKUP(B447, 'Component Masterlist v2'!A:A, 'Component Masterlist v2'!E:E, "Not found")</f>
        <v>Prashant Gupta, Vraj Solanki</v>
      </c>
    </row>
    <row r="448" spans="1:4">
      <c r="A448" s="226" t="s">
        <v>2540</v>
      </c>
      <c r="B448" s="227" t="s">
        <v>47</v>
      </c>
      <c r="C448" s="233" t="str">
        <f>_xlfn.XLOOKUP(B448, 'Component Masterlist v2'!A:A, 'Component Masterlist v2'!G:G, "Not found")</f>
        <v>Sanyam Agrawal</v>
      </c>
      <c r="D448" s="233" t="str">
        <f>_xlfn.XLOOKUP(B448, 'Component Masterlist v2'!A:A, 'Component Masterlist v2'!E:E, "Not found")</f>
        <v>Anirudh Agarwal</v>
      </c>
    </row>
    <row r="449" spans="1:4">
      <c r="A449" s="226" t="s">
        <v>2541</v>
      </c>
      <c r="B449" s="227" t="s">
        <v>91</v>
      </c>
      <c r="C449" s="233" t="str">
        <f>_xlfn.XLOOKUP(B449, 'Component Masterlist v2'!A:A, 'Component Masterlist v2'!G:G, "Not found")</f>
        <v>Ved Singh</v>
      </c>
      <c r="D449" s="233" t="str">
        <f>_xlfn.XLOOKUP(B449, 'Component Masterlist v2'!A:A, 'Component Masterlist v2'!E:E, "Not found")</f>
        <v>Ketan Dikshit</v>
      </c>
    </row>
    <row r="450" spans="1:4">
      <c r="A450" s="226" t="s">
        <v>2542</v>
      </c>
      <c r="B450" s="227" t="s">
        <v>47</v>
      </c>
      <c r="C450" s="233" t="str">
        <f>_xlfn.XLOOKUP(B450, 'Component Masterlist v2'!A:A, 'Component Masterlist v2'!G:G, "Not found")</f>
        <v>Sanyam Agrawal</v>
      </c>
      <c r="D450" s="233" t="str">
        <f>_xlfn.XLOOKUP(B450, 'Component Masterlist v2'!A:A, 'Component Masterlist v2'!E:E, "Not found")</f>
        <v>Anirudh Agarwal</v>
      </c>
    </row>
    <row r="451" spans="1:4">
      <c r="A451" s="226" t="s">
        <v>2543</v>
      </c>
      <c r="B451" s="227" t="s">
        <v>49</v>
      </c>
      <c r="C451" s="233" t="str">
        <f>_xlfn.XLOOKUP(B451, 'Component Masterlist v2'!A:A, 'Component Masterlist v2'!G:G, "Not found")</f>
        <v>Sanyam Agrawal</v>
      </c>
      <c r="D451" s="233" t="str">
        <f>_xlfn.XLOOKUP(B451, 'Component Masterlist v2'!A:A, 'Component Masterlist v2'!E:E, "Not found")</f>
        <v>Fahad Tasleem</v>
      </c>
    </row>
    <row r="452" spans="1:4">
      <c r="A452" s="226" t="s">
        <v>2544</v>
      </c>
      <c r="B452" s="227" t="s">
        <v>49</v>
      </c>
      <c r="C452" s="233" t="str">
        <f>_xlfn.XLOOKUP(B452, 'Component Masterlist v2'!A:A, 'Component Masterlist v2'!G:G, "Not found")</f>
        <v>Sanyam Agrawal</v>
      </c>
      <c r="D452" s="233" t="str">
        <f>_xlfn.XLOOKUP(B452, 'Component Masterlist v2'!A:A, 'Component Masterlist v2'!E:E, "Not found")</f>
        <v>Fahad Tasleem</v>
      </c>
    </row>
    <row r="453" spans="1:4">
      <c r="A453" s="226" t="s">
        <v>2545</v>
      </c>
      <c r="B453" s="227" t="s">
        <v>84</v>
      </c>
      <c r="C453" s="233" t="str">
        <f>_xlfn.XLOOKUP(B453, 'Component Masterlist v2'!A:A, 'Component Masterlist v2'!G:G, "Not found")</f>
        <v>Ved Singh</v>
      </c>
      <c r="D453" s="233" t="str">
        <f>_xlfn.XLOOKUP(B453, 'Component Masterlist v2'!A:A, 'Component Masterlist v2'!E:E, "Not found")</f>
        <v>Damodara Reddy</v>
      </c>
    </row>
    <row r="454" spans="1:4">
      <c r="A454" s="226" t="s">
        <v>2546</v>
      </c>
      <c r="B454" s="227" t="s">
        <v>84</v>
      </c>
      <c r="C454" s="233" t="str">
        <f>_xlfn.XLOOKUP(B454, 'Component Masterlist v2'!A:A, 'Component Masterlist v2'!G:G, "Not found")</f>
        <v>Ved Singh</v>
      </c>
      <c r="D454" s="233" t="str">
        <f>_xlfn.XLOOKUP(B454, 'Component Masterlist v2'!A:A, 'Component Masterlist v2'!E:E, "Not found")</f>
        <v>Damodara Reddy</v>
      </c>
    </row>
    <row r="455" spans="1:4">
      <c r="A455" s="226" t="s">
        <v>2547</v>
      </c>
      <c r="B455" s="227" t="s">
        <v>40</v>
      </c>
      <c r="C455" s="233" t="str">
        <f>_xlfn.XLOOKUP(B455, 'Component Masterlist v2'!A:A, 'Component Masterlist v2'!G:G, "Not found")</f>
        <v>Santosh Golecha</v>
      </c>
      <c r="D455" s="233" t="str">
        <f>_xlfn.XLOOKUP(B455, 'Component Masterlist v2'!A:A, 'Component Masterlist v2'!E:E, "Not found")</f>
        <v>Ankur Agarwal</v>
      </c>
    </row>
    <row r="456" spans="1:4">
      <c r="A456" s="226" t="s">
        <v>2548</v>
      </c>
      <c r="B456" s="227" t="s">
        <v>42</v>
      </c>
      <c r="C456" s="233" t="str">
        <f>_xlfn.XLOOKUP(B456, 'Component Masterlist v2'!A:A, 'Component Masterlist v2'!G:G, "Not found")</f>
        <v>Santosh Golecha</v>
      </c>
      <c r="D456" s="233" t="str">
        <f>_xlfn.XLOOKUP(B456, 'Component Masterlist v2'!A:A, 'Component Masterlist v2'!E:E, "Not found")</f>
        <v>Santosh Golecha</v>
      </c>
    </row>
    <row r="457" spans="1:4">
      <c r="A457" s="226" t="s">
        <v>2549</v>
      </c>
      <c r="B457" s="227" t="s">
        <v>82</v>
      </c>
      <c r="C457" s="233" t="str">
        <f>_xlfn.XLOOKUP(B457, 'Component Masterlist v2'!A:A, 'Component Masterlist v2'!G:G, "Not found")</f>
        <v>Ved Singh</v>
      </c>
      <c r="D457" s="233" t="str">
        <f>_xlfn.XLOOKUP(B457, 'Component Masterlist v2'!A:A, 'Component Masterlist v2'!E:E, "Not found")</f>
        <v>Arun Gangadhar</v>
      </c>
    </row>
    <row r="458" spans="1:4">
      <c r="A458" s="226" t="s">
        <v>2550</v>
      </c>
      <c r="B458" s="227" t="s">
        <v>85</v>
      </c>
      <c r="C458" s="233" t="str">
        <f>_xlfn.XLOOKUP(B458, 'Component Masterlist v2'!A:A, 'Component Masterlist v2'!G:G, "Not found")</f>
        <v>Ved Singh</v>
      </c>
      <c r="D458" s="233" t="str">
        <f>_xlfn.XLOOKUP(B458, 'Component Masterlist v2'!A:A, 'Component Masterlist v2'!E:E, "Not found")</f>
        <v>Damodara Reddy</v>
      </c>
    </row>
    <row r="459" spans="1:4">
      <c r="A459" s="226" t="s">
        <v>2551</v>
      </c>
      <c r="B459" s="227" t="s">
        <v>92</v>
      </c>
      <c r="C459" s="233" t="str">
        <f>_xlfn.XLOOKUP(B459, 'Component Masterlist v2'!A:A, 'Component Masterlist v2'!G:G, "Not found")</f>
        <v>Ved Singh</v>
      </c>
      <c r="D459" s="233" t="str">
        <f>_xlfn.XLOOKUP(B459, 'Component Masterlist v2'!A:A, 'Component Masterlist v2'!E:E, "Not found")</f>
        <v>Ketan Dikshit</v>
      </c>
    </row>
    <row r="460" spans="1:4">
      <c r="A460" s="226" t="s">
        <v>2552</v>
      </c>
      <c r="B460" s="227" t="s">
        <v>91</v>
      </c>
      <c r="C460" s="233" t="str">
        <f>_xlfn.XLOOKUP(B460, 'Component Masterlist v2'!A:A, 'Component Masterlist v2'!G:G, "Not found")</f>
        <v>Ved Singh</v>
      </c>
      <c r="D460" s="233" t="str">
        <f>_xlfn.XLOOKUP(B460, 'Component Masterlist v2'!A:A, 'Component Masterlist v2'!E:E, "Not found")</f>
        <v>Ketan Dikshit</v>
      </c>
    </row>
    <row r="461" spans="1:4">
      <c r="A461" s="226" t="s">
        <v>2553</v>
      </c>
      <c r="B461" s="227" t="s">
        <v>91</v>
      </c>
      <c r="C461" s="233" t="str">
        <f>_xlfn.XLOOKUP(B461, 'Component Masterlist v2'!A:A, 'Component Masterlist v2'!G:G, "Not found")</f>
        <v>Ved Singh</v>
      </c>
      <c r="D461" s="233" t="str">
        <f>_xlfn.XLOOKUP(B461, 'Component Masterlist v2'!A:A, 'Component Masterlist v2'!E:E, "Not found")</f>
        <v>Ketan Dikshit</v>
      </c>
    </row>
    <row r="462" spans="1:4">
      <c r="A462" s="226" t="s">
        <v>2554</v>
      </c>
      <c r="B462" s="227" t="s">
        <v>92</v>
      </c>
      <c r="C462" s="233" t="str">
        <f>_xlfn.XLOOKUP(B462, 'Component Masterlist v2'!A:A, 'Component Masterlist v2'!G:G, "Not found")</f>
        <v>Ved Singh</v>
      </c>
      <c r="D462" s="233" t="str">
        <f>_xlfn.XLOOKUP(B462, 'Component Masterlist v2'!A:A, 'Component Masterlist v2'!E:E, "Not found")</f>
        <v>Ketan Dikshit</v>
      </c>
    </row>
    <row r="463" spans="1:4">
      <c r="A463" s="226" t="s">
        <v>2555</v>
      </c>
      <c r="B463" s="227" t="s">
        <v>82</v>
      </c>
      <c r="C463" s="233" t="str">
        <f>_xlfn.XLOOKUP(B463, 'Component Masterlist v2'!A:A, 'Component Masterlist v2'!G:G, "Not found")</f>
        <v>Ved Singh</v>
      </c>
      <c r="D463" s="233" t="str">
        <f>_xlfn.XLOOKUP(B463, 'Component Masterlist v2'!A:A, 'Component Masterlist v2'!E:E, "Not found")</f>
        <v>Arun Gangadhar</v>
      </c>
    </row>
    <row r="464" spans="1:4">
      <c r="A464" s="226" t="s">
        <v>2556</v>
      </c>
      <c r="B464" s="227" t="s">
        <v>82</v>
      </c>
      <c r="C464" s="233" t="str">
        <f>_xlfn.XLOOKUP(B464, 'Component Masterlist v2'!A:A, 'Component Masterlist v2'!G:G, "Not found")</f>
        <v>Ved Singh</v>
      </c>
      <c r="D464" s="233" t="str">
        <f>_xlfn.XLOOKUP(B464, 'Component Masterlist v2'!A:A, 'Component Masterlist v2'!E:E, "Not found")</f>
        <v>Arun Gangadhar</v>
      </c>
    </row>
    <row r="465" spans="1:4">
      <c r="A465" s="226" t="s">
        <v>2557</v>
      </c>
      <c r="B465" s="227" t="s">
        <v>54</v>
      </c>
      <c r="C465" s="233" t="str">
        <f>_xlfn.XLOOKUP(B465, 'Component Masterlist v2'!A:A, 'Component Masterlist v2'!G:G, "Not found")</f>
        <v>Sanyam Agrawal</v>
      </c>
      <c r="D465" s="233" t="str">
        <f>_xlfn.XLOOKUP(B465, 'Component Masterlist v2'!A:A, 'Component Masterlist v2'!E:E, "Not found")</f>
        <v>Prashant Gupta, Vraj Solanki</v>
      </c>
    </row>
    <row r="466" spans="1:4">
      <c r="A466" s="226" t="s">
        <v>2558</v>
      </c>
      <c r="B466" s="227" t="s">
        <v>40</v>
      </c>
      <c r="C466" s="233" t="str">
        <f>_xlfn.XLOOKUP(B466, 'Component Masterlist v2'!A:A, 'Component Masterlist v2'!G:G, "Not found")</f>
        <v>Santosh Golecha</v>
      </c>
      <c r="D466" s="233" t="str">
        <f>_xlfn.XLOOKUP(B466, 'Component Masterlist v2'!A:A, 'Component Masterlist v2'!E:E, "Not found")</f>
        <v>Ankur Agarwal</v>
      </c>
    </row>
    <row r="467" spans="1:4">
      <c r="A467" s="226" t="s">
        <v>2559</v>
      </c>
      <c r="B467" s="227" t="s">
        <v>91</v>
      </c>
      <c r="C467" s="233" t="str">
        <f>_xlfn.XLOOKUP(B467, 'Component Masterlist v2'!A:A, 'Component Masterlist v2'!G:G, "Not found")</f>
        <v>Ved Singh</v>
      </c>
      <c r="D467" s="233" t="str">
        <f>_xlfn.XLOOKUP(B467, 'Component Masterlist v2'!A:A, 'Component Masterlist v2'!E:E, "Not found")</f>
        <v>Ketan Dikshit</v>
      </c>
    </row>
    <row r="468" spans="1:4">
      <c r="A468" s="226" t="s">
        <v>2560</v>
      </c>
      <c r="B468" s="227" t="s">
        <v>54</v>
      </c>
      <c r="C468" s="233" t="str">
        <f>_xlfn.XLOOKUP(B468, 'Component Masterlist v2'!A:A, 'Component Masterlist v2'!G:G, "Not found")</f>
        <v>Sanyam Agrawal</v>
      </c>
      <c r="D468" s="233" t="str">
        <f>_xlfn.XLOOKUP(B468, 'Component Masterlist v2'!A:A, 'Component Masterlist v2'!E:E, "Not found")</f>
        <v>Prashant Gupta, Vraj Solanki</v>
      </c>
    </row>
    <row r="469" spans="1:4">
      <c r="A469" s="226" t="s">
        <v>2561</v>
      </c>
      <c r="B469" s="227" t="s">
        <v>92</v>
      </c>
      <c r="C469" s="233" t="str">
        <f>_xlfn.XLOOKUP(B469, 'Component Masterlist v2'!A:A, 'Component Masterlist v2'!G:G, "Not found")</f>
        <v>Ved Singh</v>
      </c>
      <c r="D469" s="233" t="str">
        <f>_xlfn.XLOOKUP(B469, 'Component Masterlist v2'!A:A, 'Component Masterlist v2'!E:E, "Not found")</f>
        <v>Ketan Dikshit</v>
      </c>
    </row>
    <row r="470" spans="1:4">
      <c r="A470" s="226" t="s">
        <v>2562</v>
      </c>
      <c r="B470" s="227" t="s">
        <v>52</v>
      </c>
      <c r="C470" s="233" t="str">
        <f>_xlfn.XLOOKUP(B470, 'Component Masterlist v2'!A:A, 'Component Masterlist v2'!G:G, "Not found")</f>
        <v>Sanyam Agrawal</v>
      </c>
      <c r="D470" s="233" t="str">
        <f>_xlfn.XLOOKUP(B470, 'Component Masterlist v2'!A:A, 'Component Masterlist v2'!E:E, "Not found")</f>
        <v>Fahad Tasleem</v>
      </c>
    </row>
    <row r="471" spans="1:4">
      <c r="A471" s="226" t="s">
        <v>2563</v>
      </c>
      <c r="B471" s="227" t="s">
        <v>47</v>
      </c>
      <c r="C471" s="233" t="str">
        <f>_xlfn.XLOOKUP(B471, 'Component Masterlist v2'!A:A, 'Component Masterlist v2'!G:G, "Not found")</f>
        <v>Sanyam Agrawal</v>
      </c>
      <c r="D471" s="233" t="str">
        <f>_xlfn.XLOOKUP(B471, 'Component Masterlist v2'!A:A, 'Component Masterlist v2'!E:E, "Not found")</f>
        <v>Anirudh Agarwal</v>
      </c>
    </row>
    <row r="472" spans="1:4">
      <c r="A472" s="226" t="s">
        <v>2564</v>
      </c>
      <c r="B472" s="227" t="s">
        <v>82</v>
      </c>
      <c r="C472" s="233" t="str">
        <f>_xlfn.XLOOKUP(B472, 'Component Masterlist v2'!A:A, 'Component Masterlist v2'!G:G, "Not found")</f>
        <v>Ved Singh</v>
      </c>
      <c r="D472" s="233" t="str">
        <f>_xlfn.XLOOKUP(B472, 'Component Masterlist v2'!A:A, 'Component Masterlist v2'!E:E, "Not found")</f>
        <v>Arun Gangadhar</v>
      </c>
    </row>
    <row r="473" spans="1:4">
      <c r="A473" s="226" t="s">
        <v>2565</v>
      </c>
      <c r="B473" s="227" t="s">
        <v>54</v>
      </c>
      <c r="C473" s="233" t="str">
        <f>_xlfn.XLOOKUP(B473, 'Component Masterlist v2'!A:A, 'Component Masterlist v2'!G:G, "Not found")</f>
        <v>Sanyam Agrawal</v>
      </c>
      <c r="D473" s="233" t="str">
        <f>_xlfn.XLOOKUP(B473, 'Component Masterlist v2'!A:A, 'Component Masterlist v2'!E:E, "Not found")</f>
        <v>Prashant Gupta, Vraj Solanki</v>
      </c>
    </row>
    <row r="474" spans="1:4">
      <c r="A474" s="226" t="s">
        <v>2566</v>
      </c>
      <c r="B474" s="227" t="s">
        <v>85</v>
      </c>
      <c r="C474" s="233" t="str">
        <f>_xlfn.XLOOKUP(B474, 'Component Masterlist v2'!A:A, 'Component Masterlist v2'!G:G, "Not found")</f>
        <v>Ved Singh</v>
      </c>
      <c r="D474" s="233" t="str">
        <f>_xlfn.XLOOKUP(B474, 'Component Masterlist v2'!A:A, 'Component Masterlist v2'!E:E, "Not found")</f>
        <v>Damodara Reddy</v>
      </c>
    </row>
    <row r="475" spans="1:4">
      <c r="A475" s="226" t="s">
        <v>2567</v>
      </c>
      <c r="B475" s="227" t="s">
        <v>88</v>
      </c>
      <c r="C475" s="233" t="str">
        <f>_xlfn.XLOOKUP(B475, 'Component Masterlist v2'!A:A, 'Component Masterlist v2'!G:G, "Not found")</f>
        <v>Ved Singh</v>
      </c>
      <c r="D475" s="233" t="str">
        <f>_xlfn.XLOOKUP(B475, 'Component Masterlist v2'!A:A, 'Component Masterlist v2'!E:E, "Not found")</f>
        <v>Karan Jeet Singh</v>
      </c>
    </row>
    <row r="476" spans="1:4">
      <c r="A476" s="226" t="s">
        <v>2568</v>
      </c>
      <c r="B476" s="227" t="s">
        <v>54</v>
      </c>
      <c r="C476" s="233" t="str">
        <f>_xlfn.XLOOKUP(B476, 'Component Masterlist v2'!A:A, 'Component Masterlist v2'!G:G, "Not found")</f>
        <v>Sanyam Agrawal</v>
      </c>
      <c r="D476" s="233" t="str">
        <f>_xlfn.XLOOKUP(B476, 'Component Masterlist v2'!A:A, 'Component Masterlist v2'!E:E, "Not found")</f>
        <v>Prashant Gupta, Vraj Solanki</v>
      </c>
    </row>
    <row r="477" spans="1:4">
      <c r="A477" s="226" t="s">
        <v>2569</v>
      </c>
      <c r="B477" s="227" t="s">
        <v>92</v>
      </c>
      <c r="C477" s="233" t="str">
        <f>_xlfn.XLOOKUP(B477, 'Component Masterlist v2'!A:A, 'Component Masterlist v2'!G:G, "Not found")</f>
        <v>Ved Singh</v>
      </c>
      <c r="D477" s="233" t="str">
        <f>_xlfn.XLOOKUP(B477, 'Component Masterlist v2'!A:A, 'Component Masterlist v2'!E:E, "Not found")</f>
        <v>Ketan Dikshit</v>
      </c>
    </row>
    <row r="478" spans="1:4">
      <c r="A478" s="226" t="s">
        <v>2570</v>
      </c>
      <c r="B478" s="227" t="s">
        <v>54</v>
      </c>
      <c r="C478" s="233" t="str">
        <f>_xlfn.XLOOKUP(B478, 'Component Masterlist v2'!A:A, 'Component Masterlist v2'!G:G, "Not found")</f>
        <v>Sanyam Agrawal</v>
      </c>
      <c r="D478" s="233" t="str">
        <f>_xlfn.XLOOKUP(B478, 'Component Masterlist v2'!A:A, 'Component Masterlist v2'!E:E, "Not found")</f>
        <v>Prashant Gupta, Vraj Solanki</v>
      </c>
    </row>
    <row r="479" spans="1:4">
      <c r="A479" s="226" t="s">
        <v>2571</v>
      </c>
      <c r="B479" s="227" t="s">
        <v>85</v>
      </c>
      <c r="C479" s="233" t="str">
        <f>_xlfn.XLOOKUP(B479, 'Component Masterlist v2'!A:A, 'Component Masterlist v2'!G:G, "Not found")</f>
        <v>Ved Singh</v>
      </c>
      <c r="D479" s="233" t="str">
        <f>_xlfn.XLOOKUP(B479, 'Component Masterlist v2'!A:A, 'Component Masterlist v2'!E:E, "Not found")</f>
        <v>Damodara Reddy</v>
      </c>
    </row>
    <row r="480" spans="1:4">
      <c r="A480" s="226" t="s">
        <v>2572</v>
      </c>
      <c r="B480" s="227" t="s">
        <v>91</v>
      </c>
      <c r="C480" s="233" t="str">
        <f>_xlfn.XLOOKUP(B480, 'Component Masterlist v2'!A:A, 'Component Masterlist v2'!G:G, "Not found")</f>
        <v>Ved Singh</v>
      </c>
      <c r="D480" s="233" t="str">
        <f>_xlfn.XLOOKUP(B480, 'Component Masterlist v2'!A:A, 'Component Masterlist v2'!E:E, "Not found")</f>
        <v>Ketan Dikshit</v>
      </c>
    </row>
    <row r="481" spans="1:4">
      <c r="A481" s="226" t="s">
        <v>2573</v>
      </c>
      <c r="B481" s="227" t="s">
        <v>82</v>
      </c>
      <c r="C481" s="233" t="str">
        <f>_xlfn.XLOOKUP(B481, 'Component Masterlist v2'!A:A, 'Component Masterlist v2'!G:G, "Not found")</f>
        <v>Ved Singh</v>
      </c>
      <c r="D481" s="233" t="str">
        <f>_xlfn.XLOOKUP(B481, 'Component Masterlist v2'!A:A, 'Component Masterlist v2'!E:E, "Not found")</f>
        <v>Arun Gangadhar</v>
      </c>
    </row>
    <row r="482" spans="1:4">
      <c r="A482" s="226" t="s">
        <v>2574</v>
      </c>
      <c r="B482" s="227" t="s">
        <v>52</v>
      </c>
      <c r="C482" s="233" t="str">
        <f>_xlfn.XLOOKUP(B482, 'Component Masterlist v2'!A:A, 'Component Masterlist v2'!G:G, "Not found")</f>
        <v>Sanyam Agrawal</v>
      </c>
      <c r="D482" s="233" t="str">
        <f>_xlfn.XLOOKUP(B482, 'Component Masterlist v2'!A:A, 'Component Masterlist v2'!E:E, "Not found")</f>
        <v>Fahad Tasleem</v>
      </c>
    </row>
    <row r="483" spans="1:4">
      <c r="A483" s="226" t="s">
        <v>2575</v>
      </c>
      <c r="B483" s="227" t="s">
        <v>88</v>
      </c>
      <c r="C483" s="233" t="str">
        <f>_xlfn.XLOOKUP(B483, 'Component Masterlist v2'!A:A, 'Component Masterlist v2'!G:G, "Not found")</f>
        <v>Ved Singh</v>
      </c>
      <c r="D483" s="233" t="str">
        <f>_xlfn.XLOOKUP(B483, 'Component Masterlist v2'!A:A, 'Component Masterlist v2'!E:E, "Not found")</f>
        <v>Karan Jeet Singh</v>
      </c>
    </row>
    <row r="484" spans="1:4">
      <c r="A484" s="226" t="s">
        <v>2576</v>
      </c>
      <c r="B484" s="227" t="s">
        <v>88</v>
      </c>
      <c r="C484" s="233" t="str">
        <f>_xlfn.XLOOKUP(B484, 'Component Masterlist v2'!A:A, 'Component Masterlist v2'!G:G, "Not found")</f>
        <v>Ved Singh</v>
      </c>
      <c r="D484" s="233" t="str">
        <f>_xlfn.XLOOKUP(B484, 'Component Masterlist v2'!A:A, 'Component Masterlist v2'!E:E, "Not found")</f>
        <v>Karan Jeet Singh</v>
      </c>
    </row>
    <row r="485" spans="1:4">
      <c r="A485" s="226" t="s">
        <v>2577</v>
      </c>
      <c r="B485" s="227" t="s">
        <v>88</v>
      </c>
      <c r="C485" s="233" t="str">
        <f>_xlfn.XLOOKUP(B485, 'Component Masterlist v2'!A:A, 'Component Masterlist v2'!G:G, "Not found")</f>
        <v>Ved Singh</v>
      </c>
      <c r="D485" s="233" t="str">
        <f>_xlfn.XLOOKUP(B485, 'Component Masterlist v2'!A:A, 'Component Masterlist v2'!E:E, "Not found")</f>
        <v>Karan Jeet Singh</v>
      </c>
    </row>
    <row r="486" spans="1:4">
      <c r="A486" s="226" t="s">
        <v>2578</v>
      </c>
      <c r="B486" s="227" t="s">
        <v>49</v>
      </c>
      <c r="C486" s="233" t="str">
        <f>_xlfn.XLOOKUP(B486, 'Component Masterlist v2'!A:A, 'Component Masterlist v2'!G:G, "Not found")</f>
        <v>Sanyam Agrawal</v>
      </c>
      <c r="D486" s="233" t="str">
        <f>_xlfn.XLOOKUP(B486, 'Component Masterlist v2'!A:A, 'Component Masterlist v2'!E:E, "Not found")</f>
        <v>Fahad Tasleem</v>
      </c>
    </row>
    <row r="487" spans="1:4">
      <c r="A487" s="226" t="s">
        <v>2579</v>
      </c>
      <c r="B487" s="227" t="s">
        <v>88</v>
      </c>
      <c r="C487" s="233" t="str">
        <f>_xlfn.XLOOKUP(B487, 'Component Masterlist v2'!A:A, 'Component Masterlist v2'!G:G, "Not found")</f>
        <v>Ved Singh</v>
      </c>
      <c r="D487" s="233" t="str">
        <f>_xlfn.XLOOKUP(B487, 'Component Masterlist v2'!A:A, 'Component Masterlist v2'!E:E, "Not found")</f>
        <v>Karan Jeet Singh</v>
      </c>
    </row>
    <row r="488" spans="1:4">
      <c r="A488" s="226" t="s">
        <v>2580</v>
      </c>
      <c r="B488" s="227" t="s">
        <v>52</v>
      </c>
      <c r="C488" s="233" t="str">
        <f>_xlfn.XLOOKUP(B488, 'Component Masterlist v2'!A:A, 'Component Masterlist v2'!G:G, "Not found")</f>
        <v>Sanyam Agrawal</v>
      </c>
      <c r="D488" s="233" t="str">
        <f>_xlfn.XLOOKUP(B488, 'Component Masterlist v2'!A:A, 'Component Masterlist v2'!E:E, "Not found")</f>
        <v>Fahad Tasleem</v>
      </c>
    </row>
    <row r="489" spans="1:4">
      <c r="A489" s="226" t="s">
        <v>2581</v>
      </c>
      <c r="B489" s="227" t="s">
        <v>47</v>
      </c>
      <c r="C489" s="233" t="str">
        <f>_xlfn.XLOOKUP(B489, 'Component Masterlist v2'!A:A, 'Component Masterlist v2'!G:G, "Not found")</f>
        <v>Sanyam Agrawal</v>
      </c>
      <c r="D489" s="233" t="str">
        <f>_xlfn.XLOOKUP(B489, 'Component Masterlist v2'!A:A, 'Component Masterlist v2'!E:E, "Not found")</f>
        <v>Anirudh Agarwal</v>
      </c>
    </row>
    <row r="490" spans="1:4">
      <c r="A490" s="226" t="s">
        <v>2582</v>
      </c>
      <c r="B490" s="227" t="s">
        <v>54</v>
      </c>
      <c r="C490" s="233" t="str">
        <f>_xlfn.XLOOKUP(B490, 'Component Masterlist v2'!A:A, 'Component Masterlist v2'!G:G, "Not found")</f>
        <v>Sanyam Agrawal</v>
      </c>
      <c r="D490" s="233" t="str">
        <f>_xlfn.XLOOKUP(B490, 'Component Masterlist v2'!A:A, 'Component Masterlist v2'!E:E, "Not found")</f>
        <v>Prashant Gupta, Vraj Solanki</v>
      </c>
    </row>
    <row r="491" spans="1:4">
      <c r="A491" s="226" t="s">
        <v>2583</v>
      </c>
      <c r="B491" s="227" t="s">
        <v>47</v>
      </c>
      <c r="C491" s="233" t="str">
        <f>_xlfn.XLOOKUP(B491, 'Component Masterlist v2'!A:A, 'Component Masterlist v2'!G:G, "Not found")</f>
        <v>Sanyam Agrawal</v>
      </c>
      <c r="D491" s="233" t="str">
        <f>_xlfn.XLOOKUP(B491, 'Component Masterlist v2'!A:A, 'Component Masterlist v2'!E:E, "Not found")</f>
        <v>Anirudh Agarwal</v>
      </c>
    </row>
    <row r="492" spans="1:4">
      <c r="A492" s="226" t="s">
        <v>2584</v>
      </c>
      <c r="B492" s="227" t="s">
        <v>91</v>
      </c>
      <c r="C492" s="233" t="str">
        <f>_xlfn.XLOOKUP(B492, 'Component Masterlist v2'!A:A, 'Component Masterlist v2'!G:G, "Not found")</f>
        <v>Ved Singh</v>
      </c>
      <c r="D492" s="233" t="str">
        <f>_xlfn.XLOOKUP(B492, 'Component Masterlist v2'!A:A, 'Component Masterlist v2'!E:E, "Not found")</f>
        <v>Ketan Dikshit</v>
      </c>
    </row>
    <row r="493" spans="1:4">
      <c r="A493" s="226" t="s">
        <v>2585</v>
      </c>
      <c r="B493" s="227" t="s">
        <v>84</v>
      </c>
      <c r="C493" s="233" t="str">
        <f>_xlfn.XLOOKUP(B493, 'Component Masterlist v2'!A:A, 'Component Masterlist v2'!G:G, "Not found")</f>
        <v>Ved Singh</v>
      </c>
      <c r="D493" s="233" t="str">
        <f>_xlfn.XLOOKUP(B493, 'Component Masterlist v2'!A:A, 'Component Masterlist v2'!E:E, "Not found")</f>
        <v>Damodara Reddy</v>
      </c>
    </row>
    <row r="494" spans="1:4">
      <c r="A494" s="226" t="s">
        <v>2586</v>
      </c>
      <c r="B494" s="227" t="s">
        <v>35</v>
      </c>
      <c r="C494" s="233" t="str">
        <f>_xlfn.XLOOKUP(B494, 'Component Masterlist v2'!A:A, 'Component Masterlist v2'!G:G, "Not found")</f>
        <v>Santosh Golecha</v>
      </c>
      <c r="D494" s="233" t="str">
        <f>_xlfn.XLOOKUP(B494, 'Component Masterlist v2'!A:A, 'Component Masterlist v2'!E:E, "Not found")</f>
        <v>Ankur Agarwal</v>
      </c>
    </row>
    <row r="495" spans="1:4">
      <c r="A495" s="226" t="s">
        <v>2587</v>
      </c>
      <c r="B495" s="227" t="s">
        <v>84</v>
      </c>
      <c r="C495" s="233" t="str">
        <f>_xlfn.XLOOKUP(B495, 'Component Masterlist v2'!A:A, 'Component Masterlist v2'!G:G, "Not found")</f>
        <v>Ved Singh</v>
      </c>
      <c r="D495" s="233" t="str">
        <f>_xlfn.XLOOKUP(B495, 'Component Masterlist v2'!A:A, 'Component Masterlist v2'!E:E, "Not found")</f>
        <v>Damodara Reddy</v>
      </c>
    </row>
    <row r="496" spans="1:4">
      <c r="A496" s="226" t="s">
        <v>2588</v>
      </c>
      <c r="B496" s="227" t="s">
        <v>54</v>
      </c>
      <c r="C496" s="233" t="str">
        <f>_xlfn.XLOOKUP(B496, 'Component Masterlist v2'!A:A, 'Component Masterlist v2'!G:G, "Not found")</f>
        <v>Sanyam Agrawal</v>
      </c>
      <c r="D496" s="233" t="str">
        <f>_xlfn.XLOOKUP(B496, 'Component Masterlist v2'!A:A, 'Component Masterlist v2'!E:E, "Not found")</f>
        <v>Prashant Gupta, Vraj Solanki</v>
      </c>
    </row>
    <row r="497" spans="1:4">
      <c r="A497" s="226" t="s">
        <v>2589</v>
      </c>
      <c r="B497" s="227" t="s">
        <v>84</v>
      </c>
      <c r="C497" s="233" t="str">
        <f>_xlfn.XLOOKUP(B497, 'Component Masterlist v2'!A:A, 'Component Masterlist v2'!G:G, "Not found")</f>
        <v>Ved Singh</v>
      </c>
      <c r="D497" s="233" t="str">
        <f>_xlfn.XLOOKUP(B497, 'Component Masterlist v2'!A:A, 'Component Masterlist v2'!E:E, "Not found")</f>
        <v>Damodara Reddy</v>
      </c>
    </row>
    <row r="498" spans="1:4">
      <c r="A498" s="226" t="s">
        <v>2590</v>
      </c>
      <c r="B498" s="227" t="s">
        <v>40</v>
      </c>
      <c r="C498" s="233" t="str">
        <f>_xlfn.XLOOKUP(B498, 'Component Masterlist v2'!A:A, 'Component Masterlist v2'!G:G, "Not found")</f>
        <v>Santosh Golecha</v>
      </c>
      <c r="D498" s="233" t="str">
        <f>_xlfn.XLOOKUP(B498, 'Component Masterlist v2'!A:A, 'Component Masterlist v2'!E:E, "Not found")</f>
        <v>Ankur Agarwal</v>
      </c>
    </row>
    <row r="499" spans="1:4">
      <c r="A499" s="226" t="s">
        <v>2591</v>
      </c>
      <c r="B499" s="227" t="s">
        <v>82</v>
      </c>
      <c r="C499" s="233" t="str">
        <f>_xlfn.XLOOKUP(B499, 'Component Masterlist v2'!A:A, 'Component Masterlist v2'!G:G, "Not found")</f>
        <v>Ved Singh</v>
      </c>
      <c r="D499" s="233" t="str">
        <f>_xlfn.XLOOKUP(B499, 'Component Masterlist v2'!A:A, 'Component Masterlist v2'!E:E, "Not found")</f>
        <v>Arun Gangadhar</v>
      </c>
    </row>
    <row r="500" spans="1:4">
      <c r="A500" s="226" t="s">
        <v>2592</v>
      </c>
      <c r="B500" s="227" t="s">
        <v>91</v>
      </c>
      <c r="C500" s="233" t="str">
        <f>_xlfn.XLOOKUP(B500, 'Component Masterlist v2'!A:A, 'Component Masterlist v2'!G:G, "Not found")</f>
        <v>Ved Singh</v>
      </c>
      <c r="D500" s="233" t="str">
        <f>_xlfn.XLOOKUP(B500, 'Component Masterlist v2'!A:A, 'Component Masterlist v2'!E:E, "Not found")</f>
        <v>Ketan Dikshit</v>
      </c>
    </row>
    <row r="501" spans="1:4">
      <c r="A501" s="226" t="s">
        <v>2593</v>
      </c>
      <c r="B501" s="227" t="s">
        <v>54</v>
      </c>
      <c r="C501" s="233" t="str">
        <f>_xlfn.XLOOKUP(B501, 'Component Masterlist v2'!A:A, 'Component Masterlist v2'!G:G, "Not found")</f>
        <v>Sanyam Agrawal</v>
      </c>
      <c r="D501" s="233" t="str">
        <f>_xlfn.XLOOKUP(B501, 'Component Masterlist v2'!A:A, 'Component Masterlist v2'!E:E, "Not found")</f>
        <v>Prashant Gupta, Vraj Solanki</v>
      </c>
    </row>
    <row r="502" spans="1:4">
      <c r="A502" s="226" t="s">
        <v>2594</v>
      </c>
      <c r="B502" s="227" t="s">
        <v>28</v>
      </c>
      <c r="C502" s="233" t="str">
        <f>_xlfn.XLOOKUP(B502, 'Component Masterlist v2'!A:A, 'Component Masterlist v2'!G:G, "Not found")</f>
        <v>Raghu Edalur</v>
      </c>
      <c r="D502" s="233" t="str">
        <f>_xlfn.XLOOKUP(B502, 'Component Masterlist v2'!A:A, 'Component Masterlist v2'!E:E, "Not found")</f>
        <v>Parul Jain</v>
      </c>
    </row>
    <row r="503" spans="1:4">
      <c r="A503" s="226" t="s">
        <v>2595</v>
      </c>
      <c r="B503" s="227" t="s">
        <v>40</v>
      </c>
      <c r="C503" s="233" t="str">
        <f>_xlfn.XLOOKUP(B503, 'Component Masterlist v2'!A:A, 'Component Masterlist v2'!G:G, "Not found")</f>
        <v>Santosh Golecha</v>
      </c>
      <c r="D503" s="233" t="str">
        <f>_xlfn.XLOOKUP(B503, 'Component Masterlist v2'!A:A, 'Component Masterlist v2'!E:E, "Not found")</f>
        <v>Ankur Agarwal</v>
      </c>
    </row>
    <row r="504" spans="1:4">
      <c r="A504" s="226" t="s">
        <v>2596</v>
      </c>
      <c r="B504" s="227" t="s">
        <v>82</v>
      </c>
      <c r="C504" s="233" t="str">
        <f>_xlfn.XLOOKUP(B504, 'Component Masterlist v2'!A:A, 'Component Masterlist v2'!G:G, "Not found")</f>
        <v>Ved Singh</v>
      </c>
      <c r="D504" s="233" t="str">
        <f>_xlfn.XLOOKUP(B504, 'Component Masterlist v2'!A:A, 'Component Masterlist v2'!E:E, "Not found")</f>
        <v>Arun Gangadhar</v>
      </c>
    </row>
    <row r="505" spans="1:4">
      <c r="A505" s="226" t="s">
        <v>2597</v>
      </c>
      <c r="B505" s="227" t="s">
        <v>40</v>
      </c>
      <c r="C505" s="233" t="str">
        <f>_xlfn.XLOOKUP(B505, 'Component Masterlist v2'!A:A, 'Component Masterlist v2'!G:G, "Not found")</f>
        <v>Santosh Golecha</v>
      </c>
      <c r="D505" s="233" t="str">
        <f>_xlfn.XLOOKUP(B505, 'Component Masterlist v2'!A:A, 'Component Masterlist v2'!E:E, "Not found")</f>
        <v>Ankur Agarwal</v>
      </c>
    </row>
    <row r="506" spans="1:4">
      <c r="A506" s="226" t="s">
        <v>2598</v>
      </c>
      <c r="B506" s="227" t="s">
        <v>47</v>
      </c>
      <c r="C506" s="233" t="str">
        <f>_xlfn.XLOOKUP(B506, 'Component Masterlist v2'!A:A, 'Component Masterlist v2'!G:G, "Not found")</f>
        <v>Sanyam Agrawal</v>
      </c>
      <c r="D506" s="233" t="str">
        <f>_xlfn.XLOOKUP(B506, 'Component Masterlist v2'!A:A, 'Component Masterlist v2'!E:E, "Not found")</f>
        <v>Anirudh Agarwal</v>
      </c>
    </row>
    <row r="507" spans="1:4">
      <c r="A507" s="226" t="s">
        <v>2599</v>
      </c>
      <c r="B507" s="227" t="s">
        <v>82</v>
      </c>
      <c r="C507" s="233" t="str">
        <f>_xlfn.XLOOKUP(B507, 'Component Masterlist v2'!A:A, 'Component Masterlist v2'!G:G, "Not found")</f>
        <v>Ved Singh</v>
      </c>
      <c r="D507" s="233" t="str">
        <f>_xlfn.XLOOKUP(B507, 'Component Masterlist v2'!A:A, 'Component Masterlist v2'!E:E, "Not found")</f>
        <v>Arun Gangadhar</v>
      </c>
    </row>
    <row r="508" spans="1:4">
      <c r="A508" s="226" t="s">
        <v>2600</v>
      </c>
      <c r="B508" s="227" t="s">
        <v>82</v>
      </c>
      <c r="C508" s="233" t="str">
        <f>_xlfn.XLOOKUP(B508, 'Component Masterlist v2'!A:A, 'Component Masterlist v2'!G:G, "Not found")</f>
        <v>Ved Singh</v>
      </c>
      <c r="D508" s="233" t="str">
        <f>_xlfn.XLOOKUP(B508, 'Component Masterlist v2'!A:A, 'Component Masterlist v2'!E:E, "Not found")</f>
        <v>Arun Gangadhar</v>
      </c>
    </row>
    <row r="509" spans="1:4">
      <c r="A509" s="226" t="s">
        <v>2601</v>
      </c>
      <c r="B509" s="227" t="s">
        <v>92</v>
      </c>
      <c r="C509" s="233" t="str">
        <f>_xlfn.XLOOKUP(B509, 'Component Masterlist v2'!A:A, 'Component Masterlist v2'!G:G, "Not found")</f>
        <v>Ved Singh</v>
      </c>
      <c r="D509" s="233" t="str">
        <f>_xlfn.XLOOKUP(B509, 'Component Masterlist v2'!A:A, 'Component Masterlist v2'!E:E, "Not found")</f>
        <v>Ketan Dikshit</v>
      </c>
    </row>
    <row r="510" spans="1:4">
      <c r="A510" s="226" t="s">
        <v>2602</v>
      </c>
      <c r="B510" s="227" t="s">
        <v>47</v>
      </c>
      <c r="C510" s="233" t="str">
        <f>_xlfn.XLOOKUP(B510, 'Component Masterlist v2'!A:A, 'Component Masterlist v2'!G:G, "Not found")</f>
        <v>Sanyam Agrawal</v>
      </c>
      <c r="D510" s="233" t="str">
        <f>_xlfn.XLOOKUP(B510, 'Component Masterlist v2'!A:A, 'Component Masterlist v2'!E:E, "Not found")</f>
        <v>Anirudh Agarwal</v>
      </c>
    </row>
    <row r="511" spans="1:4">
      <c r="A511" s="226" t="s">
        <v>2603</v>
      </c>
      <c r="B511" s="227" t="s">
        <v>49</v>
      </c>
      <c r="C511" s="233" t="str">
        <f>_xlfn.XLOOKUP(B511, 'Component Masterlist v2'!A:A, 'Component Masterlist v2'!G:G, "Not found")</f>
        <v>Sanyam Agrawal</v>
      </c>
      <c r="D511" s="233" t="str">
        <f>_xlfn.XLOOKUP(B511, 'Component Masterlist v2'!A:A, 'Component Masterlist v2'!E:E, "Not found")</f>
        <v>Fahad Tasleem</v>
      </c>
    </row>
    <row r="512" spans="1:4">
      <c r="A512" s="226" t="s">
        <v>2604</v>
      </c>
      <c r="B512" s="227" t="s">
        <v>54</v>
      </c>
      <c r="C512" s="233" t="str">
        <f>_xlfn.XLOOKUP(B512, 'Component Masterlist v2'!A:A, 'Component Masterlist v2'!G:G, "Not found")</f>
        <v>Sanyam Agrawal</v>
      </c>
      <c r="D512" s="233" t="str">
        <f>_xlfn.XLOOKUP(B512, 'Component Masterlist v2'!A:A, 'Component Masterlist v2'!E:E, "Not found")</f>
        <v>Prashant Gupta, Vraj Solanki</v>
      </c>
    </row>
    <row r="513" spans="1:4">
      <c r="A513" s="226" t="s">
        <v>2605</v>
      </c>
      <c r="B513" s="227" t="s">
        <v>28</v>
      </c>
      <c r="C513" s="233" t="str">
        <f>_xlfn.XLOOKUP(B513, 'Component Masterlist v2'!A:A, 'Component Masterlist v2'!G:G, "Not found")</f>
        <v>Raghu Edalur</v>
      </c>
      <c r="D513" s="233" t="str">
        <f>_xlfn.XLOOKUP(B513, 'Component Masterlist v2'!A:A, 'Component Masterlist v2'!E:E, "Not found")</f>
        <v>Parul Jain</v>
      </c>
    </row>
    <row r="514" spans="1:4">
      <c r="A514" s="226" t="s">
        <v>2606</v>
      </c>
      <c r="B514" s="227" t="s">
        <v>47</v>
      </c>
      <c r="C514" s="233" t="str">
        <f>_xlfn.XLOOKUP(B514, 'Component Masterlist v2'!A:A, 'Component Masterlist v2'!G:G, "Not found")</f>
        <v>Sanyam Agrawal</v>
      </c>
      <c r="D514" s="233" t="str">
        <f>_xlfn.XLOOKUP(B514, 'Component Masterlist v2'!A:A, 'Component Masterlist v2'!E:E, "Not found")</f>
        <v>Anirudh Agarwal</v>
      </c>
    </row>
    <row r="515" spans="1:4">
      <c r="A515" s="226" t="s">
        <v>2607</v>
      </c>
      <c r="B515" s="227" t="s">
        <v>85</v>
      </c>
      <c r="C515" s="233" t="str">
        <f>_xlfn.XLOOKUP(B515, 'Component Masterlist v2'!A:A, 'Component Masterlist v2'!G:G, "Not found")</f>
        <v>Ved Singh</v>
      </c>
      <c r="D515" s="233" t="str">
        <f>_xlfn.XLOOKUP(B515, 'Component Masterlist v2'!A:A, 'Component Masterlist v2'!E:E, "Not found")</f>
        <v>Damodara Reddy</v>
      </c>
    </row>
    <row r="516" spans="1:4">
      <c r="A516" s="226" t="s">
        <v>2608</v>
      </c>
      <c r="B516" s="227" t="s">
        <v>85</v>
      </c>
      <c r="C516" s="233" t="str">
        <f>_xlfn.XLOOKUP(B516, 'Component Masterlist v2'!A:A, 'Component Masterlist v2'!G:G, "Not found")</f>
        <v>Ved Singh</v>
      </c>
      <c r="D516" s="233" t="str">
        <f>_xlfn.XLOOKUP(B516, 'Component Masterlist v2'!A:A, 'Component Masterlist v2'!E:E, "Not found")</f>
        <v>Damodara Reddy</v>
      </c>
    </row>
    <row r="517" spans="1:4">
      <c r="A517" s="226" t="s">
        <v>2609</v>
      </c>
      <c r="B517" s="227" t="s">
        <v>82</v>
      </c>
      <c r="C517" s="233" t="str">
        <f>_xlfn.XLOOKUP(B517, 'Component Masterlist v2'!A:A, 'Component Masterlist v2'!G:G, "Not found")</f>
        <v>Ved Singh</v>
      </c>
      <c r="D517" s="233" t="str">
        <f>_xlfn.XLOOKUP(B517, 'Component Masterlist v2'!A:A, 'Component Masterlist v2'!E:E, "Not found")</f>
        <v>Arun Gangadhar</v>
      </c>
    </row>
    <row r="518" spans="1:4">
      <c r="A518" s="226" t="s">
        <v>2610</v>
      </c>
      <c r="B518" s="227" t="s">
        <v>92</v>
      </c>
      <c r="C518" s="233" t="str">
        <f>_xlfn.XLOOKUP(B518, 'Component Masterlist v2'!A:A, 'Component Masterlist v2'!G:G, "Not found")</f>
        <v>Ved Singh</v>
      </c>
      <c r="D518" s="233" t="str">
        <f>_xlfn.XLOOKUP(B518, 'Component Masterlist v2'!A:A, 'Component Masterlist v2'!E:E, "Not found")</f>
        <v>Ketan Dikshit</v>
      </c>
    </row>
    <row r="519" spans="1:4">
      <c r="A519" s="226" t="s">
        <v>2611</v>
      </c>
      <c r="B519" s="227" t="s">
        <v>82</v>
      </c>
      <c r="C519" s="233" t="str">
        <f>_xlfn.XLOOKUP(B519, 'Component Masterlist v2'!A:A, 'Component Masterlist v2'!G:G, "Not found")</f>
        <v>Ved Singh</v>
      </c>
      <c r="D519" s="233" t="str">
        <f>_xlfn.XLOOKUP(B519, 'Component Masterlist v2'!A:A, 'Component Masterlist v2'!E:E, "Not found")</f>
        <v>Arun Gangadhar</v>
      </c>
    </row>
    <row r="520" spans="1:4">
      <c r="A520" s="226" t="s">
        <v>2612</v>
      </c>
      <c r="B520" s="227" t="s">
        <v>82</v>
      </c>
      <c r="C520" s="233" t="str">
        <f>_xlfn.XLOOKUP(B520, 'Component Masterlist v2'!A:A, 'Component Masterlist v2'!G:G, "Not found")</f>
        <v>Ved Singh</v>
      </c>
      <c r="D520" s="233" t="str">
        <f>_xlfn.XLOOKUP(B520, 'Component Masterlist v2'!A:A, 'Component Masterlist v2'!E:E, "Not found")</f>
        <v>Arun Gangadhar</v>
      </c>
    </row>
    <row r="521" spans="1:4">
      <c r="A521" s="226" t="s">
        <v>2613</v>
      </c>
      <c r="B521" s="227" t="s">
        <v>54</v>
      </c>
      <c r="C521" s="233" t="str">
        <f>_xlfn.XLOOKUP(B521, 'Component Masterlist v2'!A:A, 'Component Masterlist v2'!G:G, "Not found")</f>
        <v>Sanyam Agrawal</v>
      </c>
      <c r="D521" s="233" t="str">
        <f>_xlfn.XLOOKUP(B521, 'Component Masterlist v2'!A:A, 'Component Masterlist v2'!E:E, "Not found")</f>
        <v>Prashant Gupta, Vraj Solanki</v>
      </c>
    </row>
    <row r="522" spans="1:4">
      <c r="A522" s="226" t="s">
        <v>2614</v>
      </c>
      <c r="B522" s="227" t="s">
        <v>91</v>
      </c>
      <c r="C522" s="233" t="str">
        <f>_xlfn.XLOOKUP(B522, 'Component Masterlist v2'!A:A, 'Component Masterlist v2'!G:G, "Not found")</f>
        <v>Ved Singh</v>
      </c>
      <c r="D522" s="233" t="str">
        <f>_xlfn.XLOOKUP(B522, 'Component Masterlist v2'!A:A, 'Component Masterlist v2'!E:E, "Not found")</f>
        <v>Ketan Dikshit</v>
      </c>
    </row>
    <row r="523" spans="1:4">
      <c r="A523" s="226" t="s">
        <v>2615</v>
      </c>
      <c r="B523" s="227" t="s">
        <v>40</v>
      </c>
      <c r="C523" s="233" t="str">
        <f>_xlfn.XLOOKUP(B523, 'Component Masterlist v2'!A:A, 'Component Masterlist v2'!G:G, "Not found")</f>
        <v>Santosh Golecha</v>
      </c>
      <c r="D523" s="233" t="str">
        <f>_xlfn.XLOOKUP(B523, 'Component Masterlist v2'!A:A, 'Component Masterlist v2'!E:E, "Not found")</f>
        <v>Ankur Agarwal</v>
      </c>
    </row>
    <row r="524" spans="1:4">
      <c r="A524" s="226" t="s">
        <v>2616</v>
      </c>
      <c r="B524" s="227" t="s">
        <v>92</v>
      </c>
      <c r="C524" s="233" t="str">
        <f>_xlfn.XLOOKUP(B524, 'Component Masterlist v2'!A:A, 'Component Masterlist v2'!G:G, "Not found")</f>
        <v>Ved Singh</v>
      </c>
      <c r="D524" s="233" t="str">
        <f>_xlfn.XLOOKUP(B524, 'Component Masterlist v2'!A:A, 'Component Masterlist v2'!E:E, "Not found")</f>
        <v>Ketan Dikshit</v>
      </c>
    </row>
    <row r="525" spans="1:4">
      <c r="A525" s="226" t="s">
        <v>2617</v>
      </c>
      <c r="B525" s="227" t="s">
        <v>54</v>
      </c>
      <c r="C525" s="233" t="str">
        <f>_xlfn.XLOOKUP(B525, 'Component Masterlist v2'!A:A, 'Component Masterlist v2'!G:G, "Not found")</f>
        <v>Sanyam Agrawal</v>
      </c>
      <c r="D525" s="233" t="str">
        <f>_xlfn.XLOOKUP(B525, 'Component Masterlist v2'!A:A, 'Component Masterlist v2'!E:E, "Not found")</f>
        <v>Prashant Gupta, Vraj Solanki</v>
      </c>
    </row>
    <row r="526" spans="1:4">
      <c r="A526" s="226" t="s">
        <v>2618</v>
      </c>
      <c r="B526" s="227" t="s">
        <v>82</v>
      </c>
      <c r="C526" s="233" t="str">
        <f>_xlfn.XLOOKUP(B526, 'Component Masterlist v2'!A:A, 'Component Masterlist v2'!G:G, "Not found")</f>
        <v>Ved Singh</v>
      </c>
      <c r="D526" s="233" t="str">
        <f>_xlfn.XLOOKUP(B526, 'Component Masterlist v2'!A:A, 'Component Masterlist v2'!E:E, "Not found")</f>
        <v>Arun Gangadhar</v>
      </c>
    </row>
    <row r="527" spans="1:4">
      <c r="A527" s="226" t="s">
        <v>2619</v>
      </c>
      <c r="B527" s="227" t="s">
        <v>40</v>
      </c>
      <c r="C527" s="233" t="str">
        <f>_xlfn.XLOOKUP(B527, 'Component Masterlist v2'!A:A, 'Component Masterlist v2'!G:G, "Not found")</f>
        <v>Santosh Golecha</v>
      </c>
      <c r="D527" s="233" t="str">
        <f>_xlfn.XLOOKUP(B527, 'Component Masterlist v2'!A:A, 'Component Masterlist v2'!E:E, "Not found")</f>
        <v>Ankur Agarwal</v>
      </c>
    </row>
    <row r="528" spans="1:4">
      <c r="A528" s="226" t="s">
        <v>2620</v>
      </c>
      <c r="B528" s="227" t="s">
        <v>54</v>
      </c>
      <c r="C528" s="233" t="str">
        <f>_xlfn.XLOOKUP(B528, 'Component Masterlist v2'!A:A, 'Component Masterlist v2'!G:G, "Not found")</f>
        <v>Sanyam Agrawal</v>
      </c>
      <c r="D528" s="233" t="str">
        <f>_xlfn.XLOOKUP(B528, 'Component Masterlist v2'!A:A, 'Component Masterlist v2'!E:E, "Not found")</f>
        <v>Prashant Gupta, Vraj Solanki</v>
      </c>
    </row>
    <row r="529" spans="1:4">
      <c r="A529" s="226" t="s">
        <v>2621</v>
      </c>
      <c r="B529" s="227" t="s">
        <v>85</v>
      </c>
      <c r="C529" s="233" t="str">
        <f>_xlfn.XLOOKUP(B529, 'Component Masterlist v2'!A:A, 'Component Masterlist v2'!G:G, "Not found")</f>
        <v>Ved Singh</v>
      </c>
      <c r="D529" s="233" t="str">
        <f>_xlfn.XLOOKUP(B529, 'Component Masterlist v2'!A:A, 'Component Masterlist v2'!E:E, "Not found")</f>
        <v>Damodara Reddy</v>
      </c>
    </row>
    <row r="530" spans="1:4">
      <c r="A530" s="226" t="s">
        <v>2622</v>
      </c>
      <c r="B530" s="227" t="s">
        <v>92</v>
      </c>
      <c r="C530" s="233" t="str">
        <f>_xlfn.XLOOKUP(B530, 'Component Masterlist v2'!A:A, 'Component Masterlist v2'!G:G, "Not found")</f>
        <v>Ved Singh</v>
      </c>
      <c r="D530" s="233" t="str">
        <f>_xlfn.XLOOKUP(B530, 'Component Masterlist v2'!A:A, 'Component Masterlist v2'!E:E, "Not found")</f>
        <v>Ketan Dikshit</v>
      </c>
    </row>
    <row r="531" spans="1:4">
      <c r="A531" s="226" t="s">
        <v>2623</v>
      </c>
      <c r="B531" s="227" t="s">
        <v>50</v>
      </c>
      <c r="C531" s="233" t="str">
        <f>_xlfn.XLOOKUP(B531, 'Component Masterlist v2'!A:A, 'Component Masterlist v2'!G:G, "Not found")</f>
        <v>Sanyam Agrawal</v>
      </c>
      <c r="D531" s="233" t="str">
        <f>_xlfn.XLOOKUP(B531, 'Component Masterlist v2'!A:A, 'Component Masterlist v2'!E:E, "Not found")</f>
        <v>Fahad Tasleem</v>
      </c>
    </row>
    <row r="532" spans="1:4">
      <c r="A532" s="226" t="s">
        <v>2624</v>
      </c>
      <c r="B532" s="227" t="s">
        <v>92</v>
      </c>
      <c r="C532" s="233" t="str">
        <f>_xlfn.XLOOKUP(B532, 'Component Masterlist v2'!A:A, 'Component Masterlist v2'!G:G, "Not found")</f>
        <v>Ved Singh</v>
      </c>
      <c r="D532" s="233" t="str">
        <f>_xlfn.XLOOKUP(B532, 'Component Masterlist v2'!A:A, 'Component Masterlist v2'!E:E, "Not found")</f>
        <v>Ketan Dikshit</v>
      </c>
    </row>
    <row r="533" spans="1:4">
      <c r="A533" s="226" t="s">
        <v>2625</v>
      </c>
      <c r="B533" s="227" t="s">
        <v>88</v>
      </c>
      <c r="C533" s="233" t="str">
        <f>_xlfn.XLOOKUP(B533, 'Component Masterlist v2'!A:A, 'Component Masterlist v2'!G:G, "Not found")</f>
        <v>Ved Singh</v>
      </c>
      <c r="D533" s="233" t="str">
        <f>_xlfn.XLOOKUP(B533, 'Component Masterlist v2'!A:A, 'Component Masterlist v2'!E:E, "Not found")</f>
        <v>Karan Jeet Singh</v>
      </c>
    </row>
    <row r="534" spans="1:4">
      <c r="A534" s="226" t="s">
        <v>2626</v>
      </c>
      <c r="B534" s="227" t="s">
        <v>47</v>
      </c>
      <c r="C534" s="233" t="str">
        <f>_xlfn.XLOOKUP(B534, 'Component Masterlist v2'!A:A, 'Component Masterlist v2'!G:G, "Not found")</f>
        <v>Sanyam Agrawal</v>
      </c>
      <c r="D534" s="233" t="str">
        <f>_xlfn.XLOOKUP(B534, 'Component Masterlist v2'!A:A, 'Component Masterlist v2'!E:E, "Not found")</f>
        <v>Anirudh Agarwal</v>
      </c>
    </row>
    <row r="535" spans="1:4">
      <c r="A535" s="226" t="s">
        <v>2627</v>
      </c>
      <c r="B535" s="227" t="s">
        <v>54</v>
      </c>
      <c r="C535" s="233" t="str">
        <f>_xlfn.XLOOKUP(B535, 'Component Masterlist v2'!A:A, 'Component Masterlist v2'!G:G, "Not found")</f>
        <v>Sanyam Agrawal</v>
      </c>
      <c r="D535" s="233" t="str">
        <f>_xlfn.XLOOKUP(B535, 'Component Masterlist v2'!A:A, 'Component Masterlist v2'!E:E, "Not found")</f>
        <v>Prashant Gupta, Vraj Solanki</v>
      </c>
    </row>
    <row r="536" spans="1:4">
      <c r="A536" s="226" t="s">
        <v>2628</v>
      </c>
      <c r="B536" s="227" t="s">
        <v>91</v>
      </c>
      <c r="C536" s="233" t="str">
        <f>_xlfn.XLOOKUP(B536, 'Component Masterlist v2'!A:A, 'Component Masterlist v2'!G:G, "Not found")</f>
        <v>Ved Singh</v>
      </c>
      <c r="D536" s="233" t="str">
        <f>_xlfn.XLOOKUP(B536, 'Component Masterlist v2'!A:A, 'Component Masterlist v2'!E:E, "Not found")</f>
        <v>Ketan Dikshit</v>
      </c>
    </row>
    <row r="537" spans="1:4">
      <c r="A537" s="226" t="s">
        <v>2629</v>
      </c>
      <c r="B537" s="227" t="s">
        <v>40</v>
      </c>
      <c r="C537" s="233" t="str">
        <f>_xlfn.XLOOKUP(B537, 'Component Masterlist v2'!A:A, 'Component Masterlist v2'!G:G, "Not found")</f>
        <v>Santosh Golecha</v>
      </c>
      <c r="D537" s="233" t="str">
        <f>_xlfn.XLOOKUP(B537, 'Component Masterlist v2'!A:A, 'Component Masterlist v2'!E:E, "Not found")</f>
        <v>Ankur Agarwal</v>
      </c>
    </row>
    <row r="538" spans="1:4">
      <c r="A538" s="226" t="s">
        <v>2630</v>
      </c>
      <c r="B538" s="227" t="s">
        <v>54</v>
      </c>
      <c r="C538" s="233" t="str">
        <f>_xlfn.XLOOKUP(B538, 'Component Masterlist v2'!A:A, 'Component Masterlist v2'!G:G, "Not found")</f>
        <v>Sanyam Agrawal</v>
      </c>
      <c r="D538" s="233" t="str">
        <f>_xlfn.XLOOKUP(B538, 'Component Masterlist v2'!A:A, 'Component Masterlist v2'!E:E, "Not found")</f>
        <v>Prashant Gupta, Vraj Solanki</v>
      </c>
    </row>
    <row r="539" spans="1:4">
      <c r="A539" s="226" t="s">
        <v>2631</v>
      </c>
      <c r="B539" s="227" t="s">
        <v>88</v>
      </c>
      <c r="C539" s="233" t="str">
        <f>_xlfn.XLOOKUP(B539, 'Component Masterlist v2'!A:A, 'Component Masterlist v2'!G:G, "Not found")</f>
        <v>Ved Singh</v>
      </c>
      <c r="D539" s="233" t="str">
        <f>_xlfn.XLOOKUP(B539, 'Component Masterlist v2'!A:A, 'Component Masterlist v2'!E:E, "Not found")</f>
        <v>Karan Jeet Singh</v>
      </c>
    </row>
    <row r="540" spans="1:4">
      <c r="A540" s="226" t="s">
        <v>2632</v>
      </c>
      <c r="B540" s="227" t="s">
        <v>88</v>
      </c>
      <c r="C540" s="233" t="str">
        <f>_xlfn.XLOOKUP(B540, 'Component Masterlist v2'!A:A, 'Component Masterlist v2'!G:G, "Not found")</f>
        <v>Ved Singh</v>
      </c>
      <c r="D540" s="233" t="str">
        <f>_xlfn.XLOOKUP(B540, 'Component Masterlist v2'!A:A, 'Component Masterlist v2'!E:E, "Not found")</f>
        <v>Karan Jeet Singh</v>
      </c>
    </row>
    <row r="541" spans="1:4">
      <c r="A541" s="226" t="s">
        <v>2633</v>
      </c>
      <c r="B541" s="227" t="s">
        <v>28</v>
      </c>
      <c r="C541" s="233" t="str">
        <f>_xlfn.XLOOKUP(B541, 'Component Masterlist v2'!A:A, 'Component Masterlist v2'!G:G, "Not found")</f>
        <v>Raghu Edalur</v>
      </c>
      <c r="D541" s="233" t="str">
        <f>_xlfn.XLOOKUP(B541, 'Component Masterlist v2'!A:A, 'Component Masterlist v2'!E:E, "Not found")</f>
        <v>Parul Jain</v>
      </c>
    </row>
    <row r="542" spans="1:4">
      <c r="A542" s="226" t="s">
        <v>2634</v>
      </c>
      <c r="B542" s="227" t="s">
        <v>82</v>
      </c>
      <c r="C542" s="233" t="str">
        <f>_xlfn.XLOOKUP(B542, 'Component Masterlist v2'!A:A, 'Component Masterlist v2'!G:G, "Not found")</f>
        <v>Ved Singh</v>
      </c>
      <c r="D542" s="233" t="str">
        <f>_xlfn.XLOOKUP(B542, 'Component Masterlist v2'!A:A, 'Component Masterlist v2'!E:E, "Not found")</f>
        <v>Arun Gangadhar</v>
      </c>
    </row>
    <row r="543" spans="1:4">
      <c r="A543" s="226" t="s">
        <v>2635</v>
      </c>
      <c r="B543" s="227" t="s">
        <v>49</v>
      </c>
      <c r="C543" s="233" t="str">
        <f>_xlfn.XLOOKUP(B543, 'Component Masterlist v2'!A:A, 'Component Masterlist v2'!G:G, "Not found")</f>
        <v>Sanyam Agrawal</v>
      </c>
      <c r="D543" s="233" t="str">
        <f>_xlfn.XLOOKUP(B543, 'Component Masterlist v2'!A:A, 'Component Masterlist v2'!E:E, "Not found")</f>
        <v>Fahad Tasleem</v>
      </c>
    </row>
    <row r="544" spans="1:4">
      <c r="A544" s="226" t="s">
        <v>2636</v>
      </c>
      <c r="B544" s="227" t="s">
        <v>49</v>
      </c>
      <c r="C544" s="233" t="str">
        <f>_xlfn.XLOOKUP(B544, 'Component Masterlist v2'!A:A, 'Component Masterlist v2'!G:G, "Not found")</f>
        <v>Sanyam Agrawal</v>
      </c>
      <c r="D544" s="233" t="str">
        <f>_xlfn.XLOOKUP(B544, 'Component Masterlist v2'!A:A, 'Component Masterlist v2'!E:E, "Not found")</f>
        <v>Fahad Tasleem</v>
      </c>
    </row>
    <row r="545" spans="1:4">
      <c r="A545" s="226" t="s">
        <v>2637</v>
      </c>
      <c r="B545" s="227" t="s">
        <v>82</v>
      </c>
      <c r="C545" s="233" t="str">
        <f>_xlfn.XLOOKUP(B545, 'Component Masterlist v2'!A:A, 'Component Masterlist v2'!G:G, "Not found")</f>
        <v>Ved Singh</v>
      </c>
      <c r="D545" s="233" t="str">
        <f>_xlfn.XLOOKUP(B545, 'Component Masterlist v2'!A:A, 'Component Masterlist v2'!E:E, "Not found")</f>
        <v>Arun Gangadhar</v>
      </c>
    </row>
    <row r="546" spans="1:4">
      <c r="A546" s="226" t="s">
        <v>2638</v>
      </c>
      <c r="B546" s="227" t="s">
        <v>52</v>
      </c>
      <c r="C546" s="233" t="str">
        <f>_xlfn.XLOOKUP(B546, 'Component Masterlist v2'!A:A, 'Component Masterlist v2'!G:G, "Not found")</f>
        <v>Sanyam Agrawal</v>
      </c>
      <c r="D546" s="233" t="str">
        <f>_xlfn.XLOOKUP(B546, 'Component Masterlist v2'!A:A, 'Component Masterlist v2'!E:E, "Not found")</f>
        <v>Fahad Tasleem</v>
      </c>
    </row>
    <row r="547" spans="1:4">
      <c r="A547" s="226" t="s">
        <v>2639</v>
      </c>
      <c r="B547" s="227" t="s">
        <v>88</v>
      </c>
      <c r="C547" s="233" t="str">
        <f>_xlfn.XLOOKUP(B547, 'Component Masterlist v2'!A:A, 'Component Masterlist v2'!G:G, "Not found")</f>
        <v>Ved Singh</v>
      </c>
      <c r="D547" s="233" t="str">
        <f>_xlfn.XLOOKUP(B547, 'Component Masterlist v2'!A:A, 'Component Masterlist v2'!E:E, "Not found")</f>
        <v>Karan Jeet Singh</v>
      </c>
    </row>
    <row r="548" spans="1:4">
      <c r="A548" s="226" t="s">
        <v>2640</v>
      </c>
      <c r="B548" s="227" t="s">
        <v>54</v>
      </c>
      <c r="C548" s="233" t="str">
        <f>_xlfn.XLOOKUP(B548, 'Component Masterlist v2'!A:A, 'Component Masterlist v2'!G:G, "Not found")</f>
        <v>Sanyam Agrawal</v>
      </c>
      <c r="D548" s="233" t="str">
        <f>_xlfn.XLOOKUP(B548, 'Component Masterlist v2'!A:A, 'Component Masterlist v2'!E:E, "Not found")</f>
        <v>Prashant Gupta, Vraj Solanki</v>
      </c>
    </row>
    <row r="549" spans="1:4">
      <c r="A549" s="226" t="s">
        <v>2641</v>
      </c>
      <c r="B549" s="227" t="s">
        <v>52</v>
      </c>
      <c r="C549" s="233" t="str">
        <f>_xlfn.XLOOKUP(B549, 'Component Masterlist v2'!A:A, 'Component Masterlist v2'!G:G, "Not found")</f>
        <v>Sanyam Agrawal</v>
      </c>
      <c r="D549" s="233" t="str">
        <f>_xlfn.XLOOKUP(B549, 'Component Masterlist v2'!A:A, 'Component Masterlist v2'!E:E, "Not found")</f>
        <v>Fahad Tasleem</v>
      </c>
    </row>
    <row r="550" spans="1:4">
      <c r="A550" s="226" t="s">
        <v>2642</v>
      </c>
      <c r="B550" s="227" t="s">
        <v>91</v>
      </c>
      <c r="C550" s="233" t="str">
        <f>_xlfn.XLOOKUP(B550, 'Component Masterlist v2'!A:A, 'Component Masterlist v2'!G:G, "Not found")</f>
        <v>Ved Singh</v>
      </c>
      <c r="D550" s="233" t="str">
        <f>_xlfn.XLOOKUP(B550, 'Component Masterlist v2'!A:A, 'Component Masterlist v2'!E:E, "Not found")</f>
        <v>Ketan Dikshit</v>
      </c>
    </row>
    <row r="551" spans="1:4">
      <c r="A551" s="226" t="s">
        <v>2643</v>
      </c>
      <c r="B551" s="227" t="s">
        <v>28</v>
      </c>
      <c r="C551" s="233" t="str">
        <f>_xlfn.XLOOKUP(B551, 'Component Masterlist v2'!A:A, 'Component Masterlist v2'!G:G, "Not found")</f>
        <v>Raghu Edalur</v>
      </c>
      <c r="D551" s="233" t="str">
        <f>_xlfn.XLOOKUP(B551, 'Component Masterlist v2'!A:A, 'Component Masterlist v2'!E:E, "Not found")</f>
        <v>Parul Jain</v>
      </c>
    </row>
    <row r="552" spans="1:4">
      <c r="A552" s="226" t="s">
        <v>2644</v>
      </c>
      <c r="B552" s="227" t="s">
        <v>51</v>
      </c>
      <c r="C552" s="233" t="str">
        <f>_xlfn.XLOOKUP(B552, 'Component Masterlist v2'!A:A, 'Component Masterlist v2'!G:G, "Not found")</f>
        <v>Sanyam Agrawal</v>
      </c>
      <c r="D552" s="233" t="str">
        <f>_xlfn.XLOOKUP(B552, 'Component Masterlist v2'!A:A, 'Component Masterlist v2'!E:E, "Not found")</f>
        <v>Fahad Tasleem</v>
      </c>
    </row>
    <row r="553" spans="1:4">
      <c r="A553" s="226" t="s">
        <v>2645</v>
      </c>
      <c r="B553" s="227" t="s">
        <v>82</v>
      </c>
      <c r="C553" s="233" t="str">
        <f>_xlfn.XLOOKUP(B553, 'Component Masterlist v2'!A:A, 'Component Masterlist v2'!G:G, "Not found")</f>
        <v>Ved Singh</v>
      </c>
      <c r="D553" s="233" t="str">
        <f>_xlfn.XLOOKUP(B553, 'Component Masterlist v2'!A:A, 'Component Masterlist v2'!E:E, "Not found")</f>
        <v>Arun Gangadhar</v>
      </c>
    </row>
    <row r="554" spans="1:4">
      <c r="A554" s="226" t="s">
        <v>2646</v>
      </c>
      <c r="B554" s="227" t="s">
        <v>54</v>
      </c>
      <c r="C554" s="233" t="str">
        <f>_xlfn.XLOOKUP(B554, 'Component Masterlist v2'!A:A, 'Component Masterlist v2'!G:G, "Not found")</f>
        <v>Sanyam Agrawal</v>
      </c>
      <c r="D554" s="233" t="str">
        <f>_xlfn.XLOOKUP(B554, 'Component Masterlist v2'!A:A, 'Component Masterlist v2'!E:E, "Not found")</f>
        <v>Prashant Gupta, Vraj Solanki</v>
      </c>
    </row>
    <row r="555" spans="1:4">
      <c r="A555" s="226" t="s">
        <v>2647</v>
      </c>
      <c r="B555" s="227" t="s">
        <v>88</v>
      </c>
      <c r="C555" s="233" t="str">
        <f>_xlfn.XLOOKUP(B555, 'Component Masterlist v2'!A:A, 'Component Masterlist v2'!G:G, "Not found")</f>
        <v>Ved Singh</v>
      </c>
      <c r="D555" s="233" t="str">
        <f>_xlfn.XLOOKUP(B555, 'Component Masterlist v2'!A:A, 'Component Masterlist v2'!E:E, "Not found")</f>
        <v>Karan Jeet Singh</v>
      </c>
    </row>
    <row r="556" spans="1:4">
      <c r="A556" s="226" t="s">
        <v>2648</v>
      </c>
      <c r="B556" s="227" t="s">
        <v>82</v>
      </c>
      <c r="C556" s="233" t="str">
        <f>_xlfn.XLOOKUP(B556, 'Component Masterlist v2'!A:A, 'Component Masterlist v2'!G:G, "Not found")</f>
        <v>Ved Singh</v>
      </c>
      <c r="D556" s="233" t="str">
        <f>_xlfn.XLOOKUP(B556, 'Component Masterlist v2'!A:A, 'Component Masterlist v2'!E:E, "Not found")</f>
        <v>Arun Gangadhar</v>
      </c>
    </row>
    <row r="557" spans="1:4">
      <c r="A557" s="226" t="s">
        <v>2649</v>
      </c>
      <c r="B557" s="227" t="s">
        <v>82</v>
      </c>
      <c r="C557" s="233" t="str">
        <f>_xlfn.XLOOKUP(B557, 'Component Masterlist v2'!A:A, 'Component Masterlist v2'!G:G, "Not found")</f>
        <v>Ved Singh</v>
      </c>
      <c r="D557" s="233" t="str">
        <f>_xlfn.XLOOKUP(B557, 'Component Masterlist v2'!A:A, 'Component Masterlist v2'!E:E, "Not found")</f>
        <v>Arun Gangadhar</v>
      </c>
    </row>
    <row r="558" spans="1:4">
      <c r="A558" s="226" t="s">
        <v>2650</v>
      </c>
      <c r="B558" s="227" t="s">
        <v>88</v>
      </c>
      <c r="C558" s="233" t="str">
        <f>_xlfn.XLOOKUP(B558, 'Component Masterlist v2'!A:A, 'Component Masterlist v2'!G:G, "Not found")</f>
        <v>Ved Singh</v>
      </c>
      <c r="D558" s="233" t="str">
        <f>_xlfn.XLOOKUP(B558, 'Component Masterlist v2'!A:A, 'Component Masterlist v2'!E:E, "Not found")</f>
        <v>Karan Jeet Singh</v>
      </c>
    </row>
    <row r="559" spans="1:4">
      <c r="A559" s="226" t="s">
        <v>2651</v>
      </c>
      <c r="B559" s="227" t="s">
        <v>50</v>
      </c>
      <c r="C559" s="233" t="str">
        <f>_xlfn.XLOOKUP(B559, 'Component Masterlist v2'!A:A, 'Component Masterlist v2'!G:G, "Not found")</f>
        <v>Sanyam Agrawal</v>
      </c>
      <c r="D559" s="233" t="str">
        <f>_xlfn.XLOOKUP(B559, 'Component Masterlist v2'!A:A, 'Component Masterlist v2'!E:E, "Not found")</f>
        <v>Fahad Tasleem</v>
      </c>
    </row>
    <row r="560" spans="1:4">
      <c r="A560" s="226" t="s">
        <v>2652</v>
      </c>
      <c r="B560" s="227" t="s">
        <v>61</v>
      </c>
      <c r="C560" s="233" t="str">
        <f>_xlfn.XLOOKUP(B560, 'Component Masterlist v2'!A:A, 'Component Masterlist v2'!G:G, "Not found")</f>
        <v>Turker Coskun</v>
      </c>
      <c r="D560" s="233" t="str">
        <f>_xlfn.XLOOKUP(B560, 'Component Masterlist v2'!A:A, 'Component Masterlist v2'!E:E, "Not found")</f>
        <v>Prakash Mohan</v>
      </c>
    </row>
    <row r="561" spans="1:4">
      <c r="A561" s="226" t="s">
        <v>2653</v>
      </c>
      <c r="B561" s="227" t="s">
        <v>61</v>
      </c>
      <c r="C561" s="233" t="str">
        <f>_xlfn.XLOOKUP(B561, 'Component Masterlist v2'!A:A, 'Component Masterlist v2'!G:G, "Not found")</f>
        <v>Turker Coskun</v>
      </c>
      <c r="D561" s="233" t="str">
        <f>_xlfn.XLOOKUP(B561, 'Component Masterlist v2'!A:A, 'Component Masterlist v2'!E:E, "Not found")</f>
        <v>Prakash Mohan</v>
      </c>
    </row>
    <row r="562" spans="1:4">
      <c r="A562" s="226" t="s">
        <v>2654</v>
      </c>
      <c r="B562" s="227" t="s">
        <v>61</v>
      </c>
      <c r="C562" s="233" t="str">
        <f>_xlfn.XLOOKUP(B562, 'Component Masterlist v2'!A:A, 'Component Masterlist v2'!G:G, "Not found")</f>
        <v>Turker Coskun</v>
      </c>
      <c r="D562" s="233" t="str">
        <f>_xlfn.XLOOKUP(B562, 'Component Masterlist v2'!A:A, 'Component Masterlist v2'!E:E, "Not found")</f>
        <v>Prakash Mohan</v>
      </c>
    </row>
    <row r="563" spans="1:4">
      <c r="A563" s="226" t="s">
        <v>2655</v>
      </c>
      <c r="B563" s="227" t="s">
        <v>61</v>
      </c>
      <c r="C563" s="233" t="str">
        <f>_xlfn.XLOOKUP(B563, 'Component Masterlist v2'!A:A, 'Component Masterlist v2'!G:G, "Not found")</f>
        <v>Turker Coskun</v>
      </c>
      <c r="D563" s="233" t="str">
        <f>_xlfn.XLOOKUP(B563, 'Component Masterlist v2'!A:A, 'Component Masterlist v2'!E:E, "Not found")</f>
        <v>Prakash Mohan</v>
      </c>
    </row>
    <row r="564" spans="1:4">
      <c r="A564" s="226" t="s">
        <v>2656</v>
      </c>
      <c r="B564" s="227" t="s">
        <v>61</v>
      </c>
      <c r="C564" s="233" t="str">
        <f>_xlfn.XLOOKUP(B564, 'Component Masterlist v2'!A:A, 'Component Masterlist v2'!G:G, "Not found")</f>
        <v>Turker Coskun</v>
      </c>
      <c r="D564" s="233" t="str">
        <f>_xlfn.XLOOKUP(B564, 'Component Masterlist v2'!A:A, 'Component Masterlist v2'!E:E, "Not found")</f>
        <v>Prakash Mohan</v>
      </c>
    </row>
    <row r="565" spans="1:4">
      <c r="A565" s="226" t="s">
        <v>2657</v>
      </c>
      <c r="B565" s="227" t="s">
        <v>61</v>
      </c>
      <c r="C565" s="233" t="str">
        <f>_xlfn.XLOOKUP(B565, 'Component Masterlist v2'!A:A, 'Component Masterlist v2'!G:G, "Not found")</f>
        <v>Turker Coskun</v>
      </c>
      <c r="D565" s="233" t="str">
        <f>_xlfn.XLOOKUP(B565, 'Component Masterlist v2'!A:A, 'Component Masterlist v2'!E:E, "Not found")</f>
        <v>Prakash Mohan</v>
      </c>
    </row>
    <row r="566" spans="1:4">
      <c r="A566" s="226" t="s">
        <v>2658</v>
      </c>
      <c r="B566" s="227" t="s">
        <v>61</v>
      </c>
      <c r="C566" s="233" t="str">
        <f>_xlfn.XLOOKUP(B566, 'Component Masterlist v2'!A:A, 'Component Masterlist v2'!G:G, "Not found")</f>
        <v>Turker Coskun</v>
      </c>
      <c r="D566" s="233" t="str">
        <f>_xlfn.XLOOKUP(B566, 'Component Masterlist v2'!A:A, 'Component Masterlist v2'!E:E, "Not found")</f>
        <v>Prakash Mohan</v>
      </c>
    </row>
    <row r="567" spans="1:4">
      <c r="A567" s="226" t="s">
        <v>2659</v>
      </c>
      <c r="B567" s="227" t="s">
        <v>61</v>
      </c>
      <c r="C567" s="233" t="str">
        <f>_xlfn.XLOOKUP(B567, 'Component Masterlist v2'!A:A, 'Component Masterlist v2'!G:G, "Not found")</f>
        <v>Turker Coskun</v>
      </c>
      <c r="D567" s="233" t="str">
        <f>_xlfn.XLOOKUP(B567, 'Component Masterlist v2'!A:A, 'Component Masterlist v2'!E:E, "Not found")</f>
        <v>Prakash Mohan</v>
      </c>
    </row>
    <row r="568" spans="1:4">
      <c r="A568" s="226" t="s">
        <v>2660</v>
      </c>
      <c r="B568" s="227" t="s">
        <v>61</v>
      </c>
      <c r="C568" s="233" t="str">
        <f>_xlfn.XLOOKUP(B568, 'Component Masterlist v2'!A:A, 'Component Masterlist v2'!G:G, "Not found")</f>
        <v>Turker Coskun</v>
      </c>
      <c r="D568" s="233" t="str">
        <f>_xlfn.XLOOKUP(B568, 'Component Masterlist v2'!A:A, 'Component Masterlist v2'!E:E, "Not found")</f>
        <v>Prakash Mohan</v>
      </c>
    </row>
    <row r="569" spans="1:4">
      <c r="A569" s="226" t="s">
        <v>2661</v>
      </c>
      <c r="B569" s="227" t="s">
        <v>61</v>
      </c>
      <c r="C569" s="233" t="str">
        <f>_xlfn.XLOOKUP(B569, 'Component Masterlist v2'!A:A, 'Component Masterlist v2'!G:G, "Not found")</f>
        <v>Turker Coskun</v>
      </c>
      <c r="D569" s="233" t="str">
        <f>_xlfn.XLOOKUP(B569, 'Component Masterlist v2'!A:A, 'Component Masterlist v2'!E:E, "Not found")</f>
        <v>Prakash Mohan</v>
      </c>
    </row>
    <row r="570" spans="1:4">
      <c r="A570" s="226" t="s">
        <v>2662</v>
      </c>
      <c r="B570" s="227" t="s">
        <v>61</v>
      </c>
      <c r="C570" s="233" t="str">
        <f>_xlfn.XLOOKUP(B570, 'Component Masterlist v2'!A:A, 'Component Masterlist v2'!G:G, "Not found")</f>
        <v>Turker Coskun</v>
      </c>
      <c r="D570" s="233" t="str">
        <f>_xlfn.XLOOKUP(B570, 'Component Masterlist v2'!A:A, 'Component Masterlist v2'!E:E, "Not found")</f>
        <v>Prakash Mohan</v>
      </c>
    </row>
    <row r="571" spans="1:4">
      <c r="A571" s="226" t="s">
        <v>2663</v>
      </c>
      <c r="B571" s="227" t="s">
        <v>61</v>
      </c>
      <c r="C571" s="233" t="str">
        <f>_xlfn.XLOOKUP(B571, 'Component Masterlist v2'!A:A, 'Component Masterlist v2'!G:G, "Not found")</f>
        <v>Turker Coskun</v>
      </c>
      <c r="D571" s="233" t="str">
        <f>_xlfn.XLOOKUP(B571, 'Component Masterlist v2'!A:A, 'Component Masterlist v2'!E:E, "Not found")</f>
        <v>Prakash Mohan</v>
      </c>
    </row>
    <row r="572" spans="1:4">
      <c r="A572" s="226" t="s">
        <v>2664</v>
      </c>
      <c r="B572" s="227" t="s">
        <v>61</v>
      </c>
      <c r="C572" s="233" t="str">
        <f>_xlfn.XLOOKUP(B572, 'Component Masterlist v2'!A:A, 'Component Masterlist v2'!G:G, "Not found")</f>
        <v>Turker Coskun</v>
      </c>
      <c r="D572" s="233" t="str">
        <f>_xlfn.XLOOKUP(B572, 'Component Masterlist v2'!A:A, 'Component Masterlist v2'!E:E, "Not found")</f>
        <v>Prakash Mohan</v>
      </c>
    </row>
    <row r="573" spans="1:4">
      <c r="A573" s="226" t="s">
        <v>2665</v>
      </c>
      <c r="B573" s="227" t="s">
        <v>61</v>
      </c>
      <c r="C573" s="233" t="str">
        <f>_xlfn.XLOOKUP(B573, 'Component Masterlist v2'!A:A, 'Component Masterlist v2'!G:G, "Not found")</f>
        <v>Turker Coskun</v>
      </c>
      <c r="D573" s="233" t="str">
        <f>_xlfn.XLOOKUP(B573, 'Component Masterlist v2'!A:A, 'Component Masterlist v2'!E:E, "Not found")</f>
        <v>Prakash Mohan</v>
      </c>
    </row>
    <row r="574" spans="1:4">
      <c r="A574" s="226" t="s">
        <v>2666</v>
      </c>
      <c r="B574" s="227" t="s">
        <v>61</v>
      </c>
      <c r="C574" s="233" t="str">
        <f>_xlfn.XLOOKUP(B574, 'Component Masterlist v2'!A:A, 'Component Masterlist v2'!G:G, "Not found")</f>
        <v>Turker Coskun</v>
      </c>
      <c r="D574" s="233" t="str">
        <f>_xlfn.XLOOKUP(B574, 'Component Masterlist v2'!A:A, 'Component Masterlist v2'!E:E, "Not found")</f>
        <v>Prakash Mohan</v>
      </c>
    </row>
    <row r="575" spans="1:4">
      <c r="A575" s="226" t="s">
        <v>2667</v>
      </c>
      <c r="B575" s="227" t="s">
        <v>61</v>
      </c>
      <c r="C575" s="233" t="str">
        <f>_xlfn.XLOOKUP(B575, 'Component Masterlist v2'!A:A, 'Component Masterlist v2'!G:G, "Not found")</f>
        <v>Turker Coskun</v>
      </c>
      <c r="D575" s="233" t="str">
        <f>_xlfn.XLOOKUP(B575, 'Component Masterlist v2'!A:A, 'Component Masterlist v2'!E:E, "Not found")</f>
        <v>Prakash Mohan</v>
      </c>
    </row>
    <row r="576" spans="1:4">
      <c r="A576" s="226" t="s">
        <v>2668</v>
      </c>
      <c r="B576" s="227" t="s">
        <v>61</v>
      </c>
      <c r="C576" s="233" t="str">
        <f>_xlfn.XLOOKUP(B576, 'Component Masterlist v2'!A:A, 'Component Masterlist v2'!G:G, "Not found")</f>
        <v>Turker Coskun</v>
      </c>
      <c r="D576" s="233" t="str">
        <f>_xlfn.XLOOKUP(B576, 'Component Masterlist v2'!A:A, 'Component Masterlist v2'!E:E, "Not found")</f>
        <v>Prakash Mohan</v>
      </c>
    </row>
    <row r="577" spans="1:4">
      <c r="A577" s="226" t="s">
        <v>2669</v>
      </c>
      <c r="B577" s="227" t="s">
        <v>61</v>
      </c>
      <c r="C577" s="233" t="str">
        <f>_xlfn.XLOOKUP(B577, 'Component Masterlist v2'!A:A, 'Component Masterlist v2'!G:G, "Not found")</f>
        <v>Turker Coskun</v>
      </c>
      <c r="D577" s="233" t="str">
        <f>_xlfn.XLOOKUP(B577, 'Component Masterlist v2'!A:A, 'Component Masterlist v2'!E:E, "Not found")</f>
        <v>Prakash Mohan</v>
      </c>
    </row>
    <row r="578" spans="1:4">
      <c r="A578" s="226" t="s">
        <v>2670</v>
      </c>
      <c r="B578" s="227" t="s">
        <v>61</v>
      </c>
      <c r="C578" s="233" t="str">
        <f>_xlfn.XLOOKUP(B578, 'Component Masterlist v2'!A:A, 'Component Masterlist v2'!G:G, "Not found")</f>
        <v>Turker Coskun</v>
      </c>
      <c r="D578" s="233" t="str">
        <f>_xlfn.XLOOKUP(B578, 'Component Masterlist v2'!A:A, 'Component Masterlist v2'!E:E, "Not found")</f>
        <v>Prakash Mohan</v>
      </c>
    </row>
    <row r="579" spans="1:4">
      <c r="A579" s="226" t="s">
        <v>2671</v>
      </c>
      <c r="B579" s="227" t="s">
        <v>61</v>
      </c>
      <c r="C579" s="233" t="str">
        <f>_xlfn.XLOOKUP(B579, 'Component Masterlist v2'!A:A, 'Component Masterlist v2'!G:G, "Not found")</f>
        <v>Turker Coskun</v>
      </c>
      <c r="D579" s="233" t="str">
        <f>_xlfn.XLOOKUP(B579, 'Component Masterlist v2'!A:A, 'Component Masterlist v2'!E:E, "Not found")</f>
        <v>Prakash Mohan</v>
      </c>
    </row>
    <row r="580" spans="1:4">
      <c r="A580" s="226" t="s">
        <v>2672</v>
      </c>
      <c r="B580" s="227" t="s">
        <v>61</v>
      </c>
      <c r="C580" s="233" t="str">
        <f>_xlfn.XLOOKUP(B580, 'Component Masterlist v2'!A:A, 'Component Masterlist v2'!G:G, "Not found")</f>
        <v>Turker Coskun</v>
      </c>
      <c r="D580" s="233" t="str">
        <f>_xlfn.XLOOKUP(B580, 'Component Masterlist v2'!A:A, 'Component Masterlist v2'!E:E, "Not found")</f>
        <v>Prakash Mohan</v>
      </c>
    </row>
    <row r="581" spans="1:4">
      <c r="A581" s="226" t="s">
        <v>2673</v>
      </c>
      <c r="B581" s="227" t="s">
        <v>61</v>
      </c>
      <c r="C581" s="233" t="str">
        <f>_xlfn.XLOOKUP(B581, 'Component Masterlist v2'!A:A, 'Component Masterlist v2'!G:G, "Not found")</f>
        <v>Turker Coskun</v>
      </c>
      <c r="D581" s="233" t="str">
        <f>_xlfn.XLOOKUP(B581, 'Component Masterlist v2'!A:A, 'Component Masterlist v2'!E:E, "Not found")</f>
        <v>Prakash Mohan</v>
      </c>
    </row>
    <row r="582" spans="1:4">
      <c r="A582" s="226" t="s">
        <v>2674</v>
      </c>
      <c r="B582" s="227" t="s">
        <v>61</v>
      </c>
      <c r="C582" s="233" t="str">
        <f>_xlfn.XLOOKUP(B582, 'Component Masterlist v2'!A:A, 'Component Masterlist v2'!G:G, "Not found")</f>
        <v>Turker Coskun</v>
      </c>
      <c r="D582" s="233" t="str">
        <f>_xlfn.XLOOKUP(B582, 'Component Masterlist v2'!A:A, 'Component Masterlist v2'!E:E, "Not found")</f>
        <v>Prakash Mohan</v>
      </c>
    </row>
    <row r="583" spans="1:4">
      <c r="A583" s="226" t="s">
        <v>2675</v>
      </c>
      <c r="B583" s="227" t="s">
        <v>61</v>
      </c>
      <c r="C583" s="233" t="str">
        <f>_xlfn.XLOOKUP(B583, 'Component Masterlist v2'!A:A, 'Component Masterlist v2'!G:G, "Not found")</f>
        <v>Turker Coskun</v>
      </c>
      <c r="D583" s="233" t="str">
        <f>_xlfn.XLOOKUP(B583, 'Component Masterlist v2'!A:A, 'Component Masterlist v2'!E:E, "Not found")</f>
        <v>Prakash Mohan</v>
      </c>
    </row>
    <row r="584" spans="1:4">
      <c r="A584" s="226" t="s">
        <v>2676</v>
      </c>
      <c r="B584" s="227" t="s">
        <v>61</v>
      </c>
      <c r="C584" s="233" t="str">
        <f>_xlfn.XLOOKUP(B584, 'Component Masterlist v2'!A:A, 'Component Masterlist v2'!G:G, "Not found")</f>
        <v>Turker Coskun</v>
      </c>
      <c r="D584" s="233" t="str">
        <f>_xlfn.XLOOKUP(B584, 'Component Masterlist v2'!A:A, 'Component Masterlist v2'!E:E, "Not found")</f>
        <v>Prakash Mohan</v>
      </c>
    </row>
    <row r="585" spans="1:4">
      <c r="A585" s="226" t="s">
        <v>2677</v>
      </c>
      <c r="B585" s="227" t="s">
        <v>61</v>
      </c>
      <c r="C585" s="233" t="str">
        <f>_xlfn.XLOOKUP(B585, 'Component Masterlist v2'!A:A, 'Component Masterlist v2'!G:G, "Not found")</f>
        <v>Turker Coskun</v>
      </c>
      <c r="D585" s="233" t="str">
        <f>_xlfn.XLOOKUP(B585, 'Component Masterlist v2'!A:A, 'Component Masterlist v2'!E:E, "Not found")</f>
        <v>Prakash Mohan</v>
      </c>
    </row>
    <row r="586" spans="1:4">
      <c r="A586" s="226" t="s">
        <v>2678</v>
      </c>
      <c r="B586" s="227" t="s">
        <v>61</v>
      </c>
      <c r="C586" s="233" t="str">
        <f>_xlfn.XLOOKUP(B586, 'Component Masterlist v2'!A:A, 'Component Masterlist v2'!G:G, "Not found")</f>
        <v>Turker Coskun</v>
      </c>
      <c r="D586" s="233" t="str">
        <f>_xlfn.XLOOKUP(B586, 'Component Masterlist v2'!A:A, 'Component Masterlist v2'!E:E, "Not found")</f>
        <v>Prakash Mohan</v>
      </c>
    </row>
    <row r="587" spans="1:4">
      <c r="A587" s="226" t="s">
        <v>2679</v>
      </c>
      <c r="B587" s="227" t="s">
        <v>61</v>
      </c>
      <c r="C587" s="233" t="str">
        <f>_xlfn.XLOOKUP(B587, 'Component Masterlist v2'!A:A, 'Component Masterlist v2'!G:G, "Not found")</f>
        <v>Turker Coskun</v>
      </c>
      <c r="D587" s="233" t="str">
        <f>_xlfn.XLOOKUP(B587, 'Component Masterlist v2'!A:A, 'Component Masterlist v2'!E:E, "Not found")</f>
        <v>Prakash Mohan</v>
      </c>
    </row>
    <row r="588" spans="1:4">
      <c r="A588" s="226" t="s">
        <v>2680</v>
      </c>
      <c r="B588" s="227" t="s">
        <v>61</v>
      </c>
      <c r="C588" s="233" t="str">
        <f>_xlfn.XLOOKUP(B588, 'Component Masterlist v2'!A:A, 'Component Masterlist v2'!G:G, "Not found")</f>
        <v>Turker Coskun</v>
      </c>
      <c r="D588" s="233" t="str">
        <f>_xlfn.XLOOKUP(B588, 'Component Masterlist v2'!A:A, 'Component Masterlist v2'!E:E, "Not found")</f>
        <v>Prakash Mohan</v>
      </c>
    </row>
    <row r="589" spans="1:4">
      <c r="A589" s="226" t="s">
        <v>2681</v>
      </c>
      <c r="B589" s="227" t="s">
        <v>61</v>
      </c>
      <c r="C589" s="233" t="str">
        <f>_xlfn.XLOOKUP(B589, 'Component Masterlist v2'!A:A, 'Component Masterlist v2'!G:G, "Not found")</f>
        <v>Turker Coskun</v>
      </c>
      <c r="D589" s="233" t="str">
        <f>_xlfn.XLOOKUP(B589, 'Component Masterlist v2'!A:A, 'Component Masterlist v2'!E:E, "Not found")</f>
        <v>Prakash Mohan</v>
      </c>
    </row>
    <row r="590" spans="1:4">
      <c r="A590" s="226" t="s">
        <v>2682</v>
      </c>
      <c r="B590" s="227" t="s">
        <v>61</v>
      </c>
      <c r="C590" s="233" t="str">
        <f>_xlfn.XLOOKUP(B590, 'Component Masterlist v2'!A:A, 'Component Masterlist v2'!G:G, "Not found")</f>
        <v>Turker Coskun</v>
      </c>
      <c r="D590" s="233" t="str">
        <f>_xlfn.XLOOKUP(B590, 'Component Masterlist v2'!A:A, 'Component Masterlist v2'!E:E, "Not found")</f>
        <v>Prakash Mohan</v>
      </c>
    </row>
    <row r="591" spans="1:4">
      <c r="A591" s="226" t="s">
        <v>2683</v>
      </c>
      <c r="B591" s="227" t="s">
        <v>61</v>
      </c>
      <c r="C591" s="233" t="str">
        <f>_xlfn.XLOOKUP(B591, 'Component Masterlist v2'!A:A, 'Component Masterlist v2'!G:G, "Not found")</f>
        <v>Turker Coskun</v>
      </c>
      <c r="D591" s="233" t="str">
        <f>_xlfn.XLOOKUP(B591, 'Component Masterlist v2'!A:A, 'Component Masterlist v2'!E:E, "Not found")</f>
        <v>Prakash Mohan</v>
      </c>
    </row>
    <row r="592" spans="1:4">
      <c r="A592" s="226" t="s">
        <v>2684</v>
      </c>
      <c r="B592" s="227" t="s">
        <v>61</v>
      </c>
      <c r="C592" s="233" t="str">
        <f>_xlfn.XLOOKUP(B592, 'Component Masterlist v2'!A:A, 'Component Masterlist v2'!G:G, "Not found")</f>
        <v>Turker Coskun</v>
      </c>
      <c r="D592" s="233" t="str">
        <f>_xlfn.XLOOKUP(B592, 'Component Masterlist v2'!A:A, 'Component Masterlist v2'!E:E, "Not found")</f>
        <v>Prakash Mohan</v>
      </c>
    </row>
    <row r="593" spans="1:4">
      <c r="A593" s="226" t="s">
        <v>2685</v>
      </c>
      <c r="B593" s="227" t="s">
        <v>61</v>
      </c>
      <c r="C593" s="233" t="str">
        <f>_xlfn.XLOOKUP(B593, 'Component Masterlist v2'!A:A, 'Component Masterlist v2'!G:G, "Not found")</f>
        <v>Turker Coskun</v>
      </c>
      <c r="D593" s="233" t="str">
        <f>_xlfn.XLOOKUP(B593, 'Component Masterlist v2'!A:A, 'Component Masterlist v2'!E:E, "Not found")</f>
        <v>Prakash Mohan</v>
      </c>
    </row>
    <row r="594" spans="1:4">
      <c r="A594" s="226" t="s">
        <v>2686</v>
      </c>
      <c r="B594" s="227" t="s">
        <v>61</v>
      </c>
      <c r="C594" s="233" t="str">
        <f>_xlfn.XLOOKUP(B594, 'Component Masterlist v2'!A:A, 'Component Masterlist v2'!G:G, "Not found")</f>
        <v>Turker Coskun</v>
      </c>
      <c r="D594" s="233" t="str">
        <f>_xlfn.XLOOKUP(B594, 'Component Masterlist v2'!A:A, 'Component Masterlist v2'!E:E, "Not found")</f>
        <v>Prakash Mohan</v>
      </c>
    </row>
    <row r="595" spans="1:4">
      <c r="A595" s="226" t="s">
        <v>2687</v>
      </c>
      <c r="B595" s="227" t="s">
        <v>61</v>
      </c>
      <c r="C595" s="233" t="str">
        <f>_xlfn.XLOOKUP(B595, 'Component Masterlist v2'!A:A, 'Component Masterlist v2'!G:G, "Not found")</f>
        <v>Turker Coskun</v>
      </c>
      <c r="D595" s="233" t="str">
        <f>_xlfn.XLOOKUP(B595, 'Component Masterlist v2'!A:A, 'Component Masterlist v2'!E:E, "Not found")</f>
        <v>Prakash Mohan</v>
      </c>
    </row>
    <row r="596" spans="1:4">
      <c r="A596" s="226" t="s">
        <v>2688</v>
      </c>
      <c r="B596" s="227" t="s">
        <v>61</v>
      </c>
      <c r="C596" s="233" t="str">
        <f>_xlfn.XLOOKUP(B596, 'Component Masterlist v2'!A:A, 'Component Masterlist v2'!G:G, "Not found")</f>
        <v>Turker Coskun</v>
      </c>
      <c r="D596" s="233" t="str">
        <f>_xlfn.XLOOKUP(B596, 'Component Masterlist v2'!A:A, 'Component Masterlist v2'!E:E, "Not found")</f>
        <v>Prakash Mohan</v>
      </c>
    </row>
    <row r="597" spans="1:4">
      <c r="A597" s="226" t="s">
        <v>2689</v>
      </c>
      <c r="B597" s="227" t="s">
        <v>61</v>
      </c>
      <c r="C597" s="233" t="str">
        <f>_xlfn.XLOOKUP(B597, 'Component Masterlist v2'!A:A, 'Component Masterlist v2'!G:G, "Not found")</f>
        <v>Turker Coskun</v>
      </c>
      <c r="D597" s="233" t="str">
        <f>_xlfn.XLOOKUP(B597, 'Component Masterlist v2'!A:A, 'Component Masterlist v2'!E:E, "Not found")</f>
        <v>Prakash Mohan</v>
      </c>
    </row>
    <row r="598" spans="1:4">
      <c r="A598" s="226" t="s">
        <v>2690</v>
      </c>
      <c r="B598" s="227" t="s">
        <v>61</v>
      </c>
      <c r="C598" s="233" t="str">
        <f>_xlfn.XLOOKUP(B598, 'Component Masterlist v2'!A:A, 'Component Masterlist v2'!G:G, "Not found")</f>
        <v>Turker Coskun</v>
      </c>
      <c r="D598" s="233" t="str">
        <f>_xlfn.XLOOKUP(B598, 'Component Masterlist v2'!A:A, 'Component Masterlist v2'!E:E, "Not found")</f>
        <v>Prakash Mohan</v>
      </c>
    </row>
    <row r="599" spans="1:4">
      <c r="A599" s="226" t="s">
        <v>2691</v>
      </c>
      <c r="B599" s="227" t="s">
        <v>99</v>
      </c>
      <c r="C599" s="233" t="str">
        <f>_xlfn.XLOOKUP(B599, 'Component Masterlist v2'!A:A, 'Component Masterlist v2'!G:G, "Not found")</f>
        <v>Turker Coskun</v>
      </c>
      <c r="D599" s="233" t="str">
        <f>_xlfn.XLOOKUP(B599, 'Component Masterlist v2'!A:A, 'Component Masterlist v2'!E:E, "Not found")</f>
        <v>Prakash Mohan</v>
      </c>
    </row>
    <row r="600" spans="1:4">
      <c r="A600" s="226" t="s">
        <v>2692</v>
      </c>
      <c r="B600" s="227" t="s">
        <v>99</v>
      </c>
      <c r="C600" s="233" t="str">
        <f>_xlfn.XLOOKUP(B600, 'Component Masterlist v2'!A:A, 'Component Masterlist v2'!G:G, "Not found")</f>
        <v>Turker Coskun</v>
      </c>
      <c r="D600" s="233" t="str">
        <f>_xlfn.XLOOKUP(B600, 'Component Masterlist v2'!A:A, 'Component Masterlist v2'!E:E, "Not found")</f>
        <v>Prakash Mohan</v>
      </c>
    </row>
    <row r="601" spans="1:4">
      <c r="A601" s="226" t="s">
        <v>2693</v>
      </c>
      <c r="B601" s="227" t="s">
        <v>61</v>
      </c>
      <c r="C601" s="233" t="str">
        <f>_xlfn.XLOOKUP(B601, 'Component Masterlist v2'!A:A, 'Component Masterlist v2'!G:G, "Not found")</f>
        <v>Turker Coskun</v>
      </c>
      <c r="D601" s="233" t="str">
        <f>_xlfn.XLOOKUP(B601, 'Component Masterlist v2'!A:A, 'Component Masterlist v2'!E:E, "Not found")</f>
        <v>Prakash Mohan</v>
      </c>
    </row>
    <row r="602" spans="1:4">
      <c r="A602" s="226" t="s">
        <v>2694</v>
      </c>
      <c r="B602" s="227" t="s">
        <v>61</v>
      </c>
      <c r="C602" s="233" t="str">
        <f>_xlfn.XLOOKUP(B602, 'Component Masterlist v2'!A:A, 'Component Masterlist v2'!G:G, "Not found")</f>
        <v>Turker Coskun</v>
      </c>
      <c r="D602" s="233" t="str">
        <f>_xlfn.XLOOKUP(B602, 'Component Masterlist v2'!A:A, 'Component Masterlist v2'!E:E, "Not found")</f>
        <v>Prakash Mohan</v>
      </c>
    </row>
    <row r="603" spans="1:4">
      <c r="A603" s="226" t="s">
        <v>2695</v>
      </c>
      <c r="B603" s="227" t="s">
        <v>99</v>
      </c>
      <c r="C603" s="233" t="str">
        <f>_xlfn.XLOOKUP(B603, 'Component Masterlist v2'!A:A, 'Component Masterlist v2'!G:G, "Not found")</f>
        <v>Turker Coskun</v>
      </c>
      <c r="D603" s="233" t="str">
        <f>_xlfn.XLOOKUP(B603, 'Component Masterlist v2'!A:A, 'Component Masterlist v2'!E:E, "Not found")</f>
        <v>Prakash Mohan</v>
      </c>
    </row>
    <row r="604" spans="1:4">
      <c r="A604" s="226" t="s">
        <v>2696</v>
      </c>
      <c r="B604" s="227" t="s">
        <v>61</v>
      </c>
      <c r="C604" s="233" t="str">
        <f>_xlfn.XLOOKUP(B604, 'Component Masterlist v2'!A:A, 'Component Masterlist v2'!G:G, "Not found")</f>
        <v>Turker Coskun</v>
      </c>
      <c r="D604" s="233" t="str">
        <f>_xlfn.XLOOKUP(B604, 'Component Masterlist v2'!A:A, 'Component Masterlist v2'!E:E, "Not found")</f>
        <v>Prakash Mohan</v>
      </c>
    </row>
    <row r="605" spans="1:4">
      <c r="A605" s="226" t="s">
        <v>2697</v>
      </c>
      <c r="B605" s="227" t="s">
        <v>61</v>
      </c>
      <c r="C605" s="233" t="str">
        <f>_xlfn.XLOOKUP(B605, 'Component Masterlist v2'!A:A, 'Component Masterlist v2'!G:G, "Not found")</f>
        <v>Turker Coskun</v>
      </c>
      <c r="D605" s="233" t="str">
        <f>_xlfn.XLOOKUP(B605, 'Component Masterlist v2'!A:A, 'Component Masterlist v2'!E:E, "Not found")</f>
        <v>Prakash Mohan</v>
      </c>
    </row>
    <row r="606" spans="1:4">
      <c r="A606" s="226" t="s">
        <v>2698</v>
      </c>
      <c r="B606" s="227" t="s">
        <v>61</v>
      </c>
      <c r="C606" s="233" t="str">
        <f>_xlfn.XLOOKUP(B606, 'Component Masterlist v2'!A:A, 'Component Masterlist v2'!G:G, "Not found")</f>
        <v>Turker Coskun</v>
      </c>
      <c r="D606" s="233" t="str">
        <f>_xlfn.XLOOKUP(B606, 'Component Masterlist v2'!A:A, 'Component Masterlist v2'!E:E, "Not found")</f>
        <v>Prakash Mohan</v>
      </c>
    </row>
    <row r="607" spans="1:4">
      <c r="A607" s="226" t="s">
        <v>2699</v>
      </c>
      <c r="B607" s="227" t="s">
        <v>61</v>
      </c>
      <c r="C607" s="233" t="str">
        <f>_xlfn.XLOOKUP(B607, 'Component Masterlist v2'!A:A, 'Component Masterlist v2'!G:G, "Not found")</f>
        <v>Turker Coskun</v>
      </c>
      <c r="D607" s="233" t="str">
        <f>_xlfn.XLOOKUP(B607, 'Component Masterlist v2'!A:A, 'Component Masterlist v2'!E:E, "Not found")</f>
        <v>Prakash Mohan</v>
      </c>
    </row>
    <row r="608" spans="1:4">
      <c r="A608" s="226" t="s">
        <v>2700</v>
      </c>
      <c r="B608" s="227" t="s">
        <v>61</v>
      </c>
      <c r="C608" s="233" t="str">
        <f>_xlfn.XLOOKUP(B608, 'Component Masterlist v2'!A:A, 'Component Masterlist v2'!G:G, "Not found")</f>
        <v>Turker Coskun</v>
      </c>
      <c r="D608" s="233" t="str">
        <f>_xlfn.XLOOKUP(B608, 'Component Masterlist v2'!A:A, 'Component Masterlist v2'!E:E, "Not found")</f>
        <v>Prakash Mohan</v>
      </c>
    </row>
    <row r="609" spans="1:4">
      <c r="A609" s="226" t="s">
        <v>2701</v>
      </c>
      <c r="B609" s="227" t="s">
        <v>61</v>
      </c>
      <c r="C609" s="233" t="str">
        <f>_xlfn.XLOOKUP(B609, 'Component Masterlist v2'!A:A, 'Component Masterlist v2'!G:G, "Not found")</f>
        <v>Turker Coskun</v>
      </c>
      <c r="D609" s="233" t="str">
        <f>_xlfn.XLOOKUP(B609, 'Component Masterlist v2'!A:A, 'Component Masterlist v2'!E:E, "Not found")</f>
        <v>Prakash Mohan</v>
      </c>
    </row>
    <row r="610" spans="1:4">
      <c r="A610" s="226" t="s">
        <v>2702</v>
      </c>
      <c r="B610" s="227" t="s">
        <v>61</v>
      </c>
      <c r="C610" s="233" t="str">
        <f>_xlfn.XLOOKUP(B610, 'Component Masterlist v2'!A:A, 'Component Masterlist v2'!G:G, "Not found")</f>
        <v>Turker Coskun</v>
      </c>
      <c r="D610" s="233" t="str">
        <f>_xlfn.XLOOKUP(B610, 'Component Masterlist v2'!A:A, 'Component Masterlist v2'!E:E, "Not found")</f>
        <v>Prakash Mohan</v>
      </c>
    </row>
    <row r="611" spans="1:4">
      <c r="A611" s="226" t="s">
        <v>2703</v>
      </c>
      <c r="B611" s="227" t="s">
        <v>61</v>
      </c>
      <c r="C611" s="233" t="str">
        <f>_xlfn.XLOOKUP(B611, 'Component Masterlist v2'!A:A, 'Component Masterlist v2'!G:G, "Not found")</f>
        <v>Turker Coskun</v>
      </c>
      <c r="D611" s="233" t="str">
        <f>_xlfn.XLOOKUP(B611, 'Component Masterlist v2'!A:A, 'Component Masterlist v2'!E:E, "Not found")</f>
        <v>Prakash Mohan</v>
      </c>
    </row>
    <row r="612" spans="1:4">
      <c r="A612" s="226" t="s">
        <v>2704</v>
      </c>
      <c r="B612" s="227" t="s">
        <v>61</v>
      </c>
      <c r="C612" s="233" t="str">
        <f>_xlfn.XLOOKUP(B612, 'Component Masterlist v2'!A:A, 'Component Masterlist v2'!G:G, "Not found")</f>
        <v>Turker Coskun</v>
      </c>
      <c r="D612" s="233" t="str">
        <f>_xlfn.XLOOKUP(B612, 'Component Masterlist v2'!A:A, 'Component Masterlist v2'!E:E, "Not found")</f>
        <v>Prakash Mohan</v>
      </c>
    </row>
    <row r="613" spans="1:4">
      <c r="A613" s="226" t="s">
        <v>2705</v>
      </c>
      <c r="B613" s="227" t="s">
        <v>99</v>
      </c>
      <c r="C613" s="233" t="str">
        <f>_xlfn.XLOOKUP(B613, 'Component Masterlist v2'!A:A, 'Component Masterlist v2'!G:G, "Not found")</f>
        <v>Turker Coskun</v>
      </c>
      <c r="D613" s="233" t="str">
        <f>_xlfn.XLOOKUP(B613, 'Component Masterlist v2'!A:A, 'Component Masterlist v2'!E:E, "Not found")</f>
        <v>Prakash Mohan</v>
      </c>
    </row>
    <row r="614" spans="1:4">
      <c r="A614" s="226" t="s">
        <v>2706</v>
      </c>
      <c r="B614" s="227" t="s">
        <v>61</v>
      </c>
      <c r="C614" s="233" t="str">
        <f>_xlfn.XLOOKUP(B614, 'Component Masterlist v2'!A:A, 'Component Masterlist v2'!G:G, "Not found")</f>
        <v>Turker Coskun</v>
      </c>
      <c r="D614" s="233" t="str">
        <f>_xlfn.XLOOKUP(B614, 'Component Masterlist v2'!A:A, 'Component Masterlist v2'!E:E, "Not found")</f>
        <v>Prakash Mohan</v>
      </c>
    </row>
    <row r="615" spans="1:4">
      <c r="A615" s="226" t="s">
        <v>2707</v>
      </c>
      <c r="B615" s="227" t="s">
        <v>61</v>
      </c>
      <c r="C615" s="233" t="str">
        <f>_xlfn.XLOOKUP(B615, 'Component Masterlist v2'!A:A, 'Component Masterlist v2'!G:G, "Not found")</f>
        <v>Turker Coskun</v>
      </c>
      <c r="D615" s="233" t="str">
        <f>_xlfn.XLOOKUP(B615, 'Component Masterlist v2'!A:A, 'Component Masterlist v2'!E:E, "Not found")</f>
        <v>Prakash Mohan</v>
      </c>
    </row>
    <row r="616" spans="1:4">
      <c r="A616" s="226" t="s">
        <v>2708</v>
      </c>
      <c r="B616" s="227" t="s">
        <v>61</v>
      </c>
      <c r="C616" s="233" t="str">
        <f>_xlfn.XLOOKUP(B616, 'Component Masterlist v2'!A:A, 'Component Masterlist v2'!G:G, "Not found")</f>
        <v>Turker Coskun</v>
      </c>
      <c r="D616" s="233" t="str">
        <f>_xlfn.XLOOKUP(B616, 'Component Masterlist v2'!A:A, 'Component Masterlist v2'!E:E, "Not found")</f>
        <v>Prakash Mohan</v>
      </c>
    </row>
    <row r="617" spans="1:4">
      <c r="A617" s="226" t="s">
        <v>2709</v>
      </c>
      <c r="B617" s="227" t="s">
        <v>61</v>
      </c>
      <c r="C617" s="233" t="str">
        <f>_xlfn.XLOOKUP(B617, 'Component Masterlist v2'!A:A, 'Component Masterlist v2'!G:G, "Not found")</f>
        <v>Turker Coskun</v>
      </c>
      <c r="D617" s="233" t="str">
        <f>_xlfn.XLOOKUP(B617, 'Component Masterlist v2'!A:A, 'Component Masterlist v2'!E:E, "Not found")</f>
        <v>Prakash Mohan</v>
      </c>
    </row>
    <row r="618" spans="1:4">
      <c r="A618" s="226" t="s">
        <v>2710</v>
      </c>
      <c r="B618" s="227" t="s">
        <v>61</v>
      </c>
      <c r="C618" s="233" t="str">
        <f>_xlfn.XLOOKUP(B618, 'Component Masterlist v2'!A:A, 'Component Masterlist v2'!G:G, "Not found")</f>
        <v>Turker Coskun</v>
      </c>
      <c r="D618" s="233" t="str">
        <f>_xlfn.XLOOKUP(B618, 'Component Masterlist v2'!A:A, 'Component Masterlist v2'!E:E, "Not found")</f>
        <v>Prakash Mohan</v>
      </c>
    </row>
    <row r="619" spans="1:4">
      <c r="A619" s="226" t="s">
        <v>2711</v>
      </c>
      <c r="B619" s="227" t="s">
        <v>61</v>
      </c>
      <c r="C619" s="233" t="str">
        <f>_xlfn.XLOOKUP(B619, 'Component Masterlist v2'!A:A, 'Component Masterlist v2'!G:G, "Not found")</f>
        <v>Turker Coskun</v>
      </c>
      <c r="D619" s="233" t="str">
        <f>_xlfn.XLOOKUP(B619, 'Component Masterlist v2'!A:A, 'Component Masterlist v2'!E:E, "Not found")</f>
        <v>Prakash Mohan</v>
      </c>
    </row>
    <row r="620" spans="1:4">
      <c r="A620" s="226" t="s">
        <v>2712</v>
      </c>
      <c r="B620" s="227" t="s">
        <v>61</v>
      </c>
      <c r="C620" s="233" t="str">
        <f>_xlfn.XLOOKUP(B620, 'Component Masterlist v2'!A:A, 'Component Masterlist v2'!G:G, "Not found")</f>
        <v>Turker Coskun</v>
      </c>
      <c r="D620" s="233" t="str">
        <f>_xlfn.XLOOKUP(B620, 'Component Masterlist v2'!A:A, 'Component Masterlist v2'!E:E, "Not found")</f>
        <v>Prakash Mohan</v>
      </c>
    </row>
    <row r="621" spans="1:4">
      <c r="A621" s="226" t="s">
        <v>2713</v>
      </c>
      <c r="B621" s="227" t="s">
        <v>61</v>
      </c>
      <c r="C621" s="233" t="str">
        <f>_xlfn.XLOOKUP(B621, 'Component Masterlist v2'!A:A, 'Component Masterlist v2'!G:G, "Not found")</f>
        <v>Turker Coskun</v>
      </c>
      <c r="D621" s="233" t="str">
        <f>_xlfn.XLOOKUP(B621, 'Component Masterlist v2'!A:A, 'Component Masterlist v2'!E:E, "Not found")</f>
        <v>Prakash Mohan</v>
      </c>
    </row>
    <row r="622" spans="1:4">
      <c r="A622" s="226" t="s">
        <v>2714</v>
      </c>
      <c r="B622" s="227" t="s">
        <v>99</v>
      </c>
      <c r="C622" s="233" t="str">
        <f>_xlfn.XLOOKUP(B622, 'Component Masterlist v2'!A:A, 'Component Masterlist v2'!G:G, "Not found")</f>
        <v>Turker Coskun</v>
      </c>
      <c r="D622" s="233" t="str">
        <f>_xlfn.XLOOKUP(B622, 'Component Masterlist v2'!A:A, 'Component Masterlist v2'!E:E, "Not found")</f>
        <v>Prakash Mohan</v>
      </c>
    </row>
    <row r="623" spans="1:4">
      <c r="A623" s="226" t="s">
        <v>2715</v>
      </c>
      <c r="B623" s="227" t="s">
        <v>99</v>
      </c>
      <c r="C623" s="233" t="str">
        <f>_xlfn.XLOOKUP(B623, 'Component Masterlist v2'!A:A, 'Component Masterlist v2'!G:G, "Not found")</f>
        <v>Turker Coskun</v>
      </c>
      <c r="D623" s="233" t="str">
        <f>_xlfn.XLOOKUP(B623, 'Component Masterlist v2'!A:A, 'Component Masterlist v2'!E:E, "Not found")</f>
        <v>Prakash Mohan</v>
      </c>
    </row>
    <row r="624" spans="1:4">
      <c r="A624" s="226" t="s">
        <v>2716</v>
      </c>
      <c r="B624" s="227" t="s">
        <v>61</v>
      </c>
      <c r="C624" s="233" t="str">
        <f>_xlfn.XLOOKUP(B624, 'Component Masterlist v2'!A:A, 'Component Masterlist v2'!G:G, "Not found")</f>
        <v>Turker Coskun</v>
      </c>
      <c r="D624" s="233" t="str">
        <f>_xlfn.XLOOKUP(B624, 'Component Masterlist v2'!A:A, 'Component Masterlist v2'!E:E, "Not found")</f>
        <v>Prakash Mohan</v>
      </c>
    </row>
    <row r="625" spans="1:4">
      <c r="A625" s="226" t="s">
        <v>2717</v>
      </c>
      <c r="B625" s="227" t="s">
        <v>61</v>
      </c>
      <c r="C625" s="233" t="str">
        <f>_xlfn.XLOOKUP(B625, 'Component Masterlist v2'!A:A, 'Component Masterlist v2'!G:G, "Not found")</f>
        <v>Turker Coskun</v>
      </c>
      <c r="D625" s="233" t="str">
        <f>_xlfn.XLOOKUP(B625, 'Component Masterlist v2'!A:A, 'Component Masterlist v2'!E:E, "Not found")</f>
        <v>Prakash Mohan</v>
      </c>
    </row>
    <row r="626" spans="1:4">
      <c r="A626" s="226" t="s">
        <v>2718</v>
      </c>
      <c r="B626" s="227" t="s">
        <v>61</v>
      </c>
      <c r="C626" s="233" t="str">
        <f>_xlfn.XLOOKUP(B626, 'Component Masterlist v2'!A:A, 'Component Masterlist v2'!G:G, "Not found")</f>
        <v>Turker Coskun</v>
      </c>
      <c r="D626" s="233" t="str">
        <f>_xlfn.XLOOKUP(B626, 'Component Masterlist v2'!A:A, 'Component Masterlist v2'!E:E, "Not found")</f>
        <v>Prakash Mohan</v>
      </c>
    </row>
    <row r="627" spans="1:4">
      <c r="A627" s="226" t="s">
        <v>2719</v>
      </c>
      <c r="B627" s="227" t="s">
        <v>61</v>
      </c>
      <c r="C627" s="233" t="str">
        <f>_xlfn.XLOOKUP(B627, 'Component Masterlist v2'!A:A, 'Component Masterlist v2'!G:G, "Not found")</f>
        <v>Turker Coskun</v>
      </c>
      <c r="D627" s="233" t="str">
        <f>_xlfn.XLOOKUP(B627, 'Component Masterlist v2'!A:A, 'Component Masterlist v2'!E:E, "Not found")</f>
        <v>Prakash Mohan</v>
      </c>
    </row>
    <row r="628" spans="1:4">
      <c r="A628" s="226" t="s">
        <v>2720</v>
      </c>
      <c r="B628" s="227" t="s">
        <v>61</v>
      </c>
      <c r="C628" s="233" t="str">
        <f>_xlfn.XLOOKUP(B628, 'Component Masterlist v2'!A:A, 'Component Masterlist v2'!G:G, "Not found")</f>
        <v>Turker Coskun</v>
      </c>
      <c r="D628" s="233" t="str">
        <f>_xlfn.XLOOKUP(B628, 'Component Masterlist v2'!A:A, 'Component Masterlist v2'!E:E, "Not found")</f>
        <v>Prakash Mohan</v>
      </c>
    </row>
    <row r="629" spans="1:4">
      <c r="A629" s="226" t="s">
        <v>2721</v>
      </c>
      <c r="B629" s="227" t="s">
        <v>99</v>
      </c>
      <c r="C629" s="233" t="str">
        <f>_xlfn.XLOOKUP(B629, 'Component Masterlist v2'!A:A, 'Component Masterlist v2'!G:G, "Not found")</f>
        <v>Turker Coskun</v>
      </c>
      <c r="D629" s="233" t="str">
        <f>_xlfn.XLOOKUP(B629, 'Component Masterlist v2'!A:A, 'Component Masterlist v2'!E:E, "Not found")</f>
        <v>Prakash Mohan</v>
      </c>
    </row>
    <row r="630" spans="1:4">
      <c r="A630" s="226" t="s">
        <v>2722</v>
      </c>
      <c r="B630" s="227" t="s">
        <v>61</v>
      </c>
      <c r="C630" s="233" t="str">
        <f>_xlfn.XLOOKUP(B630, 'Component Masterlist v2'!A:A, 'Component Masterlist v2'!G:G, "Not found")</f>
        <v>Turker Coskun</v>
      </c>
      <c r="D630" s="233" t="str">
        <f>_xlfn.XLOOKUP(B630, 'Component Masterlist v2'!A:A, 'Component Masterlist v2'!E:E, "Not found")</f>
        <v>Prakash Mohan</v>
      </c>
    </row>
    <row r="631" spans="1:4">
      <c r="A631" s="226" t="s">
        <v>2723</v>
      </c>
      <c r="B631" s="227" t="s">
        <v>61</v>
      </c>
      <c r="C631" s="233" t="str">
        <f>_xlfn.XLOOKUP(B631, 'Component Masterlist v2'!A:A, 'Component Masterlist v2'!G:G, "Not found")</f>
        <v>Turker Coskun</v>
      </c>
      <c r="D631" s="233" t="str">
        <f>_xlfn.XLOOKUP(B631, 'Component Masterlist v2'!A:A, 'Component Masterlist v2'!E:E, "Not found")</f>
        <v>Prakash Mohan</v>
      </c>
    </row>
    <row r="632" spans="1:4">
      <c r="A632" s="226" t="s">
        <v>2724</v>
      </c>
      <c r="B632" s="227" t="s">
        <v>61</v>
      </c>
      <c r="C632" s="233" t="str">
        <f>_xlfn.XLOOKUP(B632, 'Component Masterlist v2'!A:A, 'Component Masterlist v2'!G:G, "Not found")</f>
        <v>Turker Coskun</v>
      </c>
      <c r="D632" s="233" t="str">
        <f>_xlfn.XLOOKUP(B632, 'Component Masterlist v2'!A:A, 'Component Masterlist v2'!E:E, "Not found")</f>
        <v>Prakash Mohan</v>
      </c>
    </row>
    <row r="633" spans="1:4">
      <c r="A633" s="226" t="s">
        <v>2725</v>
      </c>
      <c r="B633" s="227" t="s">
        <v>99</v>
      </c>
      <c r="C633" s="233" t="str">
        <f>_xlfn.XLOOKUP(B633, 'Component Masterlist v2'!A:A, 'Component Masterlist v2'!G:G, "Not found")</f>
        <v>Turker Coskun</v>
      </c>
      <c r="D633" s="233" t="str">
        <f>_xlfn.XLOOKUP(B633, 'Component Masterlist v2'!A:A, 'Component Masterlist v2'!E:E, "Not found")</f>
        <v>Prakash Mohan</v>
      </c>
    </row>
    <row r="634" spans="1:4">
      <c r="A634" s="226" t="s">
        <v>2726</v>
      </c>
      <c r="B634" s="227" t="s">
        <v>61</v>
      </c>
      <c r="C634" s="233" t="str">
        <f>_xlfn.XLOOKUP(B634, 'Component Masterlist v2'!A:A, 'Component Masterlist v2'!G:G, "Not found")</f>
        <v>Turker Coskun</v>
      </c>
      <c r="D634" s="233" t="str">
        <f>_xlfn.XLOOKUP(B634, 'Component Masterlist v2'!A:A, 'Component Masterlist v2'!E:E, "Not found")</f>
        <v>Prakash Mohan</v>
      </c>
    </row>
    <row r="635" spans="1:4">
      <c r="A635" s="226" t="s">
        <v>2727</v>
      </c>
      <c r="B635" s="227" t="s">
        <v>61</v>
      </c>
      <c r="C635" s="233" t="str">
        <f>_xlfn.XLOOKUP(B635, 'Component Masterlist v2'!A:A, 'Component Masterlist v2'!G:G, "Not found")</f>
        <v>Turker Coskun</v>
      </c>
      <c r="D635" s="233" t="str">
        <f>_xlfn.XLOOKUP(B635, 'Component Masterlist v2'!A:A, 'Component Masterlist v2'!E:E, "Not found")</f>
        <v>Prakash Mohan</v>
      </c>
    </row>
    <row r="636" spans="1:4">
      <c r="A636" s="226" t="s">
        <v>2728</v>
      </c>
      <c r="B636" s="227" t="s">
        <v>99</v>
      </c>
      <c r="C636" s="233" t="str">
        <f>_xlfn.XLOOKUP(B636, 'Component Masterlist v2'!A:A, 'Component Masterlist v2'!G:G, "Not found")</f>
        <v>Turker Coskun</v>
      </c>
      <c r="D636" s="233" t="str">
        <f>_xlfn.XLOOKUP(B636, 'Component Masterlist v2'!A:A, 'Component Masterlist v2'!E:E, "Not found")</f>
        <v>Prakash Mohan</v>
      </c>
    </row>
    <row r="637" spans="1:4">
      <c r="A637" s="226" t="s">
        <v>2729</v>
      </c>
      <c r="B637" s="227" t="s">
        <v>61</v>
      </c>
      <c r="C637" s="233" t="str">
        <f>_xlfn.XLOOKUP(B637, 'Component Masterlist v2'!A:A, 'Component Masterlist v2'!G:G, "Not found")</f>
        <v>Turker Coskun</v>
      </c>
      <c r="D637" s="233" t="str">
        <f>_xlfn.XLOOKUP(B637, 'Component Masterlist v2'!A:A, 'Component Masterlist v2'!E:E, "Not found")</f>
        <v>Prakash Mohan</v>
      </c>
    </row>
    <row r="638" spans="1:4">
      <c r="A638" s="226" t="s">
        <v>2730</v>
      </c>
      <c r="B638" s="227" t="s">
        <v>61</v>
      </c>
      <c r="C638" s="233" t="str">
        <f>_xlfn.XLOOKUP(B638, 'Component Masterlist v2'!A:A, 'Component Masterlist v2'!G:G, "Not found")</f>
        <v>Turker Coskun</v>
      </c>
      <c r="D638" s="233" t="str">
        <f>_xlfn.XLOOKUP(B638, 'Component Masterlist v2'!A:A, 'Component Masterlist v2'!E:E, "Not found")</f>
        <v>Prakash Mohan</v>
      </c>
    </row>
    <row r="639" spans="1:4">
      <c r="A639" s="226" t="s">
        <v>2731</v>
      </c>
      <c r="B639" s="227" t="s">
        <v>99</v>
      </c>
      <c r="C639" s="233" t="str">
        <f>_xlfn.XLOOKUP(B639, 'Component Masterlist v2'!A:A, 'Component Masterlist v2'!G:G, "Not found")</f>
        <v>Turker Coskun</v>
      </c>
      <c r="D639" s="233" t="str">
        <f>_xlfn.XLOOKUP(B639, 'Component Masterlist v2'!A:A, 'Component Masterlist v2'!E:E, "Not found")</f>
        <v>Prakash Mohan</v>
      </c>
    </row>
    <row r="640" spans="1:4">
      <c r="A640" s="226" t="s">
        <v>2732</v>
      </c>
      <c r="B640" s="227" t="s">
        <v>61</v>
      </c>
      <c r="C640" s="233" t="str">
        <f>_xlfn.XLOOKUP(B640, 'Component Masterlist v2'!A:A, 'Component Masterlist v2'!G:G, "Not found")</f>
        <v>Turker Coskun</v>
      </c>
      <c r="D640" s="233" t="str">
        <f>_xlfn.XLOOKUP(B640, 'Component Masterlist v2'!A:A, 'Component Masterlist v2'!E:E, "Not found")</f>
        <v>Prakash Mohan</v>
      </c>
    </row>
    <row r="641" spans="1:4">
      <c r="A641" s="226" t="s">
        <v>2733</v>
      </c>
      <c r="B641" s="227" t="s">
        <v>61</v>
      </c>
      <c r="C641" s="233" t="str">
        <f>_xlfn.XLOOKUP(B641, 'Component Masterlist v2'!A:A, 'Component Masterlist v2'!G:G, "Not found")</f>
        <v>Turker Coskun</v>
      </c>
      <c r="D641" s="233" t="str">
        <f>_xlfn.XLOOKUP(B641, 'Component Masterlist v2'!A:A, 'Component Masterlist v2'!E:E, "Not found")</f>
        <v>Prakash Mohan</v>
      </c>
    </row>
    <row r="642" spans="1:4">
      <c r="A642" s="226" t="s">
        <v>2734</v>
      </c>
      <c r="B642" s="227" t="s">
        <v>61</v>
      </c>
      <c r="C642" s="233" t="str">
        <f>_xlfn.XLOOKUP(B642, 'Component Masterlist v2'!A:A, 'Component Masterlist v2'!G:G, "Not found")</f>
        <v>Turker Coskun</v>
      </c>
      <c r="D642" s="233" t="str">
        <f>_xlfn.XLOOKUP(B642, 'Component Masterlist v2'!A:A, 'Component Masterlist v2'!E:E, "Not found")</f>
        <v>Prakash Mohan</v>
      </c>
    </row>
    <row r="643" spans="1:4">
      <c r="A643" s="226" t="s">
        <v>2735</v>
      </c>
      <c r="B643" s="227" t="s">
        <v>61</v>
      </c>
      <c r="C643" s="233" t="str">
        <f>_xlfn.XLOOKUP(B643, 'Component Masterlist v2'!A:A, 'Component Masterlist v2'!G:G, "Not found")</f>
        <v>Turker Coskun</v>
      </c>
      <c r="D643" s="233" t="str">
        <f>_xlfn.XLOOKUP(B643, 'Component Masterlist v2'!A:A, 'Component Masterlist v2'!E:E, "Not found")</f>
        <v>Prakash Mohan</v>
      </c>
    </row>
    <row r="644" spans="1:4">
      <c r="A644" s="226" t="s">
        <v>2736</v>
      </c>
      <c r="B644" s="227" t="s">
        <v>61</v>
      </c>
      <c r="C644" s="233" t="str">
        <f>_xlfn.XLOOKUP(B644, 'Component Masterlist v2'!A:A, 'Component Masterlist v2'!G:G, "Not found")</f>
        <v>Turker Coskun</v>
      </c>
      <c r="D644" s="233" t="str">
        <f>_xlfn.XLOOKUP(B644, 'Component Masterlist v2'!A:A, 'Component Masterlist v2'!E:E, "Not found")</f>
        <v>Prakash Mohan</v>
      </c>
    </row>
    <row r="645" spans="1:4">
      <c r="A645" s="226" t="s">
        <v>2737</v>
      </c>
      <c r="B645" s="227" t="s">
        <v>61</v>
      </c>
      <c r="C645" s="233" t="str">
        <f>_xlfn.XLOOKUP(B645, 'Component Masterlist v2'!A:A, 'Component Masterlist v2'!G:G, "Not found")</f>
        <v>Turker Coskun</v>
      </c>
      <c r="D645" s="233" t="str">
        <f>_xlfn.XLOOKUP(B645, 'Component Masterlist v2'!A:A, 'Component Masterlist v2'!E:E, "Not found")</f>
        <v>Prakash Mohan</v>
      </c>
    </row>
    <row r="646" spans="1:4">
      <c r="A646" s="226" t="s">
        <v>2738</v>
      </c>
      <c r="B646" s="227" t="s">
        <v>99</v>
      </c>
      <c r="C646" s="233" t="str">
        <f>_xlfn.XLOOKUP(B646, 'Component Masterlist v2'!A:A, 'Component Masterlist v2'!G:G, "Not found")</f>
        <v>Turker Coskun</v>
      </c>
      <c r="D646" s="233" t="str">
        <f>_xlfn.XLOOKUP(B646, 'Component Masterlist v2'!A:A, 'Component Masterlist v2'!E:E, "Not found")</f>
        <v>Prakash Mohan</v>
      </c>
    </row>
    <row r="647" spans="1:4">
      <c r="A647" s="226" t="s">
        <v>2739</v>
      </c>
      <c r="B647" s="227" t="s">
        <v>61</v>
      </c>
      <c r="C647" s="233" t="str">
        <f>_xlfn.XLOOKUP(B647, 'Component Masterlist v2'!A:A, 'Component Masterlist v2'!G:G, "Not found")</f>
        <v>Turker Coskun</v>
      </c>
      <c r="D647" s="233" t="str">
        <f>_xlfn.XLOOKUP(B647, 'Component Masterlist v2'!A:A, 'Component Masterlist v2'!E:E, "Not found")</f>
        <v>Prakash Mohan</v>
      </c>
    </row>
    <row r="648" spans="1:4">
      <c r="A648" s="226" t="s">
        <v>2740</v>
      </c>
      <c r="B648" s="227" t="s">
        <v>61</v>
      </c>
      <c r="C648" s="233" t="str">
        <f>_xlfn.XLOOKUP(B648, 'Component Masterlist v2'!A:A, 'Component Masterlist v2'!G:G, "Not found")</f>
        <v>Turker Coskun</v>
      </c>
      <c r="D648" s="233" t="str">
        <f>_xlfn.XLOOKUP(B648, 'Component Masterlist v2'!A:A, 'Component Masterlist v2'!E:E, "Not found")</f>
        <v>Prakash Mohan</v>
      </c>
    </row>
    <row r="649" spans="1:4">
      <c r="A649" s="226" t="s">
        <v>2741</v>
      </c>
      <c r="B649" s="227" t="s">
        <v>61</v>
      </c>
      <c r="C649" s="233" t="str">
        <f>_xlfn.XLOOKUP(B649, 'Component Masterlist v2'!A:A, 'Component Masterlist v2'!G:G, "Not found")</f>
        <v>Turker Coskun</v>
      </c>
      <c r="D649" s="233" t="str">
        <f>_xlfn.XLOOKUP(B649, 'Component Masterlist v2'!A:A, 'Component Masterlist v2'!E:E, "Not found")</f>
        <v>Prakash Mohan</v>
      </c>
    </row>
    <row r="650" spans="1:4">
      <c r="A650" s="226" t="s">
        <v>2742</v>
      </c>
      <c r="B650" s="227" t="s">
        <v>61</v>
      </c>
      <c r="C650" s="233" t="str">
        <f>_xlfn.XLOOKUP(B650, 'Component Masterlist v2'!A:A, 'Component Masterlist v2'!G:G, "Not found")</f>
        <v>Turker Coskun</v>
      </c>
      <c r="D650" s="233" t="str">
        <f>_xlfn.XLOOKUP(B650, 'Component Masterlist v2'!A:A, 'Component Masterlist v2'!E:E, "Not found")</f>
        <v>Prakash Mohan</v>
      </c>
    </row>
    <row r="651" spans="1:4">
      <c r="A651" s="226" t="s">
        <v>2743</v>
      </c>
      <c r="B651" s="227" t="s">
        <v>61</v>
      </c>
      <c r="C651" s="233" t="str">
        <f>_xlfn.XLOOKUP(B651, 'Component Masterlist v2'!A:A, 'Component Masterlist v2'!G:G, "Not found")</f>
        <v>Turker Coskun</v>
      </c>
      <c r="D651" s="233" t="str">
        <f>_xlfn.XLOOKUP(B651, 'Component Masterlist v2'!A:A, 'Component Masterlist v2'!E:E, "Not found")</f>
        <v>Prakash Mohan</v>
      </c>
    </row>
    <row r="652" spans="1:4">
      <c r="A652" s="226" t="s">
        <v>2744</v>
      </c>
      <c r="B652" s="227" t="s">
        <v>61</v>
      </c>
      <c r="C652" s="233" t="str">
        <f>_xlfn.XLOOKUP(B652, 'Component Masterlist v2'!A:A, 'Component Masterlist v2'!G:G, "Not found")</f>
        <v>Turker Coskun</v>
      </c>
      <c r="D652" s="233" t="str">
        <f>_xlfn.XLOOKUP(B652, 'Component Masterlist v2'!A:A, 'Component Masterlist v2'!E:E, "Not found")</f>
        <v>Prakash Mohan</v>
      </c>
    </row>
    <row r="653" spans="1:4">
      <c r="A653" s="226" t="s">
        <v>2745</v>
      </c>
      <c r="B653" s="227" t="s">
        <v>99</v>
      </c>
      <c r="C653" s="233" t="str">
        <f>_xlfn.XLOOKUP(B653, 'Component Masterlist v2'!A:A, 'Component Masterlist v2'!G:G, "Not found")</f>
        <v>Turker Coskun</v>
      </c>
      <c r="D653" s="233" t="str">
        <f>_xlfn.XLOOKUP(B653, 'Component Masterlist v2'!A:A, 'Component Masterlist v2'!E:E, "Not found")</f>
        <v>Prakash Mohan</v>
      </c>
    </row>
    <row r="654" spans="1:4">
      <c r="A654" s="226" t="s">
        <v>2746</v>
      </c>
      <c r="B654" s="227" t="s">
        <v>61</v>
      </c>
      <c r="C654" s="233" t="str">
        <f>_xlfn.XLOOKUP(B654, 'Component Masterlist v2'!A:A, 'Component Masterlist v2'!G:G, "Not found")</f>
        <v>Turker Coskun</v>
      </c>
      <c r="D654" s="233" t="str">
        <f>_xlfn.XLOOKUP(B654, 'Component Masterlist v2'!A:A, 'Component Masterlist v2'!E:E, "Not found")</f>
        <v>Prakash Mohan</v>
      </c>
    </row>
    <row r="655" spans="1:4">
      <c r="A655" s="226" t="s">
        <v>2747</v>
      </c>
      <c r="B655" s="227" t="s">
        <v>99</v>
      </c>
      <c r="C655" s="233" t="str">
        <f>_xlfn.XLOOKUP(B655, 'Component Masterlist v2'!A:A, 'Component Masterlist v2'!G:G, "Not found")</f>
        <v>Turker Coskun</v>
      </c>
      <c r="D655" s="233" t="str">
        <f>_xlfn.XLOOKUP(B655, 'Component Masterlist v2'!A:A, 'Component Masterlist v2'!E:E, "Not found")</f>
        <v>Prakash Mohan</v>
      </c>
    </row>
    <row r="656" spans="1:4">
      <c r="A656" s="226" t="s">
        <v>2748</v>
      </c>
      <c r="B656" s="227" t="s">
        <v>61</v>
      </c>
      <c r="C656" s="233" t="str">
        <f>_xlfn.XLOOKUP(B656, 'Component Masterlist v2'!A:A, 'Component Masterlist v2'!G:G, "Not found")</f>
        <v>Turker Coskun</v>
      </c>
      <c r="D656" s="233" t="str">
        <f>_xlfn.XLOOKUP(B656, 'Component Masterlist v2'!A:A, 'Component Masterlist v2'!E:E, "Not found")</f>
        <v>Prakash Mohan</v>
      </c>
    </row>
    <row r="657" spans="1:4">
      <c r="A657" s="226" t="s">
        <v>2749</v>
      </c>
      <c r="B657" s="227" t="s">
        <v>61</v>
      </c>
      <c r="C657" s="233" t="str">
        <f>_xlfn.XLOOKUP(B657, 'Component Masterlist v2'!A:A, 'Component Masterlist v2'!G:G, "Not found")</f>
        <v>Turker Coskun</v>
      </c>
      <c r="D657" s="233" t="str">
        <f>_xlfn.XLOOKUP(B657, 'Component Masterlist v2'!A:A, 'Component Masterlist v2'!E:E, "Not found")</f>
        <v>Prakash Mohan</v>
      </c>
    </row>
    <row r="658" spans="1:4">
      <c r="A658" s="226" t="s">
        <v>2750</v>
      </c>
      <c r="B658" s="227" t="s">
        <v>61</v>
      </c>
      <c r="C658" s="233" t="str">
        <f>_xlfn.XLOOKUP(B658, 'Component Masterlist v2'!A:A, 'Component Masterlist v2'!G:G, "Not found")</f>
        <v>Turker Coskun</v>
      </c>
      <c r="D658" s="233" t="str">
        <f>_xlfn.XLOOKUP(B658, 'Component Masterlist v2'!A:A, 'Component Masterlist v2'!E:E, "Not found")</f>
        <v>Prakash Mohan</v>
      </c>
    </row>
    <row r="659" spans="1:4">
      <c r="A659" s="226" t="s">
        <v>2751</v>
      </c>
      <c r="B659" s="227" t="s">
        <v>61</v>
      </c>
      <c r="C659" s="233" t="str">
        <f>_xlfn.XLOOKUP(B659, 'Component Masterlist v2'!A:A, 'Component Masterlist v2'!G:G, "Not found")</f>
        <v>Turker Coskun</v>
      </c>
      <c r="D659" s="233" t="str">
        <f>_xlfn.XLOOKUP(B659, 'Component Masterlist v2'!A:A, 'Component Masterlist v2'!E:E, "Not found")</f>
        <v>Prakash Mohan</v>
      </c>
    </row>
    <row r="660" spans="1:4">
      <c r="A660" s="226" t="s">
        <v>2752</v>
      </c>
      <c r="B660" s="227" t="s">
        <v>61</v>
      </c>
      <c r="C660" s="233" t="str">
        <f>_xlfn.XLOOKUP(B660, 'Component Masterlist v2'!A:A, 'Component Masterlist v2'!G:G, "Not found")</f>
        <v>Turker Coskun</v>
      </c>
      <c r="D660" s="233" t="str">
        <f>_xlfn.XLOOKUP(B660, 'Component Masterlist v2'!A:A, 'Component Masterlist v2'!E:E, "Not found")</f>
        <v>Prakash Mohan</v>
      </c>
    </row>
    <row r="661" spans="1:4">
      <c r="A661" s="226" t="s">
        <v>2753</v>
      </c>
      <c r="B661" s="227" t="s">
        <v>61</v>
      </c>
      <c r="C661" s="233" t="str">
        <f>_xlfn.XLOOKUP(B661, 'Component Masterlist v2'!A:A, 'Component Masterlist v2'!G:G, "Not found")</f>
        <v>Turker Coskun</v>
      </c>
      <c r="D661" s="233" t="str">
        <f>_xlfn.XLOOKUP(B661, 'Component Masterlist v2'!A:A, 'Component Masterlist v2'!E:E, "Not found")</f>
        <v>Prakash Mohan</v>
      </c>
    </row>
    <row r="662" spans="1:4">
      <c r="A662" s="226" t="s">
        <v>2754</v>
      </c>
      <c r="B662" s="227" t="s">
        <v>61</v>
      </c>
      <c r="C662" s="233" t="str">
        <f>_xlfn.XLOOKUP(B662, 'Component Masterlist v2'!A:A, 'Component Masterlist v2'!G:G, "Not found")</f>
        <v>Turker Coskun</v>
      </c>
      <c r="D662" s="233" t="str">
        <f>_xlfn.XLOOKUP(B662, 'Component Masterlist v2'!A:A, 'Component Masterlist v2'!E:E, "Not found")</f>
        <v>Prakash Mohan</v>
      </c>
    </row>
    <row r="663" spans="1:4">
      <c r="A663" s="226" t="s">
        <v>2755</v>
      </c>
      <c r="B663" s="227" t="s">
        <v>61</v>
      </c>
      <c r="C663" s="233" t="str">
        <f>_xlfn.XLOOKUP(B663, 'Component Masterlist v2'!A:A, 'Component Masterlist v2'!G:G, "Not found")</f>
        <v>Turker Coskun</v>
      </c>
      <c r="D663" s="233" t="str">
        <f>_xlfn.XLOOKUP(B663, 'Component Masterlist v2'!A:A, 'Component Masterlist v2'!E:E, "Not found")</f>
        <v>Prakash Mohan</v>
      </c>
    </row>
    <row r="664" spans="1:4">
      <c r="A664" s="226" t="s">
        <v>2756</v>
      </c>
      <c r="B664" s="227" t="s">
        <v>61</v>
      </c>
      <c r="C664" s="233" t="str">
        <f>_xlfn.XLOOKUP(B664, 'Component Masterlist v2'!A:A, 'Component Masterlist v2'!G:G, "Not found")</f>
        <v>Turker Coskun</v>
      </c>
      <c r="D664" s="233" t="str">
        <f>_xlfn.XLOOKUP(B664, 'Component Masterlist v2'!A:A, 'Component Masterlist v2'!E:E, "Not found")</f>
        <v>Prakash Mohan</v>
      </c>
    </row>
    <row r="665" spans="1:4">
      <c r="A665" s="226" t="s">
        <v>2757</v>
      </c>
      <c r="B665" s="227" t="s">
        <v>61</v>
      </c>
      <c r="C665" s="233" t="str">
        <f>_xlfn.XLOOKUP(B665, 'Component Masterlist v2'!A:A, 'Component Masterlist v2'!G:G, "Not found")</f>
        <v>Turker Coskun</v>
      </c>
      <c r="D665" s="233" t="str">
        <f>_xlfn.XLOOKUP(B665, 'Component Masterlist v2'!A:A, 'Component Masterlist v2'!E:E, "Not found")</f>
        <v>Prakash Mohan</v>
      </c>
    </row>
    <row r="666" spans="1:4">
      <c r="A666" s="226" t="s">
        <v>2758</v>
      </c>
      <c r="B666" s="227" t="s">
        <v>61</v>
      </c>
      <c r="C666" s="233" t="str">
        <f>_xlfn.XLOOKUP(B666, 'Component Masterlist v2'!A:A, 'Component Masterlist v2'!G:G, "Not found")</f>
        <v>Turker Coskun</v>
      </c>
      <c r="D666" s="233" t="str">
        <f>_xlfn.XLOOKUP(B666, 'Component Masterlist v2'!A:A, 'Component Masterlist v2'!E:E, "Not found")</f>
        <v>Prakash Mohan</v>
      </c>
    </row>
    <row r="667" spans="1:4">
      <c r="A667" s="226" t="s">
        <v>2759</v>
      </c>
      <c r="B667" s="227" t="s">
        <v>99</v>
      </c>
      <c r="C667" s="233" t="str">
        <f>_xlfn.XLOOKUP(B667, 'Component Masterlist v2'!A:A, 'Component Masterlist v2'!G:G, "Not found")</f>
        <v>Turker Coskun</v>
      </c>
      <c r="D667" s="233" t="str">
        <f>_xlfn.XLOOKUP(B667, 'Component Masterlist v2'!A:A, 'Component Masterlist v2'!E:E, "Not found")</f>
        <v>Prakash Mohan</v>
      </c>
    </row>
    <row r="668" spans="1:4">
      <c r="A668" s="226" t="s">
        <v>2760</v>
      </c>
      <c r="B668" s="227" t="s">
        <v>61</v>
      </c>
      <c r="C668" s="233" t="str">
        <f>_xlfn.XLOOKUP(B668, 'Component Masterlist v2'!A:A, 'Component Masterlist v2'!G:G, "Not found")</f>
        <v>Turker Coskun</v>
      </c>
      <c r="D668" s="233" t="str">
        <f>_xlfn.XLOOKUP(B668, 'Component Masterlist v2'!A:A, 'Component Masterlist v2'!E:E, "Not found")</f>
        <v>Prakash Mohan</v>
      </c>
    </row>
    <row r="669" spans="1:4">
      <c r="A669" s="226" t="s">
        <v>2761</v>
      </c>
      <c r="B669" s="227" t="s">
        <v>61</v>
      </c>
      <c r="C669" s="233" t="str">
        <f>_xlfn.XLOOKUP(B669, 'Component Masterlist v2'!A:A, 'Component Masterlist v2'!G:G, "Not found")</f>
        <v>Turker Coskun</v>
      </c>
      <c r="D669" s="233" t="str">
        <f>_xlfn.XLOOKUP(B669, 'Component Masterlist v2'!A:A, 'Component Masterlist v2'!E:E, "Not found")</f>
        <v>Prakash Mohan</v>
      </c>
    </row>
    <row r="670" spans="1:4">
      <c r="A670" s="226" t="s">
        <v>2762</v>
      </c>
      <c r="B670" s="227" t="s">
        <v>61</v>
      </c>
      <c r="C670" s="233" t="str">
        <f>_xlfn.XLOOKUP(B670, 'Component Masterlist v2'!A:A, 'Component Masterlist v2'!G:G, "Not found")</f>
        <v>Turker Coskun</v>
      </c>
      <c r="D670" s="233" t="str">
        <f>_xlfn.XLOOKUP(B670, 'Component Masterlist v2'!A:A, 'Component Masterlist v2'!E:E, "Not found")</f>
        <v>Prakash Mohan</v>
      </c>
    </row>
    <row r="671" spans="1:4">
      <c r="A671" s="226" t="s">
        <v>2763</v>
      </c>
      <c r="B671" s="227" t="s">
        <v>61</v>
      </c>
      <c r="C671" s="233" t="str">
        <f>_xlfn.XLOOKUP(B671, 'Component Masterlist v2'!A:A, 'Component Masterlist v2'!G:G, "Not found")</f>
        <v>Turker Coskun</v>
      </c>
      <c r="D671" s="233" t="str">
        <f>_xlfn.XLOOKUP(B671, 'Component Masterlist v2'!A:A, 'Component Masterlist v2'!E:E, "Not found")</f>
        <v>Prakash Mohan</v>
      </c>
    </row>
    <row r="672" spans="1:4">
      <c r="A672" s="226" t="s">
        <v>2764</v>
      </c>
      <c r="B672" s="227" t="s">
        <v>61</v>
      </c>
      <c r="C672" s="233" t="str">
        <f>_xlfn.XLOOKUP(B672, 'Component Masterlist v2'!A:A, 'Component Masterlist v2'!G:G, "Not found")</f>
        <v>Turker Coskun</v>
      </c>
      <c r="D672" s="233" t="str">
        <f>_xlfn.XLOOKUP(B672, 'Component Masterlist v2'!A:A, 'Component Masterlist v2'!E:E, "Not found")</f>
        <v>Prakash Mohan</v>
      </c>
    </row>
    <row r="673" spans="1:4">
      <c r="A673" s="226" t="s">
        <v>2765</v>
      </c>
      <c r="B673" s="227" t="s">
        <v>61</v>
      </c>
      <c r="C673" s="233" t="str">
        <f>_xlfn.XLOOKUP(B673, 'Component Masterlist v2'!A:A, 'Component Masterlist v2'!G:G, "Not found")</f>
        <v>Turker Coskun</v>
      </c>
      <c r="D673" s="233" t="str">
        <f>_xlfn.XLOOKUP(B673, 'Component Masterlist v2'!A:A, 'Component Masterlist v2'!E:E, "Not found")</f>
        <v>Prakash Mohan</v>
      </c>
    </row>
    <row r="674" spans="1:4">
      <c r="A674" s="226" t="s">
        <v>2766</v>
      </c>
      <c r="B674" s="227" t="s">
        <v>61</v>
      </c>
      <c r="C674" s="233" t="str">
        <f>_xlfn.XLOOKUP(B674, 'Component Masterlist v2'!A:A, 'Component Masterlist v2'!G:G, "Not found")</f>
        <v>Turker Coskun</v>
      </c>
      <c r="D674" s="233" t="str">
        <f>_xlfn.XLOOKUP(B674, 'Component Masterlist v2'!A:A, 'Component Masterlist v2'!E:E, "Not found")</f>
        <v>Prakash Mohan</v>
      </c>
    </row>
    <row r="675" spans="1:4">
      <c r="A675" s="226" t="s">
        <v>2767</v>
      </c>
      <c r="B675" s="227" t="s">
        <v>61</v>
      </c>
      <c r="C675" s="233" t="str">
        <f>_xlfn.XLOOKUP(B675, 'Component Masterlist v2'!A:A, 'Component Masterlist v2'!G:G, "Not found")</f>
        <v>Turker Coskun</v>
      </c>
      <c r="D675" s="233" t="str">
        <f>_xlfn.XLOOKUP(B675, 'Component Masterlist v2'!A:A, 'Component Masterlist v2'!E:E, "Not found")</f>
        <v>Prakash Mohan</v>
      </c>
    </row>
    <row r="676" spans="1:4">
      <c r="A676" s="226" t="s">
        <v>2768</v>
      </c>
      <c r="B676" s="227" t="s">
        <v>61</v>
      </c>
      <c r="C676" s="233" t="str">
        <f>_xlfn.XLOOKUP(B676, 'Component Masterlist v2'!A:A, 'Component Masterlist v2'!G:G, "Not found")</f>
        <v>Turker Coskun</v>
      </c>
      <c r="D676" s="233" t="str">
        <f>_xlfn.XLOOKUP(B676, 'Component Masterlist v2'!A:A, 'Component Masterlist v2'!E:E, "Not found")</f>
        <v>Prakash Mohan</v>
      </c>
    </row>
    <row r="677" spans="1:4">
      <c r="A677" s="226" t="s">
        <v>2769</v>
      </c>
      <c r="B677" s="227" t="s">
        <v>99</v>
      </c>
      <c r="C677" s="233" t="str">
        <f>_xlfn.XLOOKUP(B677, 'Component Masterlist v2'!A:A, 'Component Masterlist v2'!G:G, "Not found")</f>
        <v>Turker Coskun</v>
      </c>
      <c r="D677" s="233" t="str">
        <f>_xlfn.XLOOKUP(B677, 'Component Masterlist v2'!A:A, 'Component Masterlist v2'!E:E, "Not found")</f>
        <v>Prakash Mohan</v>
      </c>
    </row>
    <row r="678" spans="1:4">
      <c r="A678" s="226" t="s">
        <v>2770</v>
      </c>
      <c r="B678" s="227" t="s">
        <v>61</v>
      </c>
      <c r="C678" s="233" t="str">
        <f>_xlfn.XLOOKUP(B678, 'Component Masterlist v2'!A:A, 'Component Masterlist v2'!G:G, "Not found")</f>
        <v>Turker Coskun</v>
      </c>
      <c r="D678" s="233" t="str">
        <f>_xlfn.XLOOKUP(B678, 'Component Masterlist v2'!A:A, 'Component Masterlist v2'!E:E, "Not found")</f>
        <v>Prakash Mohan</v>
      </c>
    </row>
    <row r="679" spans="1:4">
      <c r="A679" s="226" t="s">
        <v>2771</v>
      </c>
      <c r="B679" s="227" t="s">
        <v>61</v>
      </c>
      <c r="C679" s="233" t="str">
        <f>_xlfn.XLOOKUP(B679, 'Component Masterlist v2'!A:A, 'Component Masterlist v2'!G:G, "Not found")</f>
        <v>Turker Coskun</v>
      </c>
      <c r="D679" s="233" t="str">
        <f>_xlfn.XLOOKUP(B679, 'Component Masterlist v2'!A:A, 'Component Masterlist v2'!E:E, "Not found")</f>
        <v>Prakash Mohan</v>
      </c>
    </row>
    <row r="680" spans="1:4">
      <c r="A680" s="226" t="s">
        <v>2772</v>
      </c>
      <c r="B680" s="227" t="s">
        <v>61</v>
      </c>
      <c r="C680" s="233" t="str">
        <f>_xlfn.XLOOKUP(B680, 'Component Masterlist v2'!A:A, 'Component Masterlist v2'!G:G, "Not found")</f>
        <v>Turker Coskun</v>
      </c>
      <c r="D680" s="233" t="str">
        <f>_xlfn.XLOOKUP(B680, 'Component Masterlist v2'!A:A, 'Component Masterlist v2'!E:E, "Not found")</f>
        <v>Prakash Mohan</v>
      </c>
    </row>
    <row r="681" spans="1:4">
      <c r="A681" s="226" t="s">
        <v>2773</v>
      </c>
      <c r="B681" s="227" t="s">
        <v>61</v>
      </c>
      <c r="C681" s="233" t="str">
        <f>_xlfn.XLOOKUP(B681, 'Component Masterlist v2'!A:A, 'Component Masterlist v2'!G:G, "Not found")</f>
        <v>Turker Coskun</v>
      </c>
      <c r="D681" s="233" t="str">
        <f>_xlfn.XLOOKUP(B681, 'Component Masterlist v2'!A:A, 'Component Masterlist v2'!E:E, "Not found")</f>
        <v>Prakash Mohan</v>
      </c>
    </row>
    <row r="682" spans="1:4">
      <c r="A682" s="226" t="s">
        <v>2774</v>
      </c>
      <c r="B682" s="227" t="s">
        <v>61</v>
      </c>
      <c r="C682" s="233" t="str">
        <f>_xlfn.XLOOKUP(B682, 'Component Masterlist v2'!A:A, 'Component Masterlist v2'!G:G, "Not found")</f>
        <v>Turker Coskun</v>
      </c>
      <c r="D682" s="233" t="str">
        <f>_xlfn.XLOOKUP(B682, 'Component Masterlist v2'!A:A, 'Component Masterlist v2'!E:E, "Not found")</f>
        <v>Prakash Mohan</v>
      </c>
    </row>
    <row r="683" spans="1:4">
      <c r="A683" s="226" t="s">
        <v>2775</v>
      </c>
      <c r="B683" s="227" t="s">
        <v>61</v>
      </c>
      <c r="C683" s="233" t="str">
        <f>_xlfn.XLOOKUP(B683, 'Component Masterlist v2'!A:A, 'Component Masterlist v2'!G:G, "Not found")</f>
        <v>Turker Coskun</v>
      </c>
      <c r="D683" s="233" t="str">
        <f>_xlfn.XLOOKUP(B683, 'Component Masterlist v2'!A:A, 'Component Masterlist v2'!E:E, "Not found")</f>
        <v>Prakash Mohan</v>
      </c>
    </row>
    <row r="684" spans="1:4">
      <c r="A684" s="226" t="s">
        <v>2776</v>
      </c>
      <c r="B684" s="227" t="s">
        <v>61</v>
      </c>
      <c r="C684" s="233" t="str">
        <f>_xlfn.XLOOKUP(B684, 'Component Masterlist v2'!A:A, 'Component Masterlist v2'!G:G, "Not found")</f>
        <v>Turker Coskun</v>
      </c>
      <c r="D684" s="233" t="str">
        <f>_xlfn.XLOOKUP(B684, 'Component Masterlist v2'!A:A, 'Component Masterlist v2'!E:E, "Not found")</f>
        <v>Prakash Mohan</v>
      </c>
    </row>
    <row r="685" spans="1:4">
      <c r="A685" s="226" t="s">
        <v>2777</v>
      </c>
      <c r="B685" s="227" t="s">
        <v>61</v>
      </c>
      <c r="C685" s="233" t="str">
        <f>_xlfn.XLOOKUP(B685, 'Component Masterlist v2'!A:A, 'Component Masterlist v2'!G:G, "Not found")</f>
        <v>Turker Coskun</v>
      </c>
      <c r="D685" s="233" t="str">
        <f>_xlfn.XLOOKUP(B685, 'Component Masterlist v2'!A:A, 'Component Masterlist v2'!E:E, "Not found")</f>
        <v>Prakash Mohan</v>
      </c>
    </row>
    <row r="686" spans="1:4">
      <c r="A686" s="226" t="s">
        <v>2778</v>
      </c>
      <c r="B686" s="227" t="s">
        <v>61</v>
      </c>
      <c r="C686" s="233" t="str">
        <f>_xlfn.XLOOKUP(B686, 'Component Masterlist v2'!A:A, 'Component Masterlist v2'!G:G, "Not found")</f>
        <v>Turker Coskun</v>
      </c>
      <c r="D686" s="233" t="str">
        <f>_xlfn.XLOOKUP(B686, 'Component Masterlist v2'!A:A, 'Component Masterlist v2'!E:E, "Not found")</f>
        <v>Prakash Mohan</v>
      </c>
    </row>
    <row r="687" spans="1:4">
      <c r="A687" s="226" t="s">
        <v>2779</v>
      </c>
      <c r="B687" s="227" t="s">
        <v>61</v>
      </c>
      <c r="C687" s="233" t="str">
        <f>_xlfn.XLOOKUP(B687, 'Component Masterlist v2'!A:A, 'Component Masterlist v2'!G:G, "Not found")</f>
        <v>Turker Coskun</v>
      </c>
      <c r="D687" s="233" t="str">
        <f>_xlfn.XLOOKUP(B687, 'Component Masterlist v2'!A:A, 'Component Masterlist v2'!E:E, "Not found")</f>
        <v>Prakash Mohan</v>
      </c>
    </row>
    <row r="688" spans="1:4">
      <c r="A688" s="226" t="s">
        <v>2780</v>
      </c>
      <c r="B688" s="227" t="s">
        <v>68</v>
      </c>
      <c r="C688" s="233" t="str">
        <f>_xlfn.XLOOKUP(B688, 'Component Masterlist v2'!A:A, 'Component Masterlist v2'!G:G, "Not found")</f>
        <v>Satish Sallakonda</v>
      </c>
      <c r="D688" s="233" t="str">
        <f>_xlfn.XLOOKUP(B688, 'Component Masterlist v2'!A:A, 'Component Masterlist v2'!E:E, "Not found")</f>
        <v>Satyajeet Singh</v>
      </c>
    </row>
    <row r="689" spans="1:4">
      <c r="A689" s="226" t="s">
        <v>2781</v>
      </c>
      <c r="B689" s="227" t="s">
        <v>68</v>
      </c>
      <c r="C689" s="233" t="str">
        <f>_xlfn.XLOOKUP(B689, 'Component Masterlist v2'!A:A, 'Component Masterlist v2'!G:G, "Not found")</f>
        <v>Satish Sallakonda</v>
      </c>
      <c r="D689" s="233" t="str">
        <f>_xlfn.XLOOKUP(B689, 'Component Masterlist v2'!A:A, 'Component Masterlist v2'!E:E, "Not found")</f>
        <v>Satyajeet Singh</v>
      </c>
    </row>
    <row r="690" spans="1:4">
      <c r="A690" s="226" t="s">
        <v>2782</v>
      </c>
      <c r="B690" s="227" t="s">
        <v>11</v>
      </c>
      <c r="C690" s="233" t="str">
        <f>_xlfn.XLOOKUP(B690, 'Component Masterlist v2'!A:A, 'Component Masterlist v2'!G:G, "Not found")</f>
        <v>Keith Wiseman</v>
      </c>
      <c r="D690" s="233" t="str">
        <f>_xlfn.XLOOKUP(B690, 'Component Masterlist v2'!A:A, 'Component Masterlist v2'!E:E, "Not found")</f>
        <v>Vaibhav Saini</v>
      </c>
    </row>
    <row r="691" spans="1:4">
      <c r="A691" s="226" t="s">
        <v>2783</v>
      </c>
      <c r="B691" s="227" t="s">
        <v>68</v>
      </c>
      <c r="C691" s="233" t="str">
        <f>_xlfn.XLOOKUP(B691, 'Component Masterlist v2'!A:A, 'Component Masterlist v2'!G:G, "Not found")</f>
        <v>Satish Sallakonda</v>
      </c>
      <c r="D691" s="233" t="str">
        <f>_xlfn.XLOOKUP(B691, 'Component Masterlist v2'!A:A, 'Component Masterlist v2'!E:E, "Not found")</f>
        <v>Satyajeet Singh</v>
      </c>
    </row>
    <row r="692" spans="1:4">
      <c r="A692" s="226" t="s">
        <v>2784</v>
      </c>
      <c r="B692" s="227" t="s">
        <v>63</v>
      </c>
      <c r="C692" s="233" t="str">
        <f>_xlfn.XLOOKUP(B692, 'Component Masterlist v2'!A:A, 'Component Masterlist v2'!G:G, "Not found")</f>
        <v>Satish Sallakonda</v>
      </c>
      <c r="D692" s="233" t="str">
        <f>_xlfn.XLOOKUP(B692, 'Component Masterlist v2'!A:A, 'Component Masterlist v2'!E:E, "Not found")</f>
        <v>Satish Sallakonda</v>
      </c>
    </row>
    <row r="693" spans="1:4">
      <c r="A693" s="226" t="s">
        <v>2785</v>
      </c>
      <c r="B693" s="227" t="s">
        <v>63</v>
      </c>
      <c r="C693" s="233" t="str">
        <f>_xlfn.XLOOKUP(B693, 'Component Masterlist v2'!A:A, 'Component Masterlist v2'!G:G, "Not found")</f>
        <v>Satish Sallakonda</v>
      </c>
      <c r="D693" s="233" t="str">
        <f>_xlfn.XLOOKUP(B693, 'Component Masterlist v2'!A:A, 'Component Masterlist v2'!E:E, "Not found")</f>
        <v>Satish Sallakonda</v>
      </c>
    </row>
    <row r="694" spans="1:4">
      <c r="A694" s="226" t="s">
        <v>2786</v>
      </c>
      <c r="B694" s="227" t="s">
        <v>57</v>
      </c>
      <c r="C694" s="233" t="str">
        <f>_xlfn.XLOOKUP(B694, 'Component Masterlist v2'!A:A, 'Component Masterlist v2'!G:G, "Not found")</f>
        <v>Satish Sallakonda</v>
      </c>
      <c r="D694" s="233" t="str">
        <f>_xlfn.XLOOKUP(B694, 'Component Masterlist v2'!A:A, 'Component Masterlist v2'!E:E, "Not found")</f>
        <v>Anvesh Aileni</v>
      </c>
    </row>
    <row r="695" spans="1:4">
      <c r="A695" s="226" t="s">
        <v>2787</v>
      </c>
      <c r="B695" s="227" t="s">
        <v>67</v>
      </c>
      <c r="C695" s="233" t="str">
        <f>_xlfn.XLOOKUP(B695, 'Component Masterlist v2'!A:A, 'Component Masterlist v2'!G:G, "Not found")</f>
        <v>Satish Sallakonda</v>
      </c>
      <c r="D695" s="233" t="str">
        <f>_xlfn.XLOOKUP(B695, 'Component Masterlist v2'!A:A, 'Component Masterlist v2'!E:E, "Not found")</f>
        <v>Satyajeet Singh</v>
      </c>
    </row>
    <row r="696" spans="1:4">
      <c r="A696" s="226" t="s">
        <v>2788</v>
      </c>
      <c r="B696" s="227" t="s">
        <v>68</v>
      </c>
      <c r="C696" s="233" t="str">
        <f>_xlfn.XLOOKUP(B696, 'Component Masterlist v2'!A:A, 'Component Masterlist v2'!G:G, "Not found")</f>
        <v>Satish Sallakonda</v>
      </c>
      <c r="D696" s="233" t="str">
        <f>_xlfn.XLOOKUP(B696, 'Component Masterlist v2'!A:A, 'Component Masterlist v2'!E:E, "Not found")</f>
        <v>Satyajeet Singh</v>
      </c>
    </row>
    <row r="697" spans="1:4">
      <c r="A697" s="226" t="s">
        <v>2789</v>
      </c>
      <c r="B697" s="227" t="s">
        <v>67</v>
      </c>
      <c r="C697" s="233" t="str">
        <f>_xlfn.XLOOKUP(B697, 'Component Masterlist v2'!A:A, 'Component Masterlist v2'!G:G, "Not found")</f>
        <v>Satish Sallakonda</v>
      </c>
      <c r="D697" s="233" t="str">
        <f>_xlfn.XLOOKUP(B697, 'Component Masterlist v2'!A:A, 'Component Masterlist v2'!E:E, "Not found")</f>
        <v>Satyajeet Singh</v>
      </c>
    </row>
    <row r="698" spans="1:4">
      <c r="A698" s="226" t="s">
        <v>2790</v>
      </c>
      <c r="B698" s="227" t="s">
        <v>63</v>
      </c>
      <c r="C698" s="233" t="str">
        <f>_xlfn.XLOOKUP(B698, 'Component Masterlist v2'!A:A, 'Component Masterlist v2'!G:G, "Not found")</f>
        <v>Satish Sallakonda</v>
      </c>
      <c r="D698" s="233" t="str">
        <f>_xlfn.XLOOKUP(B698, 'Component Masterlist v2'!A:A, 'Component Masterlist v2'!E:E, "Not found")</f>
        <v>Satish Sallakonda</v>
      </c>
    </row>
    <row r="699" spans="1:4">
      <c r="A699" s="226" t="s">
        <v>2791</v>
      </c>
      <c r="B699" s="227" t="s">
        <v>67</v>
      </c>
      <c r="C699" s="233" t="str">
        <f>_xlfn.XLOOKUP(B699, 'Component Masterlist v2'!A:A, 'Component Masterlist v2'!G:G, "Not found")</f>
        <v>Satish Sallakonda</v>
      </c>
      <c r="D699" s="233" t="str">
        <f>_xlfn.XLOOKUP(B699, 'Component Masterlist v2'!A:A, 'Component Masterlist v2'!E:E, "Not found")</f>
        <v>Satyajeet Singh</v>
      </c>
    </row>
    <row r="700" spans="1:4">
      <c r="A700" s="226" t="s">
        <v>2792</v>
      </c>
      <c r="B700" s="227" t="s">
        <v>68</v>
      </c>
      <c r="C700" s="233" t="str">
        <f>_xlfn.XLOOKUP(B700, 'Component Masterlist v2'!A:A, 'Component Masterlist v2'!G:G, "Not found")</f>
        <v>Satish Sallakonda</v>
      </c>
      <c r="D700" s="233" t="str">
        <f>_xlfn.XLOOKUP(B700, 'Component Masterlist v2'!A:A, 'Component Masterlist v2'!E:E, "Not found")</f>
        <v>Satyajeet Singh</v>
      </c>
    </row>
    <row r="701" spans="1:4">
      <c r="A701" s="226" t="s">
        <v>2793</v>
      </c>
      <c r="B701" s="227" t="s">
        <v>67</v>
      </c>
      <c r="C701" s="233" t="str">
        <f>_xlfn.XLOOKUP(B701, 'Component Masterlist v2'!A:A, 'Component Masterlist v2'!G:G, "Not found")</f>
        <v>Satish Sallakonda</v>
      </c>
      <c r="D701" s="233" t="str">
        <f>_xlfn.XLOOKUP(B701, 'Component Masterlist v2'!A:A, 'Component Masterlist v2'!E:E, "Not found")</f>
        <v>Satyajeet Singh</v>
      </c>
    </row>
    <row r="702" spans="1:4">
      <c r="A702" s="226" t="s">
        <v>2794</v>
      </c>
      <c r="B702" s="227" t="s">
        <v>63</v>
      </c>
      <c r="C702" s="233" t="str">
        <f>_xlfn.XLOOKUP(B702, 'Component Masterlist v2'!A:A, 'Component Masterlist v2'!G:G, "Not found")</f>
        <v>Satish Sallakonda</v>
      </c>
      <c r="D702" s="233" t="str">
        <f>_xlfn.XLOOKUP(B702, 'Component Masterlist v2'!A:A, 'Component Masterlist v2'!E:E, "Not found")</f>
        <v>Satish Sallakonda</v>
      </c>
    </row>
    <row r="703" spans="1:4">
      <c r="A703" s="226" t="s">
        <v>2795</v>
      </c>
      <c r="B703" s="227" t="s">
        <v>67</v>
      </c>
      <c r="C703" s="233" t="str">
        <f>_xlfn.XLOOKUP(B703, 'Component Masterlist v2'!A:A, 'Component Masterlist v2'!G:G, "Not found")</f>
        <v>Satish Sallakonda</v>
      </c>
      <c r="D703" s="233" t="str">
        <f>_xlfn.XLOOKUP(B703, 'Component Masterlist v2'!A:A, 'Component Masterlist v2'!E:E, "Not found")</f>
        <v>Satyajeet Singh</v>
      </c>
    </row>
    <row r="704" spans="1:4">
      <c r="A704" s="226" t="s">
        <v>2796</v>
      </c>
      <c r="B704" s="227" t="s">
        <v>67</v>
      </c>
      <c r="C704" s="233" t="str">
        <f>_xlfn.XLOOKUP(B704, 'Component Masterlist v2'!A:A, 'Component Masterlist v2'!G:G, "Not found")</f>
        <v>Satish Sallakonda</v>
      </c>
      <c r="D704" s="233" t="str">
        <f>_xlfn.XLOOKUP(B704, 'Component Masterlist v2'!A:A, 'Component Masterlist v2'!E:E, "Not found")</f>
        <v>Satyajeet Singh</v>
      </c>
    </row>
    <row r="705" spans="1:4">
      <c r="A705" s="226" t="s">
        <v>2797</v>
      </c>
      <c r="B705" s="227" t="s">
        <v>63</v>
      </c>
      <c r="C705" s="233" t="str">
        <f>_xlfn.XLOOKUP(B705, 'Component Masterlist v2'!A:A, 'Component Masterlist v2'!G:G, "Not found")</f>
        <v>Satish Sallakonda</v>
      </c>
      <c r="D705" s="233" t="str">
        <f>_xlfn.XLOOKUP(B705, 'Component Masterlist v2'!A:A, 'Component Masterlist v2'!E:E, "Not found")</f>
        <v>Satish Sallakonda</v>
      </c>
    </row>
    <row r="706" spans="1:4">
      <c r="A706" s="226" t="s">
        <v>2798</v>
      </c>
      <c r="B706" s="227" t="s">
        <v>63</v>
      </c>
      <c r="C706" s="233" t="str">
        <f>_xlfn.XLOOKUP(B706, 'Component Masterlist v2'!A:A, 'Component Masterlist v2'!G:G, "Not found")</f>
        <v>Satish Sallakonda</v>
      </c>
      <c r="D706" s="233" t="str">
        <f>_xlfn.XLOOKUP(B706, 'Component Masterlist v2'!A:A, 'Component Masterlist v2'!E:E, "Not found")</f>
        <v>Satish Sallakonda</v>
      </c>
    </row>
    <row r="707" spans="1:4">
      <c r="A707" s="226" t="s">
        <v>2799</v>
      </c>
      <c r="B707" s="227" t="s">
        <v>63</v>
      </c>
      <c r="C707" s="233" t="str">
        <f>_xlfn.XLOOKUP(B707, 'Component Masterlist v2'!A:A, 'Component Masterlist v2'!G:G, "Not found")</f>
        <v>Satish Sallakonda</v>
      </c>
      <c r="D707" s="233" t="str">
        <f>_xlfn.XLOOKUP(B707, 'Component Masterlist v2'!A:A, 'Component Masterlist v2'!E:E, "Not found")</f>
        <v>Satish Sallakonda</v>
      </c>
    </row>
    <row r="708" spans="1:4">
      <c r="A708" s="226" t="s">
        <v>2800</v>
      </c>
      <c r="B708" s="227" t="s">
        <v>63</v>
      </c>
      <c r="C708" s="233" t="str">
        <f>_xlfn.XLOOKUP(B708, 'Component Masterlist v2'!A:A, 'Component Masterlist v2'!G:G, "Not found")</f>
        <v>Satish Sallakonda</v>
      </c>
      <c r="D708" s="233" t="str">
        <f>_xlfn.XLOOKUP(B708, 'Component Masterlist v2'!A:A, 'Component Masterlist v2'!E:E, "Not found")</f>
        <v>Satish Sallakonda</v>
      </c>
    </row>
    <row r="709" spans="1:4">
      <c r="A709" s="226" t="s">
        <v>2801</v>
      </c>
      <c r="B709" s="227" t="s">
        <v>63</v>
      </c>
      <c r="C709" s="233" t="str">
        <f>_xlfn.XLOOKUP(B709, 'Component Masterlist v2'!A:A, 'Component Masterlist v2'!G:G, "Not found")</f>
        <v>Satish Sallakonda</v>
      </c>
      <c r="D709" s="233" t="str">
        <f>_xlfn.XLOOKUP(B709, 'Component Masterlist v2'!A:A, 'Component Masterlist v2'!E:E, "Not found")</f>
        <v>Satish Sallakonda</v>
      </c>
    </row>
    <row r="710" spans="1:4">
      <c r="A710" s="226" t="s">
        <v>2802</v>
      </c>
      <c r="B710" s="227" t="s">
        <v>63</v>
      </c>
      <c r="C710" s="233" t="str">
        <f>_xlfn.XLOOKUP(B710, 'Component Masterlist v2'!A:A, 'Component Masterlist v2'!G:G, "Not found")</f>
        <v>Satish Sallakonda</v>
      </c>
      <c r="D710" s="233" t="str">
        <f>_xlfn.XLOOKUP(B710, 'Component Masterlist v2'!A:A, 'Component Masterlist v2'!E:E, "Not found")</f>
        <v>Satish Sallakonda</v>
      </c>
    </row>
    <row r="711" spans="1:4">
      <c r="A711" s="226" t="s">
        <v>2803</v>
      </c>
      <c r="B711" s="227" t="s">
        <v>65</v>
      </c>
      <c r="C711" s="233" t="str">
        <f>_xlfn.XLOOKUP(B711, 'Component Masterlist v2'!A:A, 'Component Masterlist v2'!G:G, "Not found")</f>
        <v>Satish Sallakonda</v>
      </c>
      <c r="D711" s="233" t="str">
        <f>_xlfn.XLOOKUP(B711, 'Component Masterlist v2'!A:A, 'Component Masterlist v2'!E:E, "Not found")</f>
        <v>Ajay Rao</v>
      </c>
    </row>
    <row r="712" spans="1:4">
      <c r="A712" s="226" t="s">
        <v>2804</v>
      </c>
      <c r="B712" s="227" t="s">
        <v>65</v>
      </c>
      <c r="C712" s="233" t="str">
        <f>_xlfn.XLOOKUP(B712, 'Component Masterlist v2'!A:A, 'Component Masterlist v2'!G:G, "Not found")</f>
        <v>Satish Sallakonda</v>
      </c>
      <c r="D712" s="233" t="str">
        <f>_xlfn.XLOOKUP(B712, 'Component Masterlist v2'!A:A, 'Component Masterlist v2'!E:E, "Not found")</f>
        <v>Ajay Rao</v>
      </c>
    </row>
    <row r="713" spans="1:4">
      <c r="A713" s="226" t="s">
        <v>2805</v>
      </c>
      <c r="B713" s="227" t="s">
        <v>57</v>
      </c>
      <c r="C713" s="233" t="str">
        <f>_xlfn.XLOOKUP(B713, 'Component Masterlist v2'!A:A, 'Component Masterlist v2'!G:G, "Not found")</f>
        <v>Satish Sallakonda</v>
      </c>
      <c r="D713" s="233" t="str">
        <f>_xlfn.XLOOKUP(B713, 'Component Masterlist v2'!A:A, 'Component Masterlist v2'!E:E, "Not found")</f>
        <v>Anvesh Aileni</v>
      </c>
    </row>
    <row r="714" spans="1:4">
      <c r="A714" s="226" t="s">
        <v>2806</v>
      </c>
      <c r="B714" s="227" t="s">
        <v>67</v>
      </c>
      <c r="C714" s="233" t="str">
        <f>_xlfn.XLOOKUP(B714, 'Component Masterlist v2'!A:A, 'Component Masterlist v2'!G:G, "Not found")</f>
        <v>Satish Sallakonda</v>
      </c>
      <c r="D714" s="233" t="str">
        <f>_xlfn.XLOOKUP(B714, 'Component Masterlist v2'!A:A, 'Component Masterlist v2'!E:E, "Not found")</f>
        <v>Satyajeet Singh</v>
      </c>
    </row>
    <row r="715" spans="1:4">
      <c r="A715" s="226" t="s">
        <v>2807</v>
      </c>
      <c r="B715" s="227" t="s">
        <v>65</v>
      </c>
      <c r="C715" s="233" t="str">
        <f>_xlfn.XLOOKUP(B715, 'Component Masterlist v2'!A:A, 'Component Masterlist v2'!G:G, "Not found")</f>
        <v>Satish Sallakonda</v>
      </c>
      <c r="D715" s="233" t="str">
        <f>_xlfn.XLOOKUP(B715, 'Component Masterlist v2'!A:A, 'Component Masterlist v2'!E:E, "Not found")</f>
        <v>Ajay Rao</v>
      </c>
    </row>
    <row r="716" spans="1:4">
      <c r="A716" s="226" t="s">
        <v>2808</v>
      </c>
      <c r="B716" s="227" t="s">
        <v>67</v>
      </c>
      <c r="C716" s="233" t="str">
        <f>_xlfn.XLOOKUP(B716, 'Component Masterlist v2'!A:A, 'Component Masterlist v2'!G:G, "Not found")</f>
        <v>Satish Sallakonda</v>
      </c>
      <c r="D716" s="233" t="str">
        <f>_xlfn.XLOOKUP(B716, 'Component Masterlist v2'!A:A, 'Component Masterlist v2'!E:E, "Not found")</f>
        <v>Satyajeet Singh</v>
      </c>
    </row>
    <row r="717" spans="1:4">
      <c r="A717" s="226" t="s">
        <v>2809</v>
      </c>
      <c r="B717" s="227" t="s">
        <v>67</v>
      </c>
      <c r="C717" s="233" t="str">
        <f>_xlfn.XLOOKUP(B717, 'Component Masterlist v2'!A:A, 'Component Masterlist v2'!G:G, "Not found")</f>
        <v>Satish Sallakonda</v>
      </c>
      <c r="D717" s="233" t="str">
        <f>_xlfn.XLOOKUP(B717, 'Component Masterlist v2'!A:A, 'Component Masterlist v2'!E:E, "Not found")</f>
        <v>Satyajeet Singh</v>
      </c>
    </row>
    <row r="718" spans="1:4">
      <c r="A718" s="226" t="s">
        <v>2810</v>
      </c>
      <c r="B718" s="227" t="s">
        <v>67</v>
      </c>
      <c r="C718" s="233" t="str">
        <f>_xlfn.XLOOKUP(B718, 'Component Masterlist v2'!A:A, 'Component Masterlist v2'!G:G, "Not found")</f>
        <v>Satish Sallakonda</v>
      </c>
      <c r="D718" s="233" t="str">
        <f>_xlfn.XLOOKUP(B718, 'Component Masterlist v2'!A:A, 'Component Masterlist v2'!E:E, "Not found")</f>
        <v>Satyajeet Singh</v>
      </c>
    </row>
    <row r="719" spans="1:4">
      <c r="A719" s="226" t="s">
        <v>2811</v>
      </c>
      <c r="B719" s="227" t="s">
        <v>67</v>
      </c>
      <c r="C719" s="233" t="str">
        <f>_xlfn.XLOOKUP(B719, 'Component Masterlist v2'!A:A, 'Component Masterlist v2'!G:G, "Not found")</f>
        <v>Satish Sallakonda</v>
      </c>
      <c r="D719" s="233" t="str">
        <f>_xlfn.XLOOKUP(B719, 'Component Masterlist v2'!A:A, 'Component Masterlist v2'!E:E, "Not found")</f>
        <v>Satyajeet Singh</v>
      </c>
    </row>
    <row r="720" spans="1:4">
      <c r="A720" s="226" t="s">
        <v>2812</v>
      </c>
      <c r="B720" s="227" t="s">
        <v>67</v>
      </c>
      <c r="C720" s="233" t="str">
        <f>_xlfn.XLOOKUP(B720, 'Component Masterlist v2'!A:A, 'Component Masterlist v2'!G:G, "Not found")</f>
        <v>Satish Sallakonda</v>
      </c>
      <c r="D720" s="233" t="str">
        <f>_xlfn.XLOOKUP(B720, 'Component Masterlist v2'!A:A, 'Component Masterlist v2'!E:E, "Not found")</f>
        <v>Satyajeet Singh</v>
      </c>
    </row>
    <row r="721" spans="1:4">
      <c r="A721" s="226" t="s">
        <v>2813</v>
      </c>
      <c r="B721" s="227" t="s">
        <v>11</v>
      </c>
      <c r="C721" s="233" t="str">
        <f>_xlfn.XLOOKUP(B721, 'Component Masterlist v2'!A:A, 'Component Masterlist v2'!G:G, "Not found")</f>
        <v>Keith Wiseman</v>
      </c>
      <c r="D721" s="233" t="str">
        <f>_xlfn.XLOOKUP(B721, 'Component Masterlist v2'!A:A, 'Component Masterlist v2'!E:E, "Not found")</f>
        <v>Vaibhav Saini</v>
      </c>
    </row>
    <row r="722" spans="1:4">
      <c r="A722" s="226" t="s">
        <v>2814</v>
      </c>
      <c r="B722" s="227" t="s">
        <v>68</v>
      </c>
      <c r="C722" s="233" t="str">
        <f>_xlfn.XLOOKUP(B722, 'Component Masterlist v2'!A:A, 'Component Masterlist v2'!G:G, "Not found")</f>
        <v>Satish Sallakonda</v>
      </c>
      <c r="D722" s="233" t="str">
        <f>_xlfn.XLOOKUP(B722, 'Component Masterlist v2'!A:A, 'Component Masterlist v2'!E:E, "Not found")</f>
        <v>Satyajeet Singh</v>
      </c>
    </row>
    <row r="723" spans="1:4">
      <c r="A723" s="226" t="s">
        <v>2815</v>
      </c>
      <c r="B723" s="227" t="s">
        <v>68</v>
      </c>
      <c r="C723" s="233" t="str">
        <f>_xlfn.XLOOKUP(B723, 'Component Masterlist v2'!A:A, 'Component Masterlist v2'!G:G, "Not found")</f>
        <v>Satish Sallakonda</v>
      </c>
      <c r="D723" s="233" t="str">
        <f>_xlfn.XLOOKUP(B723, 'Component Masterlist v2'!A:A, 'Component Masterlist v2'!E:E, "Not found")</f>
        <v>Satyajeet Singh</v>
      </c>
    </row>
    <row r="724" spans="1:4">
      <c r="A724" s="226" t="s">
        <v>2816</v>
      </c>
      <c r="B724" s="227" t="s">
        <v>57</v>
      </c>
      <c r="C724" s="233" t="str">
        <f>_xlfn.XLOOKUP(B724, 'Component Masterlist v2'!A:A, 'Component Masterlist v2'!G:G, "Not found")</f>
        <v>Satish Sallakonda</v>
      </c>
      <c r="D724" s="233" t="str">
        <f>_xlfn.XLOOKUP(B724, 'Component Masterlist v2'!A:A, 'Component Masterlist v2'!E:E, "Not found")</f>
        <v>Anvesh Aileni</v>
      </c>
    </row>
    <row r="725" spans="1:4">
      <c r="A725" s="226" t="s">
        <v>2817</v>
      </c>
      <c r="B725" s="227" t="s">
        <v>63</v>
      </c>
      <c r="C725" s="233" t="str">
        <f>_xlfn.XLOOKUP(B725, 'Component Masterlist v2'!A:A, 'Component Masterlist v2'!G:G, "Not found")</f>
        <v>Satish Sallakonda</v>
      </c>
      <c r="D725" s="233" t="str">
        <f>_xlfn.XLOOKUP(B725, 'Component Masterlist v2'!A:A, 'Component Masterlist v2'!E:E, "Not found")</f>
        <v>Satish Sallakonda</v>
      </c>
    </row>
    <row r="726" spans="1:4">
      <c r="A726" s="226" t="s">
        <v>2818</v>
      </c>
      <c r="B726" s="227" t="s">
        <v>63</v>
      </c>
      <c r="C726" s="233" t="str">
        <f>_xlfn.XLOOKUP(B726, 'Component Masterlist v2'!A:A, 'Component Masterlist v2'!G:G, "Not found")</f>
        <v>Satish Sallakonda</v>
      </c>
      <c r="D726" s="233" t="str">
        <f>_xlfn.XLOOKUP(B726, 'Component Masterlist v2'!A:A, 'Component Masterlist v2'!E:E, "Not found")</f>
        <v>Satish Sallakonda</v>
      </c>
    </row>
    <row r="727" spans="1:4">
      <c r="A727" s="226" t="s">
        <v>2819</v>
      </c>
      <c r="B727" s="227" t="s">
        <v>63</v>
      </c>
      <c r="C727" s="233" t="str">
        <f>_xlfn.XLOOKUP(B727, 'Component Masterlist v2'!A:A, 'Component Masterlist v2'!G:G, "Not found")</f>
        <v>Satish Sallakonda</v>
      </c>
      <c r="D727" s="233" t="str">
        <f>_xlfn.XLOOKUP(B727, 'Component Masterlist v2'!A:A, 'Component Masterlist v2'!E:E, "Not found")</f>
        <v>Satish Sallakonda</v>
      </c>
    </row>
    <row r="728" spans="1:4">
      <c r="A728" s="226" t="s">
        <v>2820</v>
      </c>
      <c r="B728" s="227" t="s">
        <v>63</v>
      </c>
      <c r="C728" s="233" t="str">
        <f>_xlfn.XLOOKUP(B728, 'Component Masterlist v2'!A:A, 'Component Masterlist v2'!G:G, "Not found")</f>
        <v>Satish Sallakonda</v>
      </c>
      <c r="D728" s="233" t="str">
        <f>_xlfn.XLOOKUP(B728, 'Component Masterlist v2'!A:A, 'Component Masterlist v2'!E:E, "Not found")</f>
        <v>Satish Sallakonda</v>
      </c>
    </row>
    <row r="729" spans="1:4">
      <c r="A729" s="226" t="s">
        <v>2821</v>
      </c>
      <c r="B729" s="227" t="s">
        <v>63</v>
      </c>
      <c r="C729" s="233" t="str">
        <f>_xlfn.XLOOKUP(B729, 'Component Masterlist v2'!A:A, 'Component Masterlist v2'!G:G, "Not found")</f>
        <v>Satish Sallakonda</v>
      </c>
      <c r="D729" s="233" t="str">
        <f>_xlfn.XLOOKUP(B729, 'Component Masterlist v2'!A:A, 'Component Masterlist v2'!E:E, "Not found")</f>
        <v>Satish Sallakonda</v>
      </c>
    </row>
    <row r="730" spans="1:4">
      <c r="A730" s="226" t="s">
        <v>2822</v>
      </c>
      <c r="B730" s="227" t="s">
        <v>63</v>
      </c>
      <c r="C730" s="233" t="str">
        <f>_xlfn.XLOOKUP(B730, 'Component Masterlist v2'!A:A, 'Component Masterlist v2'!G:G, "Not found")</f>
        <v>Satish Sallakonda</v>
      </c>
      <c r="D730" s="233" t="str">
        <f>_xlfn.XLOOKUP(B730, 'Component Masterlist v2'!A:A, 'Component Masterlist v2'!E:E, "Not found")</f>
        <v>Satish Sallakonda</v>
      </c>
    </row>
    <row r="731" spans="1:4">
      <c r="A731" s="226" t="s">
        <v>2823</v>
      </c>
      <c r="B731" s="227" t="s">
        <v>57</v>
      </c>
      <c r="C731" s="233" t="str">
        <f>_xlfn.XLOOKUP(B731, 'Component Masterlist v2'!A:A, 'Component Masterlist v2'!G:G, "Not found")</f>
        <v>Satish Sallakonda</v>
      </c>
      <c r="D731" s="233" t="str">
        <f>_xlfn.XLOOKUP(B731, 'Component Masterlist v2'!A:A, 'Component Masterlist v2'!E:E, "Not found")</f>
        <v>Anvesh Aileni</v>
      </c>
    </row>
    <row r="732" spans="1:4">
      <c r="A732" s="226" t="s">
        <v>2824</v>
      </c>
      <c r="B732" s="227" t="s">
        <v>68</v>
      </c>
      <c r="C732" s="233" t="str">
        <f>_xlfn.XLOOKUP(B732, 'Component Masterlist v2'!A:A, 'Component Masterlist v2'!G:G, "Not found")</f>
        <v>Satish Sallakonda</v>
      </c>
      <c r="D732" s="233" t="str">
        <f>_xlfn.XLOOKUP(B732, 'Component Masterlist v2'!A:A, 'Component Masterlist v2'!E:E, "Not found")</f>
        <v>Satyajeet Singh</v>
      </c>
    </row>
    <row r="733" spans="1:4">
      <c r="A733" s="226" t="s">
        <v>2825</v>
      </c>
      <c r="B733" s="227" t="s">
        <v>68</v>
      </c>
      <c r="C733" s="233" t="str">
        <f>_xlfn.XLOOKUP(B733, 'Component Masterlist v2'!A:A, 'Component Masterlist v2'!G:G, "Not found")</f>
        <v>Satish Sallakonda</v>
      </c>
      <c r="D733" s="233" t="str">
        <f>_xlfn.XLOOKUP(B733, 'Component Masterlist v2'!A:A, 'Component Masterlist v2'!E:E, "Not found")</f>
        <v>Satyajeet Singh</v>
      </c>
    </row>
    <row r="734" spans="1:4">
      <c r="A734" s="226" t="s">
        <v>2826</v>
      </c>
      <c r="B734" s="227" t="s">
        <v>65</v>
      </c>
      <c r="C734" s="233" t="str">
        <f>_xlfn.XLOOKUP(B734, 'Component Masterlist v2'!A:A, 'Component Masterlist v2'!G:G, "Not found")</f>
        <v>Satish Sallakonda</v>
      </c>
      <c r="D734" s="233" t="str">
        <f>_xlfn.XLOOKUP(B734, 'Component Masterlist v2'!A:A, 'Component Masterlist v2'!E:E, "Not found")</f>
        <v>Ajay Rao</v>
      </c>
    </row>
    <row r="735" spans="1:4">
      <c r="A735" s="226" t="s">
        <v>2827</v>
      </c>
      <c r="B735" s="227" t="s">
        <v>68</v>
      </c>
      <c r="C735" s="233" t="str">
        <f>_xlfn.XLOOKUP(B735, 'Component Masterlist v2'!A:A, 'Component Masterlist v2'!G:G, "Not found")</f>
        <v>Satish Sallakonda</v>
      </c>
      <c r="D735" s="233" t="str">
        <f>_xlfn.XLOOKUP(B735, 'Component Masterlist v2'!A:A, 'Component Masterlist v2'!E:E, "Not found")</f>
        <v>Satyajeet Singh</v>
      </c>
    </row>
    <row r="736" spans="1:4">
      <c r="A736" s="226" t="s">
        <v>2828</v>
      </c>
      <c r="B736" s="227" t="s">
        <v>68</v>
      </c>
      <c r="C736" s="233" t="str">
        <f>_xlfn.XLOOKUP(B736, 'Component Masterlist v2'!A:A, 'Component Masterlist v2'!G:G, "Not found")</f>
        <v>Satish Sallakonda</v>
      </c>
      <c r="D736" s="233" t="str">
        <f>_xlfn.XLOOKUP(B736, 'Component Masterlist v2'!A:A, 'Component Masterlist v2'!E:E, "Not found")</f>
        <v>Satyajeet Singh</v>
      </c>
    </row>
    <row r="737" spans="1:4">
      <c r="A737" s="226" t="s">
        <v>2829</v>
      </c>
      <c r="B737" s="227" t="s">
        <v>11</v>
      </c>
      <c r="C737" s="233" t="str">
        <f>_xlfn.XLOOKUP(B737, 'Component Masterlist v2'!A:A, 'Component Masterlist v2'!G:G, "Not found")</f>
        <v>Keith Wiseman</v>
      </c>
      <c r="D737" s="233" t="str">
        <f>_xlfn.XLOOKUP(B737, 'Component Masterlist v2'!A:A, 'Component Masterlist v2'!E:E, "Not found")</f>
        <v>Vaibhav Saini</v>
      </c>
    </row>
    <row r="738" spans="1:4">
      <c r="A738" s="226" t="s">
        <v>2830</v>
      </c>
      <c r="B738" s="227" t="s">
        <v>57</v>
      </c>
      <c r="C738" s="233" t="str">
        <f>_xlfn.XLOOKUP(B738, 'Component Masterlist v2'!A:A, 'Component Masterlist v2'!G:G, "Not found")</f>
        <v>Satish Sallakonda</v>
      </c>
      <c r="D738" s="233" t="str">
        <f>_xlfn.XLOOKUP(B738, 'Component Masterlist v2'!A:A, 'Component Masterlist v2'!E:E, "Not found")</f>
        <v>Anvesh Aileni</v>
      </c>
    </row>
    <row r="739" spans="1:4">
      <c r="A739" s="226" t="s">
        <v>2831</v>
      </c>
      <c r="B739" s="227" t="s">
        <v>67</v>
      </c>
      <c r="C739" s="233" t="str">
        <f>_xlfn.XLOOKUP(B739, 'Component Masterlist v2'!A:A, 'Component Masterlist v2'!G:G, "Not found")</f>
        <v>Satish Sallakonda</v>
      </c>
      <c r="D739" s="233" t="str">
        <f>_xlfn.XLOOKUP(B739, 'Component Masterlist v2'!A:A, 'Component Masterlist v2'!E:E, "Not found")</f>
        <v>Satyajeet Singh</v>
      </c>
    </row>
    <row r="740" spans="1:4">
      <c r="A740" s="226" t="s">
        <v>2832</v>
      </c>
      <c r="B740" s="227" t="s">
        <v>65</v>
      </c>
      <c r="C740" s="233" t="str">
        <f>_xlfn.XLOOKUP(B740, 'Component Masterlist v2'!A:A, 'Component Masterlist v2'!G:G, "Not found")</f>
        <v>Satish Sallakonda</v>
      </c>
      <c r="D740" s="233" t="str">
        <f>_xlfn.XLOOKUP(B740, 'Component Masterlist v2'!A:A, 'Component Masterlist v2'!E:E, "Not found")</f>
        <v>Ajay Rao</v>
      </c>
    </row>
    <row r="741" spans="1:4">
      <c r="A741" s="226" t="s">
        <v>2833</v>
      </c>
      <c r="B741" s="227" t="s">
        <v>65</v>
      </c>
      <c r="C741" s="233" t="str">
        <f>_xlfn.XLOOKUP(B741, 'Component Masterlist v2'!A:A, 'Component Masterlist v2'!G:G, "Not found")</f>
        <v>Satish Sallakonda</v>
      </c>
      <c r="D741" s="233" t="str">
        <f>_xlfn.XLOOKUP(B741, 'Component Masterlist v2'!A:A, 'Component Masterlist v2'!E:E, "Not found")</f>
        <v>Ajay Rao</v>
      </c>
    </row>
    <row r="742" spans="1:4">
      <c r="A742" s="226" t="s">
        <v>2834</v>
      </c>
      <c r="B742" s="227" t="s">
        <v>57</v>
      </c>
      <c r="C742" s="233" t="str">
        <f>_xlfn.XLOOKUP(B742, 'Component Masterlist v2'!A:A, 'Component Masterlist v2'!G:G, "Not found")</f>
        <v>Satish Sallakonda</v>
      </c>
      <c r="D742" s="233" t="str">
        <f>_xlfn.XLOOKUP(B742, 'Component Masterlist v2'!A:A, 'Component Masterlist v2'!E:E, "Not found")</f>
        <v>Anvesh Aileni</v>
      </c>
    </row>
    <row r="743" spans="1:4">
      <c r="A743" s="226" t="s">
        <v>2835</v>
      </c>
      <c r="B743" s="227" t="s">
        <v>65</v>
      </c>
      <c r="C743" s="233" t="str">
        <f>_xlfn.XLOOKUP(B743, 'Component Masterlist v2'!A:A, 'Component Masterlist v2'!G:G, "Not found")</f>
        <v>Satish Sallakonda</v>
      </c>
      <c r="D743" s="233" t="str">
        <f>_xlfn.XLOOKUP(B743, 'Component Masterlist v2'!A:A, 'Component Masterlist v2'!E:E, "Not found")</f>
        <v>Ajay Rao</v>
      </c>
    </row>
    <row r="744" spans="1:4">
      <c r="A744" s="226" t="s">
        <v>2836</v>
      </c>
      <c r="B744" s="227" t="s">
        <v>68</v>
      </c>
      <c r="C744" s="233" t="str">
        <f>_xlfn.XLOOKUP(B744, 'Component Masterlist v2'!A:A, 'Component Masterlist v2'!G:G, "Not found")</f>
        <v>Satish Sallakonda</v>
      </c>
      <c r="D744" s="233" t="str">
        <f>_xlfn.XLOOKUP(B744, 'Component Masterlist v2'!A:A, 'Component Masterlist v2'!E:E, "Not found")</f>
        <v>Satyajeet Singh</v>
      </c>
    </row>
    <row r="745" spans="1:4">
      <c r="A745" s="226" t="s">
        <v>2837</v>
      </c>
      <c r="B745" s="227" t="s">
        <v>67</v>
      </c>
      <c r="C745" s="233" t="str">
        <f>_xlfn.XLOOKUP(B745, 'Component Masterlist v2'!A:A, 'Component Masterlist v2'!G:G, "Not found")</f>
        <v>Satish Sallakonda</v>
      </c>
      <c r="D745" s="233" t="str">
        <f>_xlfn.XLOOKUP(B745, 'Component Masterlist v2'!A:A, 'Component Masterlist v2'!E:E, "Not found")</f>
        <v>Satyajeet Singh</v>
      </c>
    </row>
    <row r="746" spans="1:4">
      <c r="A746" s="226" t="s">
        <v>2838</v>
      </c>
      <c r="B746" s="227" t="s">
        <v>63</v>
      </c>
      <c r="C746" s="233" t="str">
        <f>_xlfn.XLOOKUP(B746, 'Component Masterlist v2'!A:A, 'Component Masterlist v2'!G:G, "Not found")</f>
        <v>Satish Sallakonda</v>
      </c>
      <c r="D746" s="233" t="str">
        <f>_xlfn.XLOOKUP(B746, 'Component Masterlist v2'!A:A, 'Component Masterlist v2'!E:E, "Not found")</f>
        <v>Satish Sallakonda</v>
      </c>
    </row>
    <row r="747" spans="1:4">
      <c r="A747" s="226" t="s">
        <v>2839</v>
      </c>
      <c r="B747" s="227" t="s">
        <v>63</v>
      </c>
      <c r="C747" s="233" t="str">
        <f>_xlfn.XLOOKUP(B747, 'Component Masterlist v2'!A:A, 'Component Masterlist v2'!G:G, "Not found")</f>
        <v>Satish Sallakonda</v>
      </c>
      <c r="D747" s="233" t="str">
        <f>_xlfn.XLOOKUP(B747, 'Component Masterlist v2'!A:A, 'Component Masterlist v2'!E:E, "Not found")</f>
        <v>Satish Sallakonda</v>
      </c>
    </row>
    <row r="748" spans="1:4">
      <c r="A748" s="226" t="s">
        <v>2840</v>
      </c>
      <c r="B748" s="227" t="s">
        <v>63</v>
      </c>
      <c r="C748" s="233" t="str">
        <f>_xlfn.XLOOKUP(B748, 'Component Masterlist v2'!A:A, 'Component Masterlist v2'!G:G, "Not found")</f>
        <v>Satish Sallakonda</v>
      </c>
      <c r="D748" s="233" t="str">
        <f>_xlfn.XLOOKUP(B748, 'Component Masterlist v2'!A:A, 'Component Masterlist v2'!E:E, "Not found")</f>
        <v>Satish Sallakonda</v>
      </c>
    </row>
    <row r="749" spans="1:4">
      <c r="A749" s="226" t="s">
        <v>2841</v>
      </c>
      <c r="B749" s="227" t="s">
        <v>63</v>
      </c>
      <c r="C749" s="233" t="str">
        <f>_xlfn.XLOOKUP(B749, 'Component Masterlist v2'!A:A, 'Component Masterlist v2'!G:G, "Not found")</f>
        <v>Satish Sallakonda</v>
      </c>
      <c r="D749" s="233" t="str">
        <f>_xlfn.XLOOKUP(B749, 'Component Masterlist v2'!A:A, 'Component Masterlist v2'!E:E, "Not found")</f>
        <v>Satish Sallakonda</v>
      </c>
    </row>
    <row r="750" spans="1:4">
      <c r="A750" s="226" t="s">
        <v>2842</v>
      </c>
      <c r="B750" s="227" t="s">
        <v>57</v>
      </c>
      <c r="C750" s="233" t="str">
        <f>_xlfn.XLOOKUP(B750, 'Component Masterlist v2'!A:A, 'Component Masterlist v2'!G:G, "Not found")</f>
        <v>Satish Sallakonda</v>
      </c>
      <c r="D750" s="233" t="str">
        <f>_xlfn.XLOOKUP(B750, 'Component Masterlist v2'!A:A, 'Component Masterlist v2'!E:E, "Not found")</f>
        <v>Anvesh Aileni</v>
      </c>
    </row>
    <row r="751" spans="1:4">
      <c r="A751" s="226" t="s">
        <v>2843</v>
      </c>
      <c r="B751" s="227" t="s">
        <v>63</v>
      </c>
      <c r="C751" s="233" t="str">
        <f>_xlfn.XLOOKUP(B751, 'Component Masterlist v2'!A:A, 'Component Masterlist v2'!G:G, "Not found")</f>
        <v>Satish Sallakonda</v>
      </c>
      <c r="D751" s="233" t="str">
        <f>_xlfn.XLOOKUP(B751, 'Component Masterlist v2'!A:A, 'Component Masterlist v2'!E:E, "Not found")</f>
        <v>Satish Sallakonda</v>
      </c>
    </row>
    <row r="752" spans="1:4">
      <c r="A752" s="226" t="s">
        <v>2844</v>
      </c>
      <c r="B752" s="227" t="s">
        <v>63</v>
      </c>
      <c r="C752" s="233" t="str">
        <f>_xlfn.XLOOKUP(B752, 'Component Masterlist v2'!A:A, 'Component Masterlist v2'!G:G, "Not found")</f>
        <v>Satish Sallakonda</v>
      </c>
      <c r="D752" s="233" t="str">
        <f>_xlfn.XLOOKUP(B752, 'Component Masterlist v2'!A:A, 'Component Masterlist v2'!E:E, "Not found")</f>
        <v>Satish Sallakonda</v>
      </c>
    </row>
    <row r="753" spans="1:4">
      <c r="A753" s="226" t="s">
        <v>2845</v>
      </c>
      <c r="B753" s="227" t="s">
        <v>63</v>
      </c>
      <c r="C753" s="233" t="str">
        <f>_xlfn.XLOOKUP(B753, 'Component Masterlist v2'!A:A, 'Component Masterlist v2'!G:G, "Not found")</f>
        <v>Satish Sallakonda</v>
      </c>
      <c r="D753" s="233" t="str">
        <f>_xlfn.XLOOKUP(B753, 'Component Masterlist v2'!A:A, 'Component Masterlist v2'!E:E, "Not found")</f>
        <v>Satish Sallakonda</v>
      </c>
    </row>
    <row r="754" spans="1:4">
      <c r="A754" s="226" t="s">
        <v>2846</v>
      </c>
      <c r="B754" s="227" t="s">
        <v>63</v>
      </c>
      <c r="C754" s="233" t="str">
        <f>_xlfn.XLOOKUP(B754, 'Component Masterlist v2'!A:A, 'Component Masterlist v2'!G:G, "Not found")</f>
        <v>Satish Sallakonda</v>
      </c>
      <c r="D754" s="233" t="str">
        <f>_xlfn.XLOOKUP(B754, 'Component Masterlist v2'!A:A, 'Component Masterlist v2'!E:E, "Not found")</f>
        <v>Satish Sallakonda</v>
      </c>
    </row>
    <row r="755" spans="1:4">
      <c r="A755" s="226" t="s">
        <v>2847</v>
      </c>
      <c r="B755" s="227" t="s">
        <v>67</v>
      </c>
      <c r="C755" s="233" t="str">
        <f>_xlfn.XLOOKUP(B755, 'Component Masterlist v2'!A:A, 'Component Masterlist v2'!G:G, "Not found")</f>
        <v>Satish Sallakonda</v>
      </c>
      <c r="D755" s="233" t="str">
        <f>_xlfn.XLOOKUP(B755, 'Component Masterlist v2'!A:A, 'Component Masterlist v2'!E:E, "Not found")</f>
        <v>Satyajeet Singh</v>
      </c>
    </row>
    <row r="756" spans="1:4">
      <c r="A756" s="226" t="s">
        <v>2848</v>
      </c>
      <c r="B756" s="227" t="s">
        <v>67</v>
      </c>
      <c r="C756" s="233" t="str">
        <f>_xlfn.XLOOKUP(B756, 'Component Masterlist v2'!A:A, 'Component Masterlist v2'!G:G, "Not found")</f>
        <v>Satish Sallakonda</v>
      </c>
      <c r="D756" s="233" t="str">
        <f>_xlfn.XLOOKUP(B756, 'Component Masterlist v2'!A:A, 'Component Masterlist v2'!E:E, "Not found")</f>
        <v>Satyajeet Singh</v>
      </c>
    </row>
    <row r="757" spans="1:4">
      <c r="A757" s="226" t="s">
        <v>2849</v>
      </c>
      <c r="B757" s="227" t="s">
        <v>67</v>
      </c>
      <c r="C757" s="233" t="str">
        <f>_xlfn.XLOOKUP(B757, 'Component Masterlist v2'!A:A, 'Component Masterlist v2'!G:G, "Not found")</f>
        <v>Satish Sallakonda</v>
      </c>
      <c r="D757" s="233" t="str">
        <f>_xlfn.XLOOKUP(B757, 'Component Masterlist v2'!A:A, 'Component Masterlist v2'!E:E, "Not found")</f>
        <v>Satyajeet Singh</v>
      </c>
    </row>
    <row r="758" spans="1:4">
      <c r="A758" s="226" t="s">
        <v>2850</v>
      </c>
      <c r="B758" s="227" t="s">
        <v>65</v>
      </c>
      <c r="C758" s="233" t="str">
        <f>_xlfn.XLOOKUP(B758, 'Component Masterlist v2'!A:A, 'Component Masterlist v2'!G:G, "Not found")</f>
        <v>Satish Sallakonda</v>
      </c>
      <c r="D758" s="233" t="str">
        <f>_xlfn.XLOOKUP(B758, 'Component Masterlist v2'!A:A, 'Component Masterlist v2'!E:E, "Not found")</f>
        <v>Ajay Rao</v>
      </c>
    </row>
    <row r="759" spans="1:4">
      <c r="A759" s="226" t="s">
        <v>2851</v>
      </c>
      <c r="B759" s="227" t="s">
        <v>67</v>
      </c>
      <c r="C759" s="233" t="str">
        <f>_xlfn.XLOOKUP(B759, 'Component Masterlist v2'!A:A, 'Component Masterlist v2'!G:G, "Not found")</f>
        <v>Satish Sallakonda</v>
      </c>
      <c r="D759" s="233" t="str">
        <f>_xlfn.XLOOKUP(B759, 'Component Masterlist v2'!A:A, 'Component Masterlist v2'!E:E, "Not found")</f>
        <v>Satyajeet Singh</v>
      </c>
    </row>
    <row r="760" spans="1:4">
      <c r="A760" s="226" t="s">
        <v>2852</v>
      </c>
      <c r="B760" s="227" t="s">
        <v>63</v>
      </c>
      <c r="C760" s="233" t="str">
        <f>_xlfn.XLOOKUP(B760, 'Component Masterlist v2'!A:A, 'Component Masterlist v2'!G:G, "Not found")</f>
        <v>Satish Sallakonda</v>
      </c>
      <c r="D760" s="233" t="str">
        <f>_xlfn.XLOOKUP(B760, 'Component Masterlist v2'!A:A, 'Component Masterlist v2'!E:E, "Not found")</f>
        <v>Satish Sallakonda</v>
      </c>
    </row>
    <row r="761" spans="1:4">
      <c r="A761" s="226" t="s">
        <v>2853</v>
      </c>
      <c r="B761" s="227" t="s">
        <v>67</v>
      </c>
      <c r="C761" s="233" t="str">
        <f>_xlfn.XLOOKUP(B761, 'Component Masterlist v2'!A:A, 'Component Masterlist v2'!G:G, "Not found")</f>
        <v>Satish Sallakonda</v>
      </c>
      <c r="D761" s="233" t="str">
        <f>_xlfn.XLOOKUP(B761, 'Component Masterlist v2'!A:A, 'Component Masterlist v2'!E:E, "Not found")</f>
        <v>Satyajeet Singh</v>
      </c>
    </row>
    <row r="762" spans="1:4">
      <c r="A762" s="226" t="s">
        <v>2854</v>
      </c>
      <c r="B762" s="227" t="s">
        <v>67</v>
      </c>
      <c r="C762" s="233" t="str">
        <f>_xlfn.XLOOKUP(B762, 'Component Masterlist v2'!A:A, 'Component Masterlist v2'!G:G, "Not found")</f>
        <v>Satish Sallakonda</v>
      </c>
      <c r="D762" s="233" t="str">
        <f>_xlfn.XLOOKUP(B762, 'Component Masterlist v2'!A:A, 'Component Masterlist v2'!E:E, "Not found")</f>
        <v>Satyajeet Singh</v>
      </c>
    </row>
    <row r="763" spans="1:4">
      <c r="A763" s="226" t="s">
        <v>2855</v>
      </c>
      <c r="B763" s="227" t="s">
        <v>67</v>
      </c>
      <c r="C763" s="233" t="str">
        <f>_xlfn.XLOOKUP(B763, 'Component Masterlist v2'!A:A, 'Component Masterlist v2'!G:G, "Not found")</f>
        <v>Satish Sallakonda</v>
      </c>
      <c r="D763" s="233" t="str">
        <f>_xlfn.XLOOKUP(B763, 'Component Masterlist v2'!A:A, 'Component Masterlist v2'!E:E, "Not found")</f>
        <v>Satyajeet Singh</v>
      </c>
    </row>
    <row r="764" spans="1:4">
      <c r="A764" s="226" t="s">
        <v>2856</v>
      </c>
      <c r="B764" s="227" t="s">
        <v>67</v>
      </c>
      <c r="C764" s="233" t="str">
        <f>_xlfn.XLOOKUP(B764, 'Component Masterlist v2'!A:A, 'Component Masterlist v2'!G:G, "Not found")</f>
        <v>Satish Sallakonda</v>
      </c>
      <c r="D764" s="233" t="str">
        <f>_xlfn.XLOOKUP(B764, 'Component Masterlist v2'!A:A, 'Component Masterlist v2'!E:E, "Not found")</f>
        <v>Satyajeet Singh</v>
      </c>
    </row>
    <row r="765" spans="1:4">
      <c r="A765" s="226" t="s">
        <v>2857</v>
      </c>
      <c r="B765" s="227" t="s">
        <v>63</v>
      </c>
      <c r="C765" s="233" t="str">
        <f>_xlfn.XLOOKUP(B765, 'Component Masterlist v2'!A:A, 'Component Masterlist v2'!G:G, "Not found")</f>
        <v>Satish Sallakonda</v>
      </c>
      <c r="D765" s="233" t="str">
        <f>_xlfn.XLOOKUP(B765, 'Component Masterlist v2'!A:A, 'Component Masterlist v2'!E:E, "Not found")</f>
        <v>Satish Sallakonda</v>
      </c>
    </row>
    <row r="766" spans="1:4">
      <c r="A766" s="226" t="s">
        <v>2858</v>
      </c>
      <c r="B766" s="227" t="s">
        <v>65</v>
      </c>
      <c r="C766" s="233" t="str">
        <f>_xlfn.XLOOKUP(B766, 'Component Masterlist v2'!A:A, 'Component Masterlist v2'!G:G, "Not found")</f>
        <v>Satish Sallakonda</v>
      </c>
      <c r="D766" s="233" t="str">
        <f>_xlfn.XLOOKUP(B766, 'Component Masterlist v2'!A:A, 'Component Masterlist v2'!E:E, "Not found")</f>
        <v>Ajay Rao</v>
      </c>
    </row>
    <row r="767" spans="1:4">
      <c r="A767" s="226" t="s">
        <v>2859</v>
      </c>
      <c r="B767" s="227" t="s">
        <v>65</v>
      </c>
      <c r="C767" s="233" t="str">
        <f>_xlfn.XLOOKUP(B767, 'Component Masterlist v2'!A:A, 'Component Masterlist v2'!G:G, "Not found")</f>
        <v>Satish Sallakonda</v>
      </c>
      <c r="D767" s="233" t="str">
        <f>_xlfn.XLOOKUP(B767, 'Component Masterlist v2'!A:A, 'Component Masterlist v2'!E:E, "Not found")</f>
        <v>Ajay Rao</v>
      </c>
    </row>
    <row r="768" spans="1:4">
      <c r="A768" s="226" t="s">
        <v>2860</v>
      </c>
      <c r="B768" s="227" t="s">
        <v>11</v>
      </c>
      <c r="C768" s="233" t="str">
        <f>_xlfn.XLOOKUP(B768, 'Component Masterlist v2'!A:A, 'Component Masterlist v2'!G:G, "Not found")</f>
        <v>Keith Wiseman</v>
      </c>
      <c r="D768" s="233" t="str">
        <f>_xlfn.XLOOKUP(B768, 'Component Masterlist v2'!A:A, 'Component Masterlist v2'!E:E, "Not found")</f>
        <v>Vaibhav Saini</v>
      </c>
    </row>
    <row r="769" spans="1:4">
      <c r="A769" s="226" t="s">
        <v>2861</v>
      </c>
      <c r="B769" s="227" t="s">
        <v>63</v>
      </c>
      <c r="C769" s="233" t="str">
        <f>_xlfn.XLOOKUP(B769, 'Component Masterlist v2'!A:A, 'Component Masterlist v2'!G:G, "Not found")</f>
        <v>Satish Sallakonda</v>
      </c>
      <c r="D769" s="233" t="str">
        <f>_xlfn.XLOOKUP(B769, 'Component Masterlist v2'!A:A, 'Component Masterlist v2'!E:E, "Not found")</f>
        <v>Satish Sallakonda</v>
      </c>
    </row>
    <row r="770" spans="1:4">
      <c r="A770" s="226" t="s">
        <v>2862</v>
      </c>
      <c r="B770" s="227" t="s">
        <v>57</v>
      </c>
      <c r="C770" s="233" t="str">
        <f>_xlfn.XLOOKUP(B770, 'Component Masterlist v2'!A:A, 'Component Masterlist v2'!G:G, "Not found")</f>
        <v>Satish Sallakonda</v>
      </c>
      <c r="D770" s="233" t="str">
        <f>_xlfn.XLOOKUP(B770, 'Component Masterlist v2'!A:A, 'Component Masterlist v2'!E:E, "Not found")</f>
        <v>Anvesh Aileni</v>
      </c>
    </row>
    <row r="771" spans="1:4">
      <c r="A771" s="226" t="s">
        <v>2863</v>
      </c>
      <c r="B771" s="227" t="s">
        <v>63</v>
      </c>
      <c r="C771" s="233" t="str">
        <f>_xlfn.XLOOKUP(B771, 'Component Masterlist v2'!A:A, 'Component Masterlist v2'!G:G, "Not found")</f>
        <v>Satish Sallakonda</v>
      </c>
      <c r="D771" s="233" t="str">
        <f>_xlfn.XLOOKUP(B771, 'Component Masterlist v2'!A:A, 'Component Masterlist v2'!E:E, "Not found")</f>
        <v>Satish Sallakonda</v>
      </c>
    </row>
    <row r="772" spans="1:4">
      <c r="A772" s="226" t="s">
        <v>2864</v>
      </c>
      <c r="B772" s="227" t="s">
        <v>65</v>
      </c>
      <c r="C772" s="233" t="str">
        <f>_xlfn.XLOOKUP(B772, 'Component Masterlist v2'!A:A, 'Component Masterlist v2'!G:G, "Not found")</f>
        <v>Satish Sallakonda</v>
      </c>
      <c r="D772" s="233" t="str">
        <f>_xlfn.XLOOKUP(B772, 'Component Masterlist v2'!A:A, 'Component Masterlist v2'!E:E, "Not found")</f>
        <v>Ajay Rao</v>
      </c>
    </row>
    <row r="773" spans="1:4">
      <c r="A773" s="226" t="s">
        <v>2865</v>
      </c>
      <c r="B773" s="227" t="s">
        <v>67</v>
      </c>
      <c r="C773" s="233" t="str">
        <f>_xlfn.XLOOKUP(B773, 'Component Masterlist v2'!A:A, 'Component Masterlist v2'!G:G, "Not found")</f>
        <v>Satish Sallakonda</v>
      </c>
      <c r="D773" s="233" t="str">
        <f>_xlfn.XLOOKUP(B773, 'Component Masterlist v2'!A:A, 'Component Masterlist v2'!E:E, "Not found")</f>
        <v>Satyajeet Singh</v>
      </c>
    </row>
    <row r="774" spans="1:4">
      <c r="A774" s="226" t="s">
        <v>2866</v>
      </c>
      <c r="B774" s="227" t="s">
        <v>65</v>
      </c>
      <c r="C774" s="233" t="str">
        <f>_xlfn.XLOOKUP(B774, 'Component Masterlist v2'!A:A, 'Component Masterlist v2'!G:G, "Not found")</f>
        <v>Satish Sallakonda</v>
      </c>
      <c r="D774" s="233" t="str">
        <f>_xlfn.XLOOKUP(B774, 'Component Masterlist v2'!A:A, 'Component Masterlist v2'!E:E, "Not found")</f>
        <v>Ajay Rao</v>
      </c>
    </row>
    <row r="775" spans="1:4">
      <c r="A775" s="226" t="s">
        <v>2867</v>
      </c>
      <c r="B775" s="227" t="s">
        <v>68</v>
      </c>
      <c r="C775" s="233" t="str">
        <f>_xlfn.XLOOKUP(B775, 'Component Masterlist v2'!A:A, 'Component Masterlist v2'!G:G, "Not found")</f>
        <v>Satish Sallakonda</v>
      </c>
      <c r="D775" s="233" t="str">
        <f>_xlfn.XLOOKUP(B775, 'Component Masterlist v2'!A:A, 'Component Masterlist v2'!E:E, "Not found")</f>
        <v>Satyajeet Singh</v>
      </c>
    </row>
    <row r="776" spans="1:4">
      <c r="A776" s="226" t="s">
        <v>2868</v>
      </c>
      <c r="B776" s="227" t="s">
        <v>68</v>
      </c>
      <c r="C776" s="233" t="str">
        <f>_xlfn.XLOOKUP(B776, 'Component Masterlist v2'!A:A, 'Component Masterlist v2'!G:G, "Not found")</f>
        <v>Satish Sallakonda</v>
      </c>
      <c r="D776" s="233" t="str">
        <f>_xlfn.XLOOKUP(B776, 'Component Masterlist v2'!A:A, 'Component Masterlist v2'!E:E, "Not found")</f>
        <v>Satyajeet Singh</v>
      </c>
    </row>
    <row r="777" spans="1:4">
      <c r="A777" s="226" t="s">
        <v>2869</v>
      </c>
      <c r="B777" s="227" t="s">
        <v>68</v>
      </c>
      <c r="C777" s="233" t="str">
        <f>_xlfn.XLOOKUP(B777, 'Component Masterlist v2'!A:A, 'Component Masterlist v2'!G:G, "Not found")</f>
        <v>Satish Sallakonda</v>
      </c>
      <c r="D777" s="233" t="str">
        <f>_xlfn.XLOOKUP(B777, 'Component Masterlist v2'!A:A, 'Component Masterlist v2'!E:E, "Not found")</f>
        <v>Satyajeet Singh</v>
      </c>
    </row>
    <row r="778" spans="1:4">
      <c r="A778" s="226" t="s">
        <v>2870</v>
      </c>
      <c r="B778" s="227" t="s">
        <v>68</v>
      </c>
      <c r="C778" s="233" t="str">
        <f>_xlfn.XLOOKUP(B778, 'Component Masterlist v2'!A:A, 'Component Masterlist v2'!G:G, "Not found")</f>
        <v>Satish Sallakonda</v>
      </c>
      <c r="D778" s="233" t="str">
        <f>_xlfn.XLOOKUP(B778, 'Component Masterlist v2'!A:A, 'Component Masterlist v2'!E:E, "Not found")</f>
        <v>Satyajeet Singh</v>
      </c>
    </row>
    <row r="779" spans="1:4">
      <c r="A779" s="226" t="s">
        <v>2871</v>
      </c>
      <c r="B779" s="227" t="s">
        <v>68</v>
      </c>
      <c r="C779" s="233" t="str">
        <f>_xlfn.XLOOKUP(B779, 'Component Masterlist v2'!A:A, 'Component Masterlist v2'!G:G, "Not found")</f>
        <v>Satish Sallakonda</v>
      </c>
      <c r="D779" s="233" t="str">
        <f>_xlfn.XLOOKUP(B779, 'Component Masterlist v2'!A:A, 'Component Masterlist v2'!E:E, "Not found")</f>
        <v>Satyajeet Singh</v>
      </c>
    </row>
    <row r="780" spans="1:4">
      <c r="A780" s="226" t="s">
        <v>2872</v>
      </c>
      <c r="B780" s="227" t="s">
        <v>68</v>
      </c>
      <c r="C780" s="233" t="str">
        <f>_xlfn.XLOOKUP(B780, 'Component Masterlist v2'!A:A, 'Component Masterlist v2'!G:G, "Not found")</f>
        <v>Satish Sallakonda</v>
      </c>
      <c r="D780" s="233" t="str">
        <f>_xlfn.XLOOKUP(B780, 'Component Masterlist v2'!A:A, 'Component Masterlist v2'!E:E, "Not found")</f>
        <v>Satyajeet Singh</v>
      </c>
    </row>
    <row r="781" spans="1:4">
      <c r="A781" s="226" t="s">
        <v>2873</v>
      </c>
      <c r="B781" s="227" t="s">
        <v>57</v>
      </c>
      <c r="C781" s="233" t="str">
        <f>_xlfn.XLOOKUP(B781, 'Component Masterlist v2'!A:A, 'Component Masterlist v2'!G:G, "Not found")</f>
        <v>Satish Sallakonda</v>
      </c>
      <c r="D781" s="233" t="str">
        <f>_xlfn.XLOOKUP(B781, 'Component Masterlist v2'!A:A, 'Component Masterlist v2'!E:E, "Not found")</f>
        <v>Anvesh Aileni</v>
      </c>
    </row>
    <row r="782" spans="1:4">
      <c r="A782" s="226" t="s">
        <v>2874</v>
      </c>
      <c r="B782" s="227" t="s">
        <v>63</v>
      </c>
      <c r="C782" s="233" t="str">
        <f>_xlfn.XLOOKUP(B782, 'Component Masterlist v2'!A:A, 'Component Masterlist v2'!G:G, "Not found")</f>
        <v>Satish Sallakonda</v>
      </c>
      <c r="D782" s="233" t="str">
        <f>_xlfn.XLOOKUP(B782, 'Component Masterlist v2'!A:A, 'Component Masterlist v2'!E:E, "Not found")</f>
        <v>Satish Sallakonda</v>
      </c>
    </row>
    <row r="783" spans="1:4">
      <c r="A783" s="226" t="s">
        <v>2875</v>
      </c>
      <c r="B783" s="227" t="s">
        <v>63</v>
      </c>
      <c r="C783" s="233" t="str">
        <f>_xlfn.XLOOKUP(B783, 'Component Masterlist v2'!A:A, 'Component Masterlist v2'!G:G, "Not found")</f>
        <v>Satish Sallakonda</v>
      </c>
      <c r="D783" s="233" t="str">
        <f>_xlfn.XLOOKUP(B783, 'Component Masterlist v2'!A:A, 'Component Masterlist v2'!E:E, "Not found")</f>
        <v>Satish Sallakonda</v>
      </c>
    </row>
    <row r="784" spans="1:4">
      <c r="A784" s="226" t="s">
        <v>2876</v>
      </c>
      <c r="B784" s="227" t="s">
        <v>63</v>
      </c>
      <c r="C784" s="233" t="str">
        <f>_xlfn.XLOOKUP(B784, 'Component Masterlist v2'!A:A, 'Component Masterlist v2'!G:G, "Not found")</f>
        <v>Satish Sallakonda</v>
      </c>
      <c r="D784" s="233" t="str">
        <f>_xlfn.XLOOKUP(B784, 'Component Masterlist v2'!A:A, 'Component Masterlist v2'!E:E, "Not found")</f>
        <v>Satish Sallakonda</v>
      </c>
    </row>
    <row r="785" spans="1:4">
      <c r="A785" s="226" t="s">
        <v>2877</v>
      </c>
      <c r="B785" s="227" t="s">
        <v>72</v>
      </c>
      <c r="C785" s="233" t="str">
        <f>_xlfn.XLOOKUP(B785, 'Component Masterlist v2'!A:A, 'Component Masterlist v2'!G:G, "Not found")</f>
        <v>Srin Tangirala</v>
      </c>
      <c r="D785" s="233" t="str">
        <f>_xlfn.XLOOKUP(B785, 'Component Masterlist v2'!A:A, 'Component Masterlist v2'!E:E, "Not found")</f>
        <v>Srin Tangirala</v>
      </c>
    </row>
    <row r="786" spans="1:4">
      <c r="A786" s="226" t="s">
        <v>2878</v>
      </c>
      <c r="B786" s="227" t="s">
        <v>72</v>
      </c>
      <c r="C786" s="233" t="str">
        <f>_xlfn.XLOOKUP(B786, 'Component Masterlist v2'!A:A, 'Component Masterlist v2'!G:G, "Not found")</f>
        <v>Srin Tangirala</v>
      </c>
      <c r="D786" s="233" t="str">
        <f>_xlfn.XLOOKUP(B786, 'Component Masterlist v2'!A:A, 'Component Masterlist v2'!E:E, "Not found")</f>
        <v>Srin Tangirala</v>
      </c>
    </row>
    <row r="787" spans="1:4">
      <c r="A787" s="226" t="s">
        <v>2879</v>
      </c>
      <c r="B787" s="227" t="s">
        <v>63</v>
      </c>
      <c r="C787" s="233" t="str">
        <f>_xlfn.XLOOKUP(B787, 'Component Masterlist v2'!A:A, 'Component Masterlist v2'!G:G, "Not found")</f>
        <v>Satish Sallakonda</v>
      </c>
      <c r="D787" s="233" t="str">
        <f>_xlfn.XLOOKUP(B787, 'Component Masterlist v2'!A:A, 'Component Masterlist v2'!E:E, "Not found")</f>
        <v>Satish Sallakonda</v>
      </c>
    </row>
    <row r="788" spans="1:4">
      <c r="A788" s="226" t="s">
        <v>2880</v>
      </c>
      <c r="B788" s="227" t="s">
        <v>45</v>
      </c>
      <c r="C788" s="233" t="str">
        <f>_xlfn.XLOOKUP(B788, 'Component Masterlist v2'!A:A, 'Component Masterlist v2'!G:G, "Not found")</f>
        <v>Sanyam Agrawal</v>
      </c>
      <c r="D788" s="233" t="str">
        <f>_xlfn.XLOOKUP(B788, 'Component Masterlist v2'!A:A, 'Component Masterlist v2'!E:E, "Not found")</f>
        <v>Ambuj Mehra</v>
      </c>
    </row>
    <row r="789" spans="1:4">
      <c r="A789" s="226" t="s">
        <v>2881</v>
      </c>
      <c r="B789" s="227" t="s">
        <v>11</v>
      </c>
      <c r="C789" s="233" t="str">
        <f>_xlfn.XLOOKUP(B789, 'Component Masterlist v2'!A:A, 'Component Masterlist v2'!G:G, "Not found")</f>
        <v>Keith Wiseman</v>
      </c>
      <c r="D789" s="233" t="str">
        <f>_xlfn.XLOOKUP(B789, 'Component Masterlist v2'!A:A, 'Component Masterlist v2'!E:E, "Not found")</f>
        <v>Vaibhav Saini</v>
      </c>
    </row>
    <row r="790" spans="1:4">
      <c r="A790" s="226" t="s">
        <v>2882</v>
      </c>
      <c r="B790" s="227" t="s">
        <v>45</v>
      </c>
      <c r="C790" s="233" t="str">
        <f>_xlfn.XLOOKUP(B790, 'Component Masterlist v2'!A:A, 'Component Masterlist v2'!G:G, "Not found")</f>
        <v>Sanyam Agrawal</v>
      </c>
      <c r="D790" s="233" t="str">
        <f>_xlfn.XLOOKUP(B790, 'Component Masterlist v2'!A:A, 'Component Masterlist v2'!E:E, "Not found")</f>
        <v>Ambuj Mehra</v>
      </c>
    </row>
    <row r="791" spans="1:4">
      <c r="A791" s="226" t="s">
        <v>2883</v>
      </c>
      <c r="B791" s="227" t="s">
        <v>15</v>
      </c>
      <c r="C791" s="233" t="str">
        <f>_xlfn.XLOOKUP(B791, 'Component Masterlist v2'!A:A, 'Component Masterlist v2'!G:G, "Not found")</f>
        <v>Keith Wiseman</v>
      </c>
      <c r="D791" s="233" t="str">
        <f>_xlfn.XLOOKUP(B791, 'Component Masterlist v2'!A:A, 'Component Masterlist v2'!E:E, "Not found")</f>
        <v>Bobby Alexander</v>
      </c>
    </row>
    <row r="792" spans="1:4">
      <c r="A792" s="226" t="s">
        <v>2884</v>
      </c>
      <c r="B792" s="227" t="s">
        <v>13</v>
      </c>
      <c r="C792" s="233" t="str">
        <f>_xlfn.XLOOKUP(B792, 'Component Masterlist v2'!A:A, 'Component Masterlist v2'!G:G, "Not found")</f>
        <v>Keith Wiseman</v>
      </c>
      <c r="D792" s="233" t="str">
        <f>_xlfn.XLOOKUP(B792, 'Component Masterlist v2'!A:A, 'Component Masterlist v2'!E:E, "Not found")</f>
        <v>Vaibhav Saini</v>
      </c>
    </row>
    <row r="793" spans="1:4">
      <c r="A793" s="226" t="s">
        <v>2885</v>
      </c>
      <c r="B793" s="227" t="s">
        <v>28</v>
      </c>
      <c r="C793" s="233" t="str">
        <f>_xlfn.XLOOKUP(B793, 'Component Masterlist v2'!A:A, 'Component Masterlist v2'!G:G, "Not found")</f>
        <v>Raghu Edalur</v>
      </c>
      <c r="D793" s="233" t="str">
        <f>_xlfn.XLOOKUP(B793, 'Component Masterlist v2'!A:A, 'Component Masterlist v2'!E:E, "Not found")</f>
        <v>Parul Jain</v>
      </c>
    </row>
    <row r="794" spans="1:4">
      <c r="A794" s="226" t="s">
        <v>2886</v>
      </c>
      <c r="B794" s="227" t="s">
        <v>28</v>
      </c>
      <c r="C794" s="233" t="str">
        <f>_xlfn.XLOOKUP(B794, 'Component Masterlist v2'!A:A, 'Component Masterlist v2'!G:G, "Not found")</f>
        <v>Raghu Edalur</v>
      </c>
      <c r="D794" s="233" t="str">
        <f>_xlfn.XLOOKUP(B794, 'Component Masterlist v2'!A:A, 'Component Masterlist v2'!E:E, "Not found")</f>
        <v>Parul Jain</v>
      </c>
    </row>
    <row r="795" spans="1:4">
      <c r="A795" s="226" t="s">
        <v>2887</v>
      </c>
      <c r="B795" s="227" t="s">
        <v>13</v>
      </c>
      <c r="C795" s="233" t="str">
        <f>_xlfn.XLOOKUP(B795, 'Component Masterlist v2'!A:A, 'Component Masterlist v2'!G:G, "Not found")</f>
        <v>Keith Wiseman</v>
      </c>
      <c r="D795" s="233" t="str">
        <f>_xlfn.XLOOKUP(B795, 'Component Masterlist v2'!A:A, 'Component Masterlist v2'!E:E, "Not found")</f>
        <v>Vaibhav Saini</v>
      </c>
    </row>
    <row r="796" spans="1:4">
      <c r="A796" s="226" t="s">
        <v>2888</v>
      </c>
      <c r="B796" s="227" t="s">
        <v>11</v>
      </c>
      <c r="C796" s="233" t="str">
        <f>_xlfn.XLOOKUP(B796, 'Component Masterlist v2'!A:A, 'Component Masterlist v2'!G:G, "Not found")</f>
        <v>Keith Wiseman</v>
      </c>
      <c r="D796" s="233" t="str">
        <f>_xlfn.XLOOKUP(B796, 'Component Masterlist v2'!A:A, 'Component Masterlist v2'!E:E, "Not found")</f>
        <v>Vaibhav Saini</v>
      </c>
    </row>
    <row r="797" spans="1:4">
      <c r="A797" s="226" t="s">
        <v>2889</v>
      </c>
      <c r="B797" s="227" t="s">
        <v>28</v>
      </c>
      <c r="C797" s="233" t="str">
        <f>_xlfn.XLOOKUP(B797, 'Component Masterlist v2'!A:A, 'Component Masterlist v2'!G:G, "Not found")</f>
        <v>Raghu Edalur</v>
      </c>
      <c r="D797" s="233" t="str">
        <f>_xlfn.XLOOKUP(B797, 'Component Masterlist v2'!A:A, 'Component Masterlist v2'!E:E, "Not found")</f>
        <v>Parul Jain</v>
      </c>
    </row>
    <row r="798" spans="1:4">
      <c r="A798" s="226" t="s">
        <v>2890</v>
      </c>
      <c r="B798" s="227" t="s">
        <v>28</v>
      </c>
      <c r="C798" s="233" t="str">
        <f>_xlfn.XLOOKUP(B798, 'Component Masterlist v2'!A:A, 'Component Masterlist v2'!G:G, "Not found")</f>
        <v>Raghu Edalur</v>
      </c>
      <c r="D798" s="233" t="str">
        <f>_xlfn.XLOOKUP(B798, 'Component Masterlist v2'!A:A, 'Component Masterlist v2'!E:E, "Not found")</f>
        <v>Parul Jain</v>
      </c>
    </row>
    <row r="799" spans="1:4">
      <c r="A799" s="226" t="s">
        <v>2891</v>
      </c>
      <c r="B799" s="227" t="s">
        <v>45</v>
      </c>
      <c r="C799" s="233" t="str">
        <f>_xlfn.XLOOKUP(B799, 'Component Masterlist v2'!A:A, 'Component Masterlist v2'!G:G, "Not found")</f>
        <v>Sanyam Agrawal</v>
      </c>
      <c r="D799" s="233" t="str">
        <f>_xlfn.XLOOKUP(B799, 'Component Masterlist v2'!A:A, 'Component Masterlist v2'!E:E, "Not found")</f>
        <v>Ambuj Mehra</v>
      </c>
    </row>
    <row r="800" spans="1:4">
      <c r="A800" s="226" t="s">
        <v>2892</v>
      </c>
      <c r="B800" s="227" t="s">
        <v>11</v>
      </c>
      <c r="C800" s="233" t="str">
        <f>_xlfn.XLOOKUP(B800, 'Component Masterlist v2'!A:A, 'Component Masterlist v2'!G:G, "Not found")</f>
        <v>Keith Wiseman</v>
      </c>
      <c r="D800" s="233" t="str">
        <f>_xlfn.XLOOKUP(B800, 'Component Masterlist v2'!A:A, 'Component Masterlist v2'!E:E, "Not found")</f>
        <v>Vaibhav Saini</v>
      </c>
    </row>
    <row r="801" spans="1:4">
      <c r="A801" s="226" t="s">
        <v>2893</v>
      </c>
      <c r="B801" s="227" t="s">
        <v>28</v>
      </c>
      <c r="C801" s="233" t="str">
        <f>_xlfn.XLOOKUP(B801, 'Component Masterlist v2'!A:A, 'Component Masterlist v2'!G:G, "Not found")</f>
        <v>Raghu Edalur</v>
      </c>
      <c r="D801" s="233" t="str">
        <f>_xlfn.XLOOKUP(B801, 'Component Masterlist v2'!A:A, 'Component Masterlist v2'!E:E, "Not found")</f>
        <v>Parul Jain</v>
      </c>
    </row>
    <row r="802" spans="1:4">
      <c r="A802" s="226" t="s">
        <v>2894</v>
      </c>
      <c r="B802" s="227" t="s">
        <v>45</v>
      </c>
      <c r="C802" s="233" t="str">
        <f>_xlfn.XLOOKUP(B802, 'Component Masterlist v2'!A:A, 'Component Masterlist v2'!G:G, "Not found")</f>
        <v>Sanyam Agrawal</v>
      </c>
      <c r="D802" s="233" t="str">
        <f>_xlfn.XLOOKUP(B802, 'Component Masterlist v2'!A:A, 'Component Masterlist v2'!E:E, "Not found")</f>
        <v>Ambuj Mehra</v>
      </c>
    </row>
    <row r="803" spans="1:4">
      <c r="A803" s="226" t="s">
        <v>2895</v>
      </c>
      <c r="B803" s="227" t="s">
        <v>45</v>
      </c>
      <c r="C803" s="233" t="str">
        <f>_xlfn.XLOOKUP(B803, 'Component Masterlist v2'!A:A, 'Component Masterlist v2'!G:G, "Not found")</f>
        <v>Sanyam Agrawal</v>
      </c>
      <c r="D803" s="233" t="str">
        <f>_xlfn.XLOOKUP(B803, 'Component Masterlist v2'!A:A, 'Component Masterlist v2'!E:E, "Not found")</f>
        <v>Ambuj Mehra</v>
      </c>
    </row>
    <row r="804" spans="1:4">
      <c r="A804" s="226" t="s">
        <v>2896</v>
      </c>
      <c r="B804" s="227" t="s">
        <v>11</v>
      </c>
      <c r="C804" s="233" t="str">
        <f>_xlfn.XLOOKUP(B804, 'Component Masterlist v2'!A:A, 'Component Masterlist v2'!G:G, "Not found")</f>
        <v>Keith Wiseman</v>
      </c>
      <c r="D804" s="233" t="str">
        <f>_xlfn.XLOOKUP(B804, 'Component Masterlist v2'!A:A, 'Component Masterlist v2'!E:E, "Not found")</f>
        <v>Vaibhav Saini</v>
      </c>
    </row>
    <row r="805" spans="1:4">
      <c r="A805" s="226" t="s">
        <v>2897</v>
      </c>
      <c r="B805" s="227" t="s">
        <v>28</v>
      </c>
      <c r="C805" s="233" t="str">
        <f>_xlfn.XLOOKUP(B805, 'Component Masterlist v2'!A:A, 'Component Masterlist v2'!G:G, "Not found")</f>
        <v>Raghu Edalur</v>
      </c>
      <c r="D805" s="233" t="str">
        <f>_xlfn.XLOOKUP(B805, 'Component Masterlist v2'!A:A, 'Component Masterlist v2'!E:E, "Not found")</f>
        <v>Parul Jain</v>
      </c>
    </row>
    <row r="806" spans="1:4">
      <c r="A806" s="226" t="s">
        <v>2898</v>
      </c>
      <c r="B806" s="227" t="s">
        <v>28</v>
      </c>
      <c r="C806" s="233" t="str">
        <f>_xlfn.XLOOKUP(B806, 'Component Masterlist v2'!A:A, 'Component Masterlist v2'!G:G, "Not found")</f>
        <v>Raghu Edalur</v>
      </c>
      <c r="D806" s="233" t="str">
        <f>_xlfn.XLOOKUP(B806, 'Component Masterlist v2'!A:A, 'Component Masterlist v2'!E:E, "Not found")</f>
        <v>Parul Jain</v>
      </c>
    </row>
    <row r="807" spans="1:4">
      <c r="A807" s="226" t="s">
        <v>2899</v>
      </c>
      <c r="B807" s="227" t="s">
        <v>45</v>
      </c>
      <c r="C807" s="233" t="str">
        <f>_xlfn.XLOOKUP(B807, 'Component Masterlist v2'!A:A, 'Component Masterlist v2'!G:G, "Not found")</f>
        <v>Sanyam Agrawal</v>
      </c>
      <c r="D807" s="233" t="str">
        <f>_xlfn.XLOOKUP(B807, 'Component Masterlist v2'!A:A, 'Component Masterlist v2'!E:E, "Not found")</f>
        <v>Ambuj Mehra</v>
      </c>
    </row>
    <row r="808" spans="1:4">
      <c r="A808" s="226" t="s">
        <v>2900</v>
      </c>
      <c r="B808" s="227" t="s">
        <v>28</v>
      </c>
      <c r="C808" s="233" t="str">
        <f>_xlfn.XLOOKUP(B808, 'Component Masterlist v2'!A:A, 'Component Masterlist v2'!G:G, "Not found")</f>
        <v>Raghu Edalur</v>
      </c>
      <c r="D808" s="233" t="str">
        <f>_xlfn.XLOOKUP(B808, 'Component Masterlist v2'!A:A, 'Component Masterlist v2'!E:E, "Not found")</f>
        <v>Parul Jain</v>
      </c>
    </row>
    <row r="809" spans="1:4">
      <c r="A809" s="226" t="s">
        <v>2901</v>
      </c>
      <c r="B809" s="227" t="s">
        <v>11</v>
      </c>
      <c r="C809" s="233" t="str">
        <f>_xlfn.XLOOKUP(B809, 'Component Masterlist v2'!A:A, 'Component Masterlist v2'!G:G, "Not found")</f>
        <v>Keith Wiseman</v>
      </c>
      <c r="D809" s="233" t="str">
        <f>_xlfn.XLOOKUP(B809, 'Component Masterlist v2'!A:A, 'Component Masterlist v2'!E:E, "Not found")</f>
        <v>Vaibhav Saini</v>
      </c>
    </row>
    <row r="810" spans="1:4">
      <c r="A810" s="226" t="s">
        <v>2902</v>
      </c>
      <c r="B810" s="227" t="s">
        <v>28</v>
      </c>
      <c r="C810" s="233" t="str">
        <f>_xlfn.XLOOKUP(B810, 'Component Masterlist v2'!A:A, 'Component Masterlist v2'!G:G, "Not found")</f>
        <v>Raghu Edalur</v>
      </c>
      <c r="D810" s="233" t="str">
        <f>_xlfn.XLOOKUP(B810, 'Component Masterlist v2'!A:A, 'Component Masterlist v2'!E:E, "Not found")</f>
        <v>Parul Jain</v>
      </c>
    </row>
    <row r="811" spans="1:4">
      <c r="A811" s="226" t="s">
        <v>2903</v>
      </c>
      <c r="B811" s="227" t="s">
        <v>11</v>
      </c>
      <c r="C811" s="233" t="str">
        <f>_xlfn.XLOOKUP(B811, 'Component Masterlist v2'!A:A, 'Component Masterlist v2'!G:G, "Not found")</f>
        <v>Keith Wiseman</v>
      </c>
      <c r="D811" s="233" t="str">
        <f>_xlfn.XLOOKUP(B811, 'Component Masterlist v2'!A:A, 'Component Masterlist v2'!E:E, "Not found")</f>
        <v>Vaibhav Saini</v>
      </c>
    </row>
    <row r="812" spans="1:4">
      <c r="A812" s="226" t="s">
        <v>2904</v>
      </c>
      <c r="B812" s="227" t="s">
        <v>78</v>
      </c>
      <c r="C812" s="233" t="str">
        <f>_xlfn.XLOOKUP(B812, 'Component Masterlist v2'!A:A, 'Component Masterlist v2'!G:G, "Not found")</f>
        <v>Venugopal Malyala</v>
      </c>
      <c r="D812" s="233" t="str">
        <f>_xlfn.XLOOKUP(B812, 'Component Masterlist v2'!A:A, 'Component Masterlist v2'!E:E, "Not found")</f>
        <v>Vijay Kumar</v>
      </c>
    </row>
    <row r="813" spans="1:4">
      <c r="A813" s="226" t="s">
        <v>2905</v>
      </c>
      <c r="B813" s="227" t="s">
        <v>78</v>
      </c>
      <c r="C813" s="233" t="str">
        <f>_xlfn.XLOOKUP(B813, 'Component Masterlist v2'!A:A, 'Component Masterlist v2'!G:G, "Not found")</f>
        <v>Venugopal Malyala</v>
      </c>
      <c r="D813" s="233" t="str">
        <f>_xlfn.XLOOKUP(B813, 'Component Masterlist v2'!A:A, 'Component Masterlist v2'!E:E, "Not found")</f>
        <v>Vijay Kumar</v>
      </c>
    </row>
    <row r="814" spans="1:4">
      <c r="A814" s="226" t="s">
        <v>2906</v>
      </c>
      <c r="B814" s="227" t="s">
        <v>78</v>
      </c>
      <c r="C814" s="233" t="str">
        <f>_xlfn.XLOOKUP(B814, 'Component Masterlist v2'!A:A, 'Component Masterlist v2'!G:G, "Not found")</f>
        <v>Venugopal Malyala</v>
      </c>
      <c r="D814" s="233" t="str">
        <f>_xlfn.XLOOKUP(B814, 'Component Masterlist v2'!A:A, 'Component Masterlist v2'!E:E, "Not found")</f>
        <v>Vijay Kumar</v>
      </c>
    </row>
    <row r="815" spans="1:4">
      <c r="A815" s="226" t="s">
        <v>2907</v>
      </c>
      <c r="B815" s="227" t="s">
        <v>40</v>
      </c>
      <c r="C815" s="233" t="str">
        <f>_xlfn.XLOOKUP(B815, 'Component Masterlist v2'!A:A, 'Component Masterlist v2'!G:G, "Not found")</f>
        <v>Santosh Golecha</v>
      </c>
      <c r="D815" s="233" t="str">
        <f>_xlfn.XLOOKUP(B815, 'Component Masterlist v2'!A:A, 'Component Masterlist v2'!E:E, "Not found")</f>
        <v>Ankur Agarwal</v>
      </c>
    </row>
    <row r="816" spans="1:4">
      <c r="A816" s="226" t="s">
        <v>2908</v>
      </c>
      <c r="B816" s="227" t="s">
        <v>78</v>
      </c>
      <c r="C816" s="233" t="str">
        <f>_xlfn.XLOOKUP(B816, 'Component Masterlist v2'!A:A, 'Component Masterlist v2'!G:G, "Not found")</f>
        <v>Venugopal Malyala</v>
      </c>
      <c r="D816" s="233" t="str">
        <f>_xlfn.XLOOKUP(B816, 'Component Masterlist v2'!A:A, 'Component Masterlist v2'!E:E, "Not found")</f>
        <v>Vijay Kumar</v>
      </c>
    </row>
    <row r="817" spans="1:4">
      <c r="A817" s="226" t="s">
        <v>2909</v>
      </c>
      <c r="B817" s="227" t="s">
        <v>13</v>
      </c>
      <c r="C817" s="233" t="str">
        <f>_xlfn.XLOOKUP(B817, 'Component Masterlist v2'!A:A, 'Component Masterlist v2'!G:G, "Not found")</f>
        <v>Keith Wiseman</v>
      </c>
      <c r="D817" s="233" t="str">
        <f>_xlfn.XLOOKUP(B817, 'Component Masterlist v2'!A:A, 'Component Masterlist v2'!E:E, "Not found")</f>
        <v>Vaibhav Saini</v>
      </c>
    </row>
    <row r="818" spans="1:4">
      <c r="A818" s="226" t="s">
        <v>2910</v>
      </c>
      <c r="B818" s="227" t="s">
        <v>78</v>
      </c>
      <c r="C818" s="233" t="str">
        <f>_xlfn.XLOOKUP(B818, 'Component Masterlist v2'!A:A, 'Component Masterlist v2'!G:G, "Not found")</f>
        <v>Venugopal Malyala</v>
      </c>
      <c r="D818" s="233" t="str">
        <f>_xlfn.XLOOKUP(B818, 'Component Masterlist v2'!A:A, 'Component Masterlist v2'!E:E, "Not found")</f>
        <v>Vijay Kumar</v>
      </c>
    </row>
    <row r="819" spans="1:4">
      <c r="A819" s="226" t="s">
        <v>2911</v>
      </c>
      <c r="B819" s="227" t="s">
        <v>11</v>
      </c>
      <c r="C819" s="233" t="str">
        <f>_xlfn.XLOOKUP(B819, 'Component Masterlist v2'!A:A, 'Component Masterlist v2'!G:G, "Not found")</f>
        <v>Keith Wiseman</v>
      </c>
      <c r="D819" s="233" t="str">
        <f>_xlfn.XLOOKUP(B819, 'Component Masterlist v2'!A:A, 'Component Masterlist v2'!E:E, "Not found")</f>
        <v>Vaibhav Saini</v>
      </c>
    </row>
    <row r="820" spans="1:4">
      <c r="A820" s="226" t="s">
        <v>2912</v>
      </c>
      <c r="B820" s="227" t="s">
        <v>11</v>
      </c>
      <c r="C820" s="233" t="str">
        <f>_xlfn.XLOOKUP(B820, 'Component Masterlist v2'!A:A, 'Component Masterlist v2'!G:G, "Not found")</f>
        <v>Keith Wiseman</v>
      </c>
      <c r="D820" s="233" t="str">
        <f>_xlfn.XLOOKUP(B820, 'Component Masterlist v2'!A:A, 'Component Masterlist v2'!E:E, "Not found")</f>
        <v>Vaibhav Saini</v>
      </c>
    </row>
    <row r="821" spans="1:4">
      <c r="A821" s="226" t="s">
        <v>2913</v>
      </c>
      <c r="B821" s="227" t="s">
        <v>40</v>
      </c>
      <c r="C821" s="233" t="str">
        <f>_xlfn.XLOOKUP(B821, 'Component Masterlist v2'!A:A, 'Component Masterlist v2'!G:G, "Not found")</f>
        <v>Santosh Golecha</v>
      </c>
      <c r="D821" s="233" t="str">
        <f>_xlfn.XLOOKUP(B821, 'Component Masterlist v2'!A:A, 'Component Masterlist v2'!E:E, "Not found")</f>
        <v>Ankur Agarwal</v>
      </c>
    </row>
    <row r="822" spans="1:4">
      <c r="A822" s="226" t="s">
        <v>2914</v>
      </c>
      <c r="B822" s="227" t="s">
        <v>28</v>
      </c>
      <c r="C822" s="233" t="str">
        <f>_xlfn.XLOOKUP(B822, 'Component Masterlist v2'!A:A, 'Component Masterlist v2'!G:G, "Not found")</f>
        <v>Raghu Edalur</v>
      </c>
      <c r="D822" s="233" t="str">
        <f>_xlfn.XLOOKUP(B822, 'Component Masterlist v2'!A:A, 'Component Masterlist v2'!E:E, "Not found")</f>
        <v>Parul Jain</v>
      </c>
    </row>
    <row r="823" spans="1:4">
      <c r="A823" s="226" t="s">
        <v>2915</v>
      </c>
      <c r="B823" s="227" t="s">
        <v>78</v>
      </c>
      <c r="C823" s="233" t="str">
        <f>_xlfn.XLOOKUP(B823, 'Component Masterlist v2'!A:A, 'Component Masterlist v2'!G:G, "Not found")</f>
        <v>Venugopal Malyala</v>
      </c>
      <c r="D823" s="233" t="str">
        <f>_xlfn.XLOOKUP(B823, 'Component Masterlist v2'!A:A, 'Component Masterlist v2'!E:E, "Not found")</f>
        <v>Vijay Kumar</v>
      </c>
    </row>
    <row r="824" spans="1:4">
      <c r="A824" s="226" t="s">
        <v>2916</v>
      </c>
      <c r="B824" s="227" t="s">
        <v>28</v>
      </c>
      <c r="C824" s="233" t="str">
        <f>_xlfn.XLOOKUP(B824, 'Component Masterlist v2'!A:A, 'Component Masterlist v2'!G:G, "Not found")</f>
        <v>Raghu Edalur</v>
      </c>
      <c r="D824" s="233" t="str">
        <f>_xlfn.XLOOKUP(B824, 'Component Masterlist v2'!A:A, 'Component Masterlist v2'!E:E, "Not found")</f>
        <v>Parul Jain</v>
      </c>
    </row>
    <row r="825" spans="1:4">
      <c r="A825" s="226" t="s">
        <v>2917</v>
      </c>
      <c r="B825" s="227" t="s">
        <v>28</v>
      </c>
      <c r="C825" s="233" t="str">
        <f>_xlfn.XLOOKUP(B825, 'Component Masterlist v2'!A:A, 'Component Masterlist v2'!G:G, "Not found")</f>
        <v>Raghu Edalur</v>
      </c>
      <c r="D825" s="233" t="str">
        <f>_xlfn.XLOOKUP(B825, 'Component Masterlist v2'!A:A, 'Component Masterlist v2'!E:E, "Not found")</f>
        <v>Parul Jain</v>
      </c>
    </row>
    <row r="826" spans="1:4">
      <c r="A826" s="226" t="s">
        <v>2918</v>
      </c>
      <c r="B826" s="227" t="s">
        <v>11</v>
      </c>
      <c r="C826" s="233" t="str">
        <f>_xlfn.XLOOKUP(B826, 'Component Masterlist v2'!A:A, 'Component Masterlist v2'!G:G, "Not found")</f>
        <v>Keith Wiseman</v>
      </c>
      <c r="D826" s="233" t="str">
        <f>_xlfn.XLOOKUP(B826, 'Component Masterlist v2'!A:A, 'Component Masterlist v2'!E:E, "Not found")</f>
        <v>Vaibhav Saini</v>
      </c>
    </row>
    <row r="827" spans="1:4">
      <c r="A827" s="226" t="s">
        <v>2919</v>
      </c>
      <c r="B827" s="227" t="s">
        <v>13</v>
      </c>
      <c r="C827" s="233" t="str">
        <f>_xlfn.XLOOKUP(B827, 'Component Masterlist v2'!A:A, 'Component Masterlist v2'!G:G, "Not found")</f>
        <v>Keith Wiseman</v>
      </c>
      <c r="D827" s="233" t="str">
        <f>_xlfn.XLOOKUP(B827, 'Component Masterlist v2'!A:A, 'Component Masterlist v2'!E:E, "Not found")</f>
        <v>Vaibhav Saini</v>
      </c>
    </row>
    <row r="828" spans="1:4">
      <c r="A828" s="226" t="s">
        <v>2920</v>
      </c>
      <c r="B828" s="227" t="s">
        <v>11</v>
      </c>
      <c r="C828" s="233" t="str">
        <f>_xlfn.XLOOKUP(B828, 'Component Masterlist v2'!A:A, 'Component Masterlist v2'!G:G, "Not found")</f>
        <v>Keith Wiseman</v>
      </c>
      <c r="D828" s="233" t="str">
        <f>_xlfn.XLOOKUP(B828, 'Component Masterlist v2'!A:A, 'Component Masterlist v2'!E:E, "Not found")</f>
        <v>Vaibhav Saini</v>
      </c>
    </row>
    <row r="829" spans="1:4">
      <c r="A829" s="226" t="s">
        <v>2921</v>
      </c>
      <c r="B829" s="227" t="s">
        <v>11</v>
      </c>
      <c r="C829" s="233" t="str">
        <f>_xlfn.XLOOKUP(B829, 'Component Masterlist v2'!A:A, 'Component Masterlist v2'!G:G, "Not found")</f>
        <v>Keith Wiseman</v>
      </c>
      <c r="D829" s="233" t="str">
        <f>_xlfn.XLOOKUP(B829, 'Component Masterlist v2'!A:A, 'Component Masterlist v2'!E:E, "Not found")</f>
        <v>Vaibhav Saini</v>
      </c>
    </row>
    <row r="830" spans="1:4">
      <c r="A830" s="226" t="s">
        <v>2922</v>
      </c>
      <c r="B830" s="227" t="s">
        <v>82</v>
      </c>
      <c r="C830" s="233" t="str">
        <f>_xlfn.XLOOKUP(B830, 'Component Masterlist v2'!A:A, 'Component Masterlist v2'!G:G, "Not found")</f>
        <v>Ved Singh</v>
      </c>
      <c r="D830" s="233" t="str">
        <f>_xlfn.XLOOKUP(B830, 'Component Masterlist v2'!A:A, 'Component Masterlist v2'!E:E, "Not found")</f>
        <v>Arun Gangadhar</v>
      </c>
    </row>
    <row r="831" spans="1:4">
      <c r="A831" s="226" t="s">
        <v>2923</v>
      </c>
      <c r="B831" s="227" t="s">
        <v>45</v>
      </c>
      <c r="C831" s="233" t="str">
        <f>_xlfn.XLOOKUP(B831, 'Component Masterlist v2'!A:A, 'Component Masterlist v2'!G:G, "Not found")</f>
        <v>Sanyam Agrawal</v>
      </c>
      <c r="D831" s="233" t="str">
        <f>_xlfn.XLOOKUP(B831, 'Component Masterlist v2'!A:A, 'Component Masterlist v2'!E:E, "Not found")</f>
        <v>Ambuj Mehra</v>
      </c>
    </row>
    <row r="832" spans="1:4">
      <c r="A832" s="226" t="s">
        <v>2924</v>
      </c>
      <c r="B832" s="227" t="s">
        <v>13</v>
      </c>
      <c r="C832" s="233" t="str">
        <f>_xlfn.XLOOKUP(B832, 'Component Masterlist v2'!A:A, 'Component Masterlist v2'!G:G, "Not found")</f>
        <v>Keith Wiseman</v>
      </c>
      <c r="D832" s="233" t="str">
        <f>_xlfn.XLOOKUP(B832, 'Component Masterlist v2'!A:A, 'Component Masterlist v2'!E:E, "Not found")</f>
        <v>Vaibhav Saini</v>
      </c>
    </row>
    <row r="833" spans="1:4">
      <c r="A833" s="226" t="s">
        <v>2925</v>
      </c>
      <c r="B833" s="227" t="s">
        <v>13</v>
      </c>
      <c r="C833" s="233" t="str">
        <f>_xlfn.XLOOKUP(B833, 'Component Masterlist v2'!A:A, 'Component Masterlist v2'!G:G, "Not found")</f>
        <v>Keith Wiseman</v>
      </c>
      <c r="D833" s="233" t="str">
        <f>_xlfn.XLOOKUP(B833, 'Component Masterlist v2'!A:A, 'Component Masterlist v2'!E:E, "Not found")</f>
        <v>Vaibhav Saini</v>
      </c>
    </row>
    <row r="834" spans="1:4">
      <c r="A834" s="226" t="s">
        <v>2926</v>
      </c>
      <c r="B834" s="227" t="s">
        <v>13</v>
      </c>
      <c r="C834" s="233" t="str">
        <f>_xlfn.XLOOKUP(B834, 'Component Masterlist v2'!A:A, 'Component Masterlist v2'!G:G, "Not found")</f>
        <v>Keith Wiseman</v>
      </c>
      <c r="D834" s="233" t="str">
        <f>_xlfn.XLOOKUP(B834, 'Component Masterlist v2'!A:A, 'Component Masterlist v2'!E:E, "Not found")</f>
        <v>Vaibhav Saini</v>
      </c>
    </row>
    <row r="835" spans="1:4">
      <c r="A835" s="226" t="s">
        <v>2927</v>
      </c>
      <c r="B835" s="227" t="s">
        <v>40</v>
      </c>
      <c r="C835" s="233" t="str">
        <f>_xlfn.XLOOKUP(B835, 'Component Masterlist v2'!A:A, 'Component Masterlist v2'!G:G, "Not found")</f>
        <v>Santosh Golecha</v>
      </c>
      <c r="D835" s="233" t="str">
        <f>_xlfn.XLOOKUP(B835, 'Component Masterlist v2'!A:A, 'Component Masterlist v2'!E:E, "Not found")</f>
        <v>Ankur Agarwal</v>
      </c>
    </row>
    <row r="836" spans="1:4">
      <c r="A836" s="226" t="s">
        <v>2928</v>
      </c>
      <c r="B836" s="227" t="s">
        <v>13</v>
      </c>
      <c r="C836" s="233" t="str">
        <f>_xlfn.XLOOKUP(B836, 'Component Masterlist v2'!A:A, 'Component Masterlist v2'!G:G, "Not found")</f>
        <v>Keith Wiseman</v>
      </c>
      <c r="D836" s="233" t="str">
        <f>_xlfn.XLOOKUP(B836, 'Component Masterlist v2'!A:A, 'Component Masterlist v2'!E:E, "Not found")</f>
        <v>Vaibhav Saini</v>
      </c>
    </row>
    <row r="837" spans="1:4">
      <c r="A837" s="226" t="s">
        <v>2929</v>
      </c>
      <c r="B837" s="227" t="s">
        <v>11</v>
      </c>
      <c r="C837" s="233" t="str">
        <f>_xlfn.XLOOKUP(B837, 'Component Masterlist v2'!A:A, 'Component Masterlist v2'!G:G, "Not found")</f>
        <v>Keith Wiseman</v>
      </c>
      <c r="D837" s="233" t="str">
        <f>_xlfn.XLOOKUP(B837, 'Component Masterlist v2'!A:A, 'Component Masterlist v2'!E:E, "Not found")</f>
        <v>Vaibhav Saini</v>
      </c>
    </row>
    <row r="838" spans="1:4">
      <c r="A838" s="226" t="s">
        <v>2930</v>
      </c>
      <c r="B838" s="227" t="s">
        <v>45</v>
      </c>
      <c r="C838" s="233" t="str">
        <f>_xlfn.XLOOKUP(B838, 'Component Masterlist v2'!A:A, 'Component Masterlist v2'!G:G, "Not found")</f>
        <v>Sanyam Agrawal</v>
      </c>
      <c r="D838" s="233" t="str">
        <f>_xlfn.XLOOKUP(B838, 'Component Masterlist v2'!A:A, 'Component Masterlist v2'!E:E, "Not found")</f>
        <v>Ambuj Mehra</v>
      </c>
    </row>
    <row r="839" spans="1:4">
      <c r="A839" s="226" t="s">
        <v>2931</v>
      </c>
      <c r="B839" s="227" t="s">
        <v>28</v>
      </c>
      <c r="C839" s="233" t="str">
        <f>_xlfn.XLOOKUP(B839, 'Component Masterlist v2'!A:A, 'Component Masterlist v2'!G:G, "Not found")</f>
        <v>Raghu Edalur</v>
      </c>
      <c r="D839" s="233" t="str">
        <f>_xlfn.XLOOKUP(B839, 'Component Masterlist v2'!A:A, 'Component Masterlist v2'!E:E, "Not found")</f>
        <v>Parul Jain</v>
      </c>
    </row>
    <row r="840" spans="1:4">
      <c r="A840" s="226" t="s">
        <v>2932</v>
      </c>
      <c r="B840" s="227" t="s">
        <v>40</v>
      </c>
      <c r="C840" s="233" t="str">
        <f>_xlfn.XLOOKUP(B840, 'Component Masterlist v2'!A:A, 'Component Masterlist v2'!G:G, "Not found")</f>
        <v>Santosh Golecha</v>
      </c>
      <c r="D840" s="233" t="str">
        <f>_xlfn.XLOOKUP(B840, 'Component Masterlist v2'!A:A, 'Component Masterlist v2'!E:E, "Not found")</f>
        <v>Ankur Agarwal</v>
      </c>
    </row>
    <row r="841" spans="1:4">
      <c r="A841" s="226" t="s">
        <v>2933</v>
      </c>
      <c r="B841" s="227" t="s">
        <v>45</v>
      </c>
      <c r="C841" s="233" t="str">
        <f>_xlfn.XLOOKUP(B841, 'Component Masterlist v2'!A:A, 'Component Masterlist v2'!G:G, "Not found")</f>
        <v>Sanyam Agrawal</v>
      </c>
      <c r="D841" s="233" t="str">
        <f>_xlfn.XLOOKUP(B841, 'Component Masterlist v2'!A:A, 'Component Masterlist v2'!E:E, "Not found")</f>
        <v>Ambuj Mehra</v>
      </c>
    </row>
    <row r="842" spans="1:4">
      <c r="A842" s="226" t="s">
        <v>2934</v>
      </c>
      <c r="B842" s="227" t="s">
        <v>45</v>
      </c>
      <c r="C842" s="233" t="str">
        <f>_xlfn.XLOOKUP(B842, 'Component Masterlist v2'!A:A, 'Component Masterlist v2'!G:G, "Not found")</f>
        <v>Sanyam Agrawal</v>
      </c>
      <c r="D842" s="233" t="str">
        <f>_xlfn.XLOOKUP(B842, 'Component Masterlist v2'!A:A, 'Component Masterlist v2'!E:E, "Not found")</f>
        <v>Ambuj Mehra</v>
      </c>
    </row>
    <row r="843" spans="1:4">
      <c r="A843" s="226" t="s">
        <v>2935</v>
      </c>
      <c r="B843" s="227" t="s">
        <v>11</v>
      </c>
      <c r="C843" s="233" t="str">
        <f>_xlfn.XLOOKUP(B843, 'Component Masterlist v2'!A:A, 'Component Masterlist v2'!G:G, "Not found")</f>
        <v>Keith Wiseman</v>
      </c>
      <c r="D843" s="233" t="str">
        <f>_xlfn.XLOOKUP(B843, 'Component Masterlist v2'!A:A, 'Component Masterlist v2'!E:E, "Not found")</f>
        <v>Vaibhav Saini</v>
      </c>
    </row>
    <row r="844" spans="1:4">
      <c r="A844" s="226" t="s">
        <v>2936</v>
      </c>
      <c r="B844" s="227" t="s">
        <v>11</v>
      </c>
      <c r="C844" s="233" t="str">
        <f>_xlfn.XLOOKUP(B844, 'Component Masterlist v2'!A:A, 'Component Masterlist v2'!G:G, "Not found")</f>
        <v>Keith Wiseman</v>
      </c>
      <c r="D844" s="233" t="str">
        <f>_xlfn.XLOOKUP(B844, 'Component Masterlist v2'!A:A, 'Component Masterlist v2'!E:E, "Not found")</f>
        <v>Vaibhav Saini</v>
      </c>
    </row>
    <row r="845" spans="1:4">
      <c r="A845" s="226" t="s">
        <v>2937</v>
      </c>
      <c r="B845" s="227" t="s">
        <v>11</v>
      </c>
      <c r="C845" s="233" t="str">
        <f>_xlfn.XLOOKUP(B845, 'Component Masterlist v2'!A:A, 'Component Masterlist v2'!G:G, "Not found")</f>
        <v>Keith Wiseman</v>
      </c>
      <c r="D845" s="233" t="str">
        <f>_xlfn.XLOOKUP(B845, 'Component Masterlist v2'!A:A, 'Component Masterlist v2'!E:E, "Not found")</f>
        <v>Vaibhav Saini</v>
      </c>
    </row>
    <row r="846" spans="1:4">
      <c r="A846" s="226" t="s">
        <v>2938</v>
      </c>
      <c r="B846" s="227" t="s">
        <v>11</v>
      </c>
      <c r="C846" s="233" t="str">
        <f>_xlfn.XLOOKUP(B846, 'Component Masterlist v2'!A:A, 'Component Masterlist v2'!G:G, "Not found")</f>
        <v>Keith Wiseman</v>
      </c>
      <c r="D846" s="233" t="str">
        <f>_xlfn.XLOOKUP(B846, 'Component Masterlist v2'!A:A, 'Component Masterlist v2'!E:E, "Not found")</f>
        <v>Vaibhav Saini</v>
      </c>
    </row>
    <row r="847" spans="1:4">
      <c r="A847" s="226" t="s">
        <v>2939</v>
      </c>
      <c r="B847" s="227" t="s">
        <v>11</v>
      </c>
      <c r="C847" s="233" t="str">
        <f>_xlfn.XLOOKUP(B847, 'Component Masterlist v2'!A:A, 'Component Masterlist v2'!G:G, "Not found")</f>
        <v>Keith Wiseman</v>
      </c>
      <c r="D847" s="233" t="str">
        <f>_xlfn.XLOOKUP(B847, 'Component Masterlist v2'!A:A, 'Component Masterlist v2'!E:E, "Not found")</f>
        <v>Vaibhav Saini</v>
      </c>
    </row>
    <row r="848" spans="1:4">
      <c r="A848" s="226" t="s">
        <v>2940</v>
      </c>
      <c r="B848" s="227" t="s">
        <v>40</v>
      </c>
      <c r="C848" s="233" t="str">
        <f>_xlfn.XLOOKUP(B848, 'Component Masterlist v2'!A:A, 'Component Masterlist v2'!G:G, "Not found")</f>
        <v>Santosh Golecha</v>
      </c>
      <c r="D848" s="233" t="str">
        <f>_xlfn.XLOOKUP(B848, 'Component Masterlist v2'!A:A, 'Component Masterlist v2'!E:E, "Not found")</f>
        <v>Ankur Agarwal</v>
      </c>
    </row>
    <row r="849" spans="1:4">
      <c r="A849" s="226" t="s">
        <v>2941</v>
      </c>
      <c r="B849" s="227" t="s">
        <v>11</v>
      </c>
      <c r="C849" s="233" t="str">
        <f>_xlfn.XLOOKUP(B849, 'Component Masterlist v2'!A:A, 'Component Masterlist v2'!G:G, "Not found")</f>
        <v>Keith Wiseman</v>
      </c>
      <c r="D849" s="233" t="str">
        <f>_xlfn.XLOOKUP(B849, 'Component Masterlist v2'!A:A, 'Component Masterlist v2'!E:E, "Not found")</f>
        <v>Vaibhav Saini</v>
      </c>
    </row>
    <row r="850" spans="1:4">
      <c r="A850" s="226" t="s">
        <v>2942</v>
      </c>
      <c r="B850" s="227" t="s">
        <v>11</v>
      </c>
      <c r="C850" s="233" t="str">
        <f>_xlfn.XLOOKUP(B850, 'Component Masterlist v2'!A:A, 'Component Masterlist v2'!G:G, "Not found")</f>
        <v>Keith Wiseman</v>
      </c>
      <c r="D850" s="233" t="str">
        <f>_xlfn.XLOOKUP(B850, 'Component Masterlist v2'!A:A, 'Component Masterlist v2'!E:E, "Not found")</f>
        <v>Vaibhav Saini</v>
      </c>
    </row>
    <row r="851" spans="1:4">
      <c r="A851" s="226" t="s">
        <v>2943</v>
      </c>
      <c r="B851" s="227" t="s">
        <v>11</v>
      </c>
      <c r="C851" s="233" t="str">
        <f>_xlfn.XLOOKUP(B851, 'Component Masterlist v2'!A:A, 'Component Masterlist v2'!G:G, "Not found")</f>
        <v>Keith Wiseman</v>
      </c>
      <c r="D851" s="233" t="str">
        <f>_xlfn.XLOOKUP(B851, 'Component Masterlist v2'!A:A, 'Component Masterlist v2'!E:E, "Not found")</f>
        <v>Vaibhav Saini</v>
      </c>
    </row>
    <row r="852" spans="1:4">
      <c r="A852" s="226" t="s">
        <v>2944</v>
      </c>
      <c r="B852" s="227" t="s">
        <v>11</v>
      </c>
      <c r="C852" s="233" t="str">
        <f>_xlfn.XLOOKUP(B852, 'Component Masterlist v2'!A:A, 'Component Masterlist v2'!G:G, "Not found")</f>
        <v>Keith Wiseman</v>
      </c>
      <c r="D852" s="233" t="str">
        <f>_xlfn.XLOOKUP(B852, 'Component Masterlist v2'!A:A, 'Component Masterlist v2'!E:E, "Not found")</f>
        <v>Vaibhav Saini</v>
      </c>
    </row>
    <row r="853" spans="1:4">
      <c r="A853" s="226" t="s">
        <v>2945</v>
      </c>
      <c r="B853" s="227" t="s">
        <v>40</v>
      </c>
      <c r="C853" s="233" t="str">
        <f>_xlfn.XLOOKUP(B853, 'Component Masterlist v2'!A:A, 'Component Masterlist v2'!G:G, "Not found")</f>
        <v>Santosh Golecha</v>
      </c>
      <c r="D853" s="233" t="str">
        <f>_xlfn.XLOOKUP(B853, 'Component Masterlist v2'!A:A, 'Component Masterlist v2'!E:E, "Not found")</f>
        <v>Ankur Agarwal</v>
      </c>
    </row>
    <row r="854" spans="1:4">
      <c r="A854" s="226" t="s">
        <v>2946</v>
      </c>
      <c r="B854" s="227" t="s">
        <v>11</v>
      </c>
      <c r="C854" s="233" t="str">
        <f>_xlfn.XLOOKUP(B854, 'Component Masterlist v2'!A:A, 'Component Masterlist v2'!G:G, "Not found")</f>
        <v>Keith Wiseman</v>
      </c>
      <c r="D854" s="233" t="str">
        <f>_xlfn.XLOOKUP(B854, 'Component Masterlist v2'!A:A, 'Component Masterlist v2'!E:E, "Not found")</f>
        <v>Vaibhav Saini</v>
      </c>
    </row>
    <row r="855" spans="1:4">
      <c r="A855" s="226" t="s">
        <v>2947</v>
      </c>
      <c r="B855" s="227" t="s">
        <v>11</v>
      </c>
      <c r="C855" s="233" t="str">
        <f>_xlfn.XLOOKUP(B855, 'Component Masterlist v2'!A:A, 'Component Masterlist v2'!G:G, "Not found")</f>
        <v>Keith Wiseman</v>
      </c>
      <c r="D855" s="233" t="str">
        <f>_xlfn.XLOOKUP(B855, 'Component Masterlist v2'!A:A, 'Component Masterlist v2'!E:E, "Not found")</f>
        <v>Vaibhav Saini</v>
      </c>
    </row>
    <row r="856" spans="1:4">
      <c r="A856" s="226" t="s">
        <v>2948</v>
      </c>
      <c r="B856" s="227" t="s">
        <v>13</v>
      </c>
      <c r="C856" s="233" t="str">
        <f>_xlfn.XLOOKUP(B856, 'Component Masterlist v2'!A:A, 'Component Masterlist v2'!G:G, "Not found")</f>
        <v>Keith Wiseman</v>
      </c>
      <c r="D856" s="233" t="str">
        <f>_xlfn.XLOOKUP(B856, 'Component Masterlist v2'!A:A, 'Component Masterlist v2'!E:E, "Not found")</f>
        <v>Vaibhav Saini</v>
      </c>
    </row>
    <row r="857" spans="1:4">
      <c r="A857" s="226" t="s">
        <v>2949</v>
      </c>
      <c r="B857" s="227" t="s">
        <v>40</v>
      </c>
      <c r="C857" s="233" t="str">
        <f>_xlfn.XLOOKUP(B857, 'Component Masterlist v2'!A:A, 'Component Masterlist v2'!G:G, "Not found")</f>
        <v>Santosh Golecha</v>
      </c>
      <c r="D857" s="233" t="str">
        <f>_xlfn.XLOOKUP(B857, 'Component Masterlist v2'!A:A, 'Component Masterlist v2'!E:E, "Not found")</f>
        <v>Ankur Agarwal</v>
      </c>
    </row>
    <row r="858" spans="1:4">
      <c r="A858" s="226" t="s">
        <v>2950</v>
      </c>
      <c r="B858" s="227" t="s">
        <v>11</v>
      </c>
      <c r="C858" s="233" t="str">
        <f>_xlfn.XLOOKUP(B858, 'Component Masterlist v2'!A:A, 'Component Masterlist v2'!G:G, "Not found")</f>
        <v>Keith Wiseman</v>
      </c>
      <c r="D858" s="233" t="str">
        <f>_xlfn.XLOOKUP(B858, 'Component Masterlist v2'!A:A, 'Component Masterlist v2'!E:E, "Not found")</f>
        <v>Vaibhav Saini</v>
      </c>
    </row>
    <row r="859" spans="1:4">
      <c r="A859" s="226" t="s">
        <v>2951</v>
      </c>
      <c r="B859" s="227" t="s">
        <v>11</v>
      </c>
      <c r="C859" s="233" t="str">
        <f>_xlfn.XLOOKUP(B859, 'Component Masterlist v2'!A:A, 'Component Masterlist v2'!G:G, "Not found")</f>
        <v>Keith Wiseman</v>
      </c>
      <c r="D859" s="233" t="str">
        <f>_xlfn.XLOOKUP(B859, 'Component Masterlist v2'!A:A, 'Component Masterlist v2'!E:E, "Not found")</f>
        <v>Vaibhav Saini</v>
      </c>
    </row>
    <row r="860" spans="1:4">
      <c r="A860" s="226" t="s">
        <v>2952</v>
      </c>
      <c r="B860" s="227" t="s">
        <v>11</v>
      </c>
      <c r="C860" s="233" t="str">
        <f>_xlfn.XLOOKUP(B860, 'Component Masterlist v2'!A:A, 'Component Masterlist v2'!G:G, "Not found")</f>
        <v>Keith Wiseman</v>
      </c>
      <c r="D860" s="233" t="str">
        <f>_xlfn.XLOOKUP(B860, 'Component Masterlist v2'!A:A, 'Component Masterlist v2'!E:E, "Not found")</f>
        <v>Vaibhav Saini</v>
      </c>
    </row>
    <row r="861" spans="1:4">
      <c r="A861" s="226" t="s">
        <v>2953</v>
      </c>
      <c r="B861" s="227" t="s">
        <v>11</v>
      </c>
      <c r="C861" s="233" t="str">
        <f>_xlfn.XLOOKUP(B861, 'Component Masterlist v2'!A:A, 'Component Masterlist v2'!G:G, "Not found")</f>
        <v>Keith Wiseman</v>
      </c>
      <c r="D861" s="233" t="str">
        <f>_xlfn.XLOOKUP(B861, 'Component Masterlist v2'!A:A, 'Component Masterlist v2'!E:E, "Not found")</f>
        <v>Vaibhav Saini</v>
      </c>
    </row>
    <row r="862" spans="1:4">
      <c r="A862" s="226" t="s">
        <v>2954</v>
      </c>
      <c r="B862" s="227" t="s">
        <v>82</v>
      </c>
      <c r="C862" s="233" t="str">
        <f>_xlfn.XLOOKUP(B862, 'Component Masterlist v2'!A:A, 'Component Masterlist v2'!G:G, "Not found")</f>
        <v>Ved Singh</v>
      </c>
      <c r="D862" s="233" t="str">
        <f>_xlfn.XLOOKUP(B862, 'Component Masterlist v2'!A:A, 'Component Masterlist v2'!E:E, "Not found")</f>
        <v>Arun Gangadhar</v>
      </c>
    </row>
    <row r="863" spans="1:4">
      <c r="A863" s="226" t="s">
        <v>2955</v>
      </c>
      <c r="B863" s="227" t="s">
        <v>11</v>
      </c>
      <c r="C863" s="233" t="str">
        <f>_xlfn.XLOOKUP(B863, 'Component Masterlist v2'!A:A, 'Component Masterlist v2'!G:G, "Not found")</f>
        <v>Keith Wiseman</v>
      </c>
      <c r="D863" s="233" t="str">
        <f>_xlfn.XLOOKUP(B863, 'Component Masterlist v2'!A:A, 'Component Masterlist v2'!E:E, "Not found")</f>
        <v>Vaibhav Saini</v>
      </c>
    </row>
    <row r="864" spans="1:4">
      <c r="A864" s="226" t="s">
        <v>2956</v>
      </c>
      <c r="B864" s="227" t="s">
        <v>11</v>
      </c>
      <c r="C864" s="233" t="str">
        <f>_xlfn.XLOOKUP(B864, 'Component Masterlist v2'!A:A, 'Component Masterlist v2'!G:G, "Not found")</f>
        <v>Keith Wiseman</v>
      </c>
      <c r="D864" s="233" t="str">
        <f>_xlfn.XLOOKUP(B864, 'Component Masterlist v2'!A:A, 'Component Masterlist v2'!E:E, "Not found")</f>
        <v>Vaibhav Saini</v>
      </c>
    </row>
    <row r="865" spans="1:4">
      <c r="A865" s="226" t="s">
        <v>2957</v>
      </c>
      <c r="B865" s="227" t="s">
        <v>11</v>
      </c>
      <c r="C865" s="233" t="str">
        <f>_xlfn.XLOOKUP(B865, 'Component Masterlist v2'!A:A, 'Component Masterlist v2'!G:G, "Not found")</f>
        <v>Keith Wiseman</v>
      </c>
      <c r="D865" s="233" t="str">
        <f>_xlfn.XLOOKUP(B865, 'Component Masterlist v2'!A:A, 'Component Masterlist v2'!E:E, "Not found")</f>
        <v>Vaibhav Saini</v>
      </c>
    </row>
    <row r="866" spans="1:4">
      <c r="A866" s="226" t="s">
        <v>2958</v>
      </c>
      <c r="B866" s="227" t="s">
        <v>11</v>
      </c>
      <c r="C866" s="233" t="str">
        <f>_xlfn.XLOOKUP(B866, 'Component Masterlist v2'!A:A, 'Component Masterlist v2'!G:G, "Not found")</f>
        <v>Keith Wiseman</v>
      </c>
      <c r="D866" s="233" t="str">
        <f>_xlfn.XLOOKUP(B866, 'Component Masterlist v2'!A:A, 'Component Masterlist v2'!E:E, "Not found")</f>
        <v>Vaibhav Saini</v>
      </c>
    </row>
    <row r="867" spans="1:4">
      <c r="A867" s="226" t="s">
        <v>2959</v>
      </c>
      <c r="B867" s="227" t="s">
        <v>28</v>
      </c>
      <c r="C867" s="233" t="str">
        <f>_xlfn.XLOOKUP(B867, 'Component Masterlist v2'!A:A, 'Component Masterlist v2'!G:G, "Not found")</f>
        <v>Raghu Edalur</v>
      </c>
      <c r="D867" s="233" t="str">
        <f>_xlfn.XLOOKUP(B867, 'Component Masterlist v2'!A:A, 'Component Masterlist v2'!E:E, "Not found")</f>
        <v>Parul Jain</v>
      </c>
    </row>
    <row r="868" spans="1:4">
      <c r="A868" s="226" t="s">
        <v>2960</v>
      </c>
      <c r="B868" s="227" t="s">
        <v>11</v>
      </c>
      <c r="C868" s="233" t="str">
        <f>_xlfn.XLOOKUP(B868, 'Component Masterlist v2'!A:A, 'Component Masterlist v2'!G:G, "Not found")</f>
        <v>Keith Wiseman</v>
      </c>
      <c r="D868" s="233" t="str">
        <f>_xlfn.XLOOKUP(B868, 'Component Masterlist v2'!A:A, 'Component Masterlist v2'!E:E, "Not found")</f>
        <v>Vaibhav Saini</v>
      </c>
    </row>
    <row r="869" spans="1:4">
      <c r="A869" s="226" t="s">
        <v>2961</v>
      </c>
      <c r="B869" s="227" t="s">
        <v>28</v>
      </c>
      <c r="C869" s="233" t="str">
        <f>_xlfn.XLOOKUP(B869, 'Component Masterlist v2'!A:A, 'Component Masterlist v2'!G:G, "Not found")</f>
        <v>Raghu Edalur</v>
      </c>
      <c r="D869" s="233" t="str">
        <f>_xlfn.XLOOKUP(B869, 'Component Masterlist v2'!A:A, 'Component Masterlist v2'!E:E, "Not found")</f>
        <v>Parul Jain</v>
      </c>
    </row>
    <row r="870" spans="1:4">
      <c r="A870" s="226" t="s">
        <v>2962</v>
      </c>
      <c r="B870" s="227" t="s">
        <v>28</v>
      </c>
      <c r="C870" s="233" t="str">
        <f>_xlfn.XLOOKUP(B870, 'Component Masterlist v2'!A:A, 'Component Masterlist v2'!G:G, "Not found")</f>
        <v>Raghu Edalur</v>
      </c>
      <c r="D870" s="233" t="str">
        <f>_xlfn.XLOOKUP(B870, 'Component Masterlist v2'!A:A, 'Component Masterlist v2'!E:E, "Not found")</f>
        <v>Parul Jain</v>
      </c>
    </row>
    <row r="871" spans="1:4">
      <c r="A871" s="226" t="s">
        <v>2963</v>
      </c>
      <c r="B871" s="227" t="s">
        <v>28</v>
      </c>
      <c r="C871" s="233" t="str">
        <f>_xlfn.XLOOKUP(B871, 'Component Masterlist v2'!A:A, 'Component Masterlist v2'!G:G, "Not found")</f>
        <v>Raghu Edalur</v>
      </c>
      <c r="D871" s="233" t="str">
        <f>_xlfn.XLOOKUP(B871, 'Component Masterlist v2'!A:A, 'Component Masterlist v2'!E:E, "Not found")</f>
        <v>Parul Jain</v>
      </c>
    </row>
    <row r="872" spans="1:4">
      <c r="A872" s="226" t="s">
        <v>2964</v>
      </c>
      <c r="B872" s="227" t="s">
        <v>11</v>
      </c>
      <c r="C872" s="233" t="str">
        <f>_xlfn.XLOOKUP(B872, 'Component Masterlist v2'!A:A, 'Component Masterlist v2'!G:G, "Not found")</f>
        <v>Keith Wiseman</v>
      </c>
      <c r="D872" s="233" t="str">
        <f>_xlfn.XLOOKUP(B872, 'Component Masterlist v2'!A:A, 'Component Masterlist v2'!E:E, "Not found")</f>
        <v>Vaibhav Saini</v>
      </c>
    </row>
    <row r="873" spans="1:4">
      <c r="A873" s="226" t="s">
        <v>2965</v>
      </c>
      <c r="B873" s="227" t="s">
        <v>45</v>
      </c>
      <c r="C873" s="233" t="str">
        <f>_xlfn.XLOOKUP(B873, 'Component Masterlist v2'!A:A, 'Component Masterlist v2'!G:G, "Not found")</f>
        <v>Sanyam Agrawal</v>
      </c>
      <c r="D873" s="233" t="str">
        <f>_xlfn.XLOOKUP(B873, 'Component Masterlist v2'!A:A, 'Component Masterlist v2'!E:E, "Not found")</f>
        <v>Ambuj Mehra</v>
      </c>
    </row>
    <row r="874" spans="1:4">
      <c r="A874" s="226" t="s">
        <v>2966</v>
      </c>
      <c r="B874" s="227" t="s">
        <v>45</v>
      </c>
      <c r="C874" s="233" t="str">
        <f>_xlfn.XLOOKUP(B874, 'Component Masterlist v2'!A:A, 'Component Masterlist v2'!G:G, "Not found")</f>
        <v>Sanyam Agrawal</v>
      </c>
      <c r="D874" s="233" t="str">
        <f>_xlfn.XLOOKUP(B874, 'Component Masterlist v2'!A:A, 'Component Masterlist v2'!E:E, "Not found")</f>
        <v>Ambuj Mehra</v>
      </c>
    </row>
    <row r="875" spans="1:4">
      <c r="A875" s="226" t="s">
        <v>2967</v>
      </c>
      <c r="B875" s="227" t="s">
        <v>45</v>
      </c>
      <c r="C875" s="233" t="str">
        <f>_xlfn.XLOOKUP(B875, 'Component Masterlist v2'!A:A, 'Component Masterlist v2'!G:G, "Not found")</f>
        <v>Sanyam Agrawal</v>
      </c>
      <c r="D875" s="233" t="str">
        <f>_xlfn.XLOOKUP(B875, 'Component Masterlist v2'!A:A, 'Component Masterlist v2'!E:E, "Not found")</f>
        <v>Ambuj Mehra</v>
      </c>
    </row>
    <row r="876" spans="1:4">
      <c r="A876" s="226" t="s">
        <v>2968</v>
      </c>
      <c r="B876" s="227" t="s">
        <v>28</v>
      </c>
      <c r="C876" s="233" t="str">
        <f>_xlfn.XLOOKUP(B876, 'Component Masterlist v2'!A:A, 'Component Masterlist v2'!G:G, "Not found")</f>
        <v>Raghu Edalur</v>
      </c>
      <c r="D876" s="233" t="str">
        <f>_xlfn.XLOOKUP(B876, 'Component Masterlist v2'!A:A, 'Component Masterlist v2'!E:E, "Not found")</f>
        <v>Parul Jain</v>
      </c>
    </row>
    <row r="877" spans="1:4">
      <c r="A877" s="226" t="s">
        <v>2969</v>
      </c>
      <c r="B877" s="227" t="s">
        <v>45</v>
      </c>
      <c r="C877" s="233" t="str">
        <f>_xlfn.XLOOKUP(B877, 'Component Masterlist v2'!A:A, 'Component Masterlist v2'!G:G, "Not found")</f>
        <v>Sanyam Agrawal</v>
      </c>
      <c r="D877" s="233" t="str">
        <f>_xlfn.XLOOKUP(B877, 'Component Masterlist v2'!A:A, 'Component Masterlist v2'!E:E, "Not found")</f>
        <v>Ambuj Mehra</v>
      </c>
    </row>
    <row r="878" spans="1:4">
      <c r="A878" s="226" t="s">
        <v>2970</v>
      </c>
      <c r="B878" s="227" t="s">
        <v>13</v>
      </c>
      <c r="C878" s="233" t="str">
        <f>_xlfn.XLOOKUP(B878, 'Component Masterlist v2'!A:A, 'Component Masterlist v2'!G:G, "Not found")</f>
        <v>Keith Wiseman</v>
      </c>
      <c r="D878" s="233" t="str">
        <f>_xlfn.XLOOKUP(B878, 'Component Masterlist v2'!A:A, 'Component Masterlist v2'!E:E, "Not found")</f>
        <v>Vaibhav Saini</v>
      </c>
    </row>
    <row r="879" spans="1:4">
      <c r="A879" s="226" t="s">
        <v>2971</v>
      </c>
      <c r="B879" s="227" t="s">
        <v>45</v>
      </c>
      <c r="C879" s="233" t="str">
        <f>_xlfn.XLOOKUP(B879, 'Component Masterlist v2'!A:A, 'Component Masterlist v2'!G:G, "Not found")</f>
        <v>Sanyam Agrawal</v>
      </c>
      <c r="D879" s="233" t="str">
        <f>_xlfn.XLOOKUP(B879, 'Component Masterlist v2'!A:A, 'Component Masterlist v2'!E:E, "Not found")</f>
        <v>Ambuj Mehra</v>
      </c>
    </row>
    <row r="880" spans="1:4">
      <c r="A880" s="226" t="s">
        <v>2972</v>
      </c>
      <c r="B880" s="227" t="s">
        <v>45</v>
      </c>
      <c r="C880" s="233" t="str">
        <f>_xlfn.XLOOKUP(B880, 'Component Masterlist v2'!A:A, 'Component Masterlist v2'!G:G, "Not found")</f>
        <v>Sanyam Agrawal</v>
      </c>
      <c r="D880" s="233" t="str">
        <f>_xlfn.XLOOKUP(B880, 'Component Masterlist v2'!A:A, 'Component Masterlist v2'!E:E, "Not found")</f>
        <v>Ambuj Mehra</v>
      </c>
    </row>
    <row r="881" spans="1:4">
      <c r="A881" s="226" t="s">
        <v>2973</v>
      </c>
      <c r="B881" s="227" t="s">
        <v>45</v>
      </c>
      <c r="C881" s="233" t="str">
        <f>_xlfn.XLOOKUP(B881, 'Component Masterlist v2'!A:A, 'Component Masterlist v2'!G:G, "Not found")</f>
        <v>Sanyam Agrawal</v>
      </c>
      <c r="D881" s="233" t="str">
        <f>_xlfn.XLOOKUP(B881, 'Component Masterlist v2'!A:A, 'Component Masterlist v2'!E:E, "Not found")</f>
        <v>Ambuj Mehra</v>
      </c>
    </row>
    <row r="882" spans="1:4">
      <c r="A882" s="226" t="s">
        <v>2974</v>
      </c>
      <c r="B882" s="227" t="s">
        <v>45</v>
      </c>
      <c r="C882" s="233" t="str">
        <f>_xlfn.XLOOKUP(B882, 'Component Masterlist v2'!A:A, 'Component Masterlist v2'!G:G, "Not found")</f>
        <v>Sanyam Agrawal</v>
      </c>
      <c r="D882" s="233" t="str">
        <f>_xlfn.XLOOKUP(B882, 'Component Masterlist v2'!A:A, 'Component Masterlist v2'!E:E, "Not found")</f>
        <v>Ambuj Mehra</v>
      </c>
    </row>
    <row r="883" spans="1:4">
      <c r="A883" s="226" t="s">
        <v>2975</v>
      </c>
      <c r="B883" s="227" t="s">
        <v>45</v>
      </c>
      <c r="C883" s="233" t="str">
        <f>_xlfn.XLOOKUP(B883, 'Component Masterlist v2'!A:A, 'Component Masterlist v2'!G:G, "Not found")</f>
        <v>Sanyam Agrawal</v>
      </c>
      <c r="D883" s="233" t="str">
        <f>_xlfn.XLOOKUP(B883, 'Component Masterlist v2'!A:A, 'Component Masterlist v2'!E:E, "Not found")</f>
        <v>Ambuj Mehra</v>
      </c>
    </row>
    <row r="884" spans="1:4">
      <c r="A884" s="226" t="s">
        <v>2976</v>
      </c>
      <c r="B884" s="227" t="s">
        <v>13</v>
      </c>
      <c r="C884" s="233" t="str">
        <f>_xlfn.XLOOKUP(B884, 'Component Masterlist v2'!A:A, 'Component Masterlist v2'!G:G, "Not found")</f>
        <v>Keith Wiseman</v>
      </c>
      <c r="D884" s="233" t="str">
        <f>_xlfn.XLOOKUP(B884, 'Component Masterlist v2'!A:A, 'Component Masterlist v2'!E:E, "Not found")</f>
        <v>Vaibhav Saini</v>
      </c>
    </row>
    <row r="885" spans="1:4">
      <c r="A885" s="226" t="s">
        <v>2977</v>
      </c>
      <c r="B885" s="227" t="s">
        <v>28</v>
      </c>
      <c r="C885" s="233" t="str">
        <f>_xlfn.XLOOKUP(B885, 'Component Masterlist v2'!A:A, 'Component Masterlist v2'!G:G, "Not found")</f>
        <v>Raghu Edalur</v>
      </c>
      <c r="D885" s="233" t="str">
        <f>_xlfn.XLOOKUP(B885, 'Component Masterlist v2'!A:A, 'Component Masterlist v2'!E:E, "Not found")</f>
        <v>Parul Jain</v>
      </c>
    </row>
    <row r="886" spans="1:4">
      <c r="A886" s="226" t="s">
        <v>2978</v>
      </c>
      <c r="B886" s="227" t="s">
        <v>45</v>
      </c>
      <c r="C886" s="233" t="str">
        <f>_xlfn.XLOOKUP(B886, 'Component Masterlist v2'!A:A, 'Component Masterlist v2'!G:G, "Not found")</f>
        <v>Sanyam Agrawal</v>
      </c>
      <c r="D886" s="233" t="str">
        <f>_xlfn.XLOOKUP(B886, 'Component Masterlist v2'!A:A, 'Component Masterlist v2'!E:E, "Not found")</f>
        <v>Ambuj Mehra</v>
      </c>
    </row>
    <row r="887" spans="1:4">
      <c r="A887" s="226" t="s">
        <v>2979</v>
      </c>
      <c r="B887" s="227" t="s">
        <v>28</v>
      </c>
      <c r="C887" s="233" t="str">
        <f>_xlfn.XLOOKUP(B887, 'Component Masterlist v2'!A:A, 'Component Masterlist v2'!G:G, "Not found")</f>
        <v>Raghu Edalur</v>
      </c>
      <c r="D887" s="233" t="str">
        <f>_xlfn.XLOOKUP(B887, 'Component Masterlist v2'!A:A, 'Component Masterlist v2'!E:E, "Not found")</f>
        <v>Parul Jain</v>
      </c>
    </row>
    <row r="888" spans="1:4">
      <c r="A888" s="226" t="s">
        <v>2980</v>
      </c>
      <c r="B888" s="227" t="s">
        <v>11</v>
      </c>
      <c r="C888" s="233" t="str">
        <f>_xlfn.XLOOKUP(B888, 'Component Masterlist v2'!A:A, 'Component Masterlist v2'!G:G, "Not found")</f>
        <v>Keith Wiseman</v>
      </c>
      <c r="D888" s="233" t="str">
        <f>_xlfn.XLOOKUP(B888, 'Component Masterlist v2'!A:A, 'Component Masterlist v2'!E:E, "Not found")</f>
        <v>Vaibhav Saini</v>
      </c>
    </row>
    <row r="889" spans="1:4">
      <c r="A889" s="226" t="s">
        <v>2981</v>
      </c>
      <c r="B889" s="227" t="s">
        <v>82</v>
      </c>
      <c r="C889" s="233" t="str">
        <f>_xlfn.XLOOKUP(B889, 'Component Masterlist v2'!A:A, 'Component Masterlist v2'!G:G, "Not found")</f>
        <v>Ved Singh</v>
      </c>
      <c r="D889" s="233" t="str">
        <f>_xlfn.XLOOKUP(B889, 'Component Masterlist v2'!A:A, 'Component Masterlist v2'!E:E, "Not found")</f>
        <v>Arun Gangadhar</v>
      </c>
    </row>
    <row r="890" spans="1:4">
      <c r="A890" s="226" t="s">
        <v>2982</v>
      </c>
      <c r="B890" s="227" t="s">
        <v>45</v>
      </c>
      <c r="C890" s="233" t="str">
        <f>_xlfn.XLOOKUP(B890, 'Component Masterlist v2'!A:A, 'Component Masterlist v2'!G:G, "Not found")</f>
        <v>Sanyam Agrawal</v>
      </c>
      <c r="D890" s="233" t="str">
        <f>_xlfn.XLOOKUP(B890, 'Component Masterlist v2'!A:A, 'Component Masterlist v2'!E:E, "Not found")</f>
        <v>Ambuj Mehra</v>
      </c>
    </row>
    <row r="891" spans="1:4">
      <c r="A891" s="226" t="s">
        <v>2983</v>
      </c>
      <c r="B891" s="227" t="s">
        <v>45</v>
      </c>
      <c r="C891" s="233" t="str">
        <f>_xlfn.XLOOKUP(B891, 'Component Masterlist v2'!A:A, 'Component Masterlist v2'!G:G, "Not found")</f>
        <v>Sanyam Agrawal</v>
      </c>
      <c r="D891" s="233" t="str">
        <f>_xlfn.XLOOKUP(B891, 'Component Masterlist v2'!A:A, 'Component Masterlist v2'!E:E, "Not found")</f>
        <v>Ambuj Mehra</v>
      </c>
    </row>
    <row r="892" spans="1:4">
      <c r="A892" s="226" t="s">
        <v>2984</v>
      </c>
      <c r="B892" s="227" t="s">
        <v>28</v>
      </c>
      <c r="C892" s="233" t="str">
        <f>_xlfn.XLOOKUP(B892, 'Component Masterlist v2'!A:A, 'Component Masterlist v2'!G:G, "Not found")</f>
        <v>Raghu Edalur</v>
      </c>
      <c r="D892" s="233" t="str">
        <f>_xlfn.XLOOKUP(B892, 'Component Masterlist v2'!A:A, 'Component Masterlist v2'!E:E, "Not found")</f>
        <v>Parul Jain</v>
      </c>
    </row>
    <row r="893" spans="1:4">
      <c r="A893" s="226" t="s">
        <v>2985</v>
      </c>
      <c r="B893" s="227" t="s">
        <v>45</v>
      </c>
      <c r="C893" s="233" t="str">
        <f>_xlfn.XLOOKUP(B893, 'Component Masterlist v2'!A:A, 'Component Masterlist v2'!G:G, "Not found")</f>
        <v>Sanyam Agrawal</v>
      </c>
      <c r="D893" s="233" t="str">
        <f>_xlfn.XLOOKUP(B893, 'Component Masterlist v2'!A:A, 'Component Masterlist v2'!E:E, "Not found")</f>
        <v>Ambuj Mehra</v>
      </c>
    </row>
    <row r="894" spans="1:4">
      <c r="A894" s="226" t="s">
        <v>2986</v>
      </c>
      <c r="B894" s="227" t="s">
        <v>13</v>
      </c>
      <c r="C894" s="233" t="str">
        <f>_xlfn.XLOOKUP(B894, 'Component Masterlist v2'!A:A, 'Component Masterlist v2'!G:G, "Not found")</f>
        <v>Keith Wiseman</v>
      </c>
      <c r="D894" s="233" t="str">
        <f>_xlfn.XLOOKUP(B894, 'Component Masterlist v2'!A:A, 'Component Masterlist v2'!E:E, "Not found")</f>
        <v>Vaibhav Saini</v>
      </c>
    </row>
    <row r="895" spans="1:4">
      <c r="A895" s="226" t="s">
        <v>2987</v>
      </c>
      <c r="B895" s="227" t="s">
        <v>13</v>
      </c>
      <c r="C895" s="233" t="str">
        <f>_xlfn.XLOOKUP(B895, 'Component Masterlist v2'!A:A, 'Component Masterlist v2'!G:G, "Not found")</f>
        <v>Keith Wiseman</v>
      </c>
      <c r="D895" s="233" t="str">
        <f>_xlfn.XLOOKUP(B895, 'Component Masterlist v2'!A:A, 'Component Masterlist v2'!E:E, "Not found")</f>
        <v>Vaibhav Saini</v>
      </c>
    </row>
    <row r="896" spans="1:4">
      <c r="A896" s="226" t="s">
        <v>2988</v>
      </c>
      <c r="B896" s="227" t="s">
        <v>11</v>
      </c>
      <c r="C896" s="233" t="str">
        <f>_xlfn.XLOOKUP(B896, 'Component Masterlist v2'!A:A, 'Component Masterlist v2'!G:G, "Not found")</f>
        <v>Keith Wiseman</v>
      </c>
      <c r="D896" s="233" t="str">
        <f>_xlfn.XLOOKUP(B896, 'Component Masterlist v2'!A:A, 'Component Masterlist v2'!E:E, "Not found")</f>
        <v>Vaibhav Saini</v>
      </c>
    </row>
    <row r="897" spans="1:4">
      <c r="A897" s="226" t="s">
        <v>2989</v>
      </c>
      <c r="B897" s="227" t="s">
        <v>11</v>
      </c>
      <c r="C897" s="233" t="str">
        <f>_xlfn.XLOOKUP(B897, 'Component Masterlist v2'!A:A, 'Component Masterlist v2'!G:G, "Not found")</f>
        <v>Keith Wiseman</v>
      </c>
      <c r="D897" s="233" t="str">
        <f>_xlfn.XLOOKUP(B897, 'Component Masterlist v2'!A:A, 'Component Masterlist v2'!E:E, "Not found")</f>
        <v>Vaibhav Saini</v>
      </c>
    </row>
    <row r="898" spans="1:4">
      <c r="A898" s="226" t="s">
        <v>2990</v>
      </c>
      <c r="B898" s="227" t="s">
        <v>45</v>
      </c>
      <c r="C898" s="233" t="str">
        <f>_xlfn.XLOOKUP(B898, 'Component Masterlist v2'!A:A, 'Component Masterlist v2'!G:G, "Not found")</f>
        <v>Sanyam Agrawal</v>
      </c>
      <c r="D898" s="233" t="str">
        <f>_xlfn.XLOOKUP(B898, 'Component Masterlist v2'!A:A, 'Component Masterlist v2'!E:E, "Not found")</f>
        <v>Ambuj Mehra</v>
      </c>
    </row>
    <row r="899" spans="1:4">
      <c r="A899" s="226" t="s">
        <v>2991</v>
      </c>
      <c r="B899" s="227" t="s">
        <v>15</v>
      </c>
      <c r="C899" s="233" t="str">
        <f>_xlfn.XLOOKUP(B899, 'Component Masterlist v2'!A:A, 'Component Masterlist v2'!G:G, "Not found")</f>
        <v>Keith Wiseman</v>
      </c>
      <c r="D899" s="233" t="str">
        <f>_xlfn.XLOOKUP(B899, 'Component Masterlist v2'!A:A, 'Component Masterlist v2'!E:E, "Not found")</f>
        <v>Bobby Alexander</v>
      </c>
    </row>
    <row r="900" spans="1:4">
      <c r="A900" s="226" t="s">
        <v>2992</v>
      </c>
      <c r="B900" s="227" t="s">
        <v>45</v>
      </c>
      <c r="C900" s="233" t="str">
        <f>_xlfn.XLOOKUP(B900, 'Component Masterlist v2'!A:A, 'Component Masterlist v2'!G:G, "Not found")</f>
        <v>Sanyam Agrawal</v>
      </c>
      <c r="D900" s="233" t="str">
        <f>_xlfn.XLOOKUP(B900, 'Component Masterlist v2'!A:A, 'Component Masterlist v2'!E:E, "Not found")</f>
        <v>Ambuj Mehra</v>
      </c>
    </row>
    <row r="901" spans="1:4">
      <c r="A901" s="226" t="s">
        <v>2993</v>
      </c>
      <c r="B901" s="227" t="s">
        <v>45</v>
      </c>
      <c r="C901" s="233" t="str">
        <f>_xlfn.XLOOKUP(B901, 'Component Masterlist v2'!A:A, 'Component Masterlist v2'!G:G, "Not found")</f>
        <v>Sanyam Agrawal</v>
      </c>
      <c r="D901" s="233" t="str">
        <f>_xlfn.XLOOKUP(B901, 'Component Masterlist v2'!A:A, 'Component Masterlist v2'!E:E, "Not found")</f>
        <v>Ambuj Mehra</v>
      </c>
    </row>
    <row r="902" spans="1:4">
      <c r="A902" s="226" t="s">
        <v>2994</v>
      </c>
      <c r="B902" s="227" t="s">
        <v>28</v>
      </c>
      <c r="C902" s="233" t="str">
        <f>_xlfn.XLOOKUP(B902, 'Component Masterlist v2'!A:A, 'Component Masterlist v2'!G:G, "Not found")</f>
        <v>Raghu Edalur</v>
      </c>
      <c r="D902" s="233" t="str">
        <f>_xlfn.XLOOKUP(B902, 'Component Masterlist v2'!A:A, 'Component Masterlist v2'!E:E, "Not found")</f>
        <v>Parul Jain</v>
      </c>
    </row>
    <row r="903" spans="1:4">
      <c r="A903" s="226" t="s">
        <v>2995</v>
      </c>
      <c r="B903" s="227" t="s">
        <v>45</v>
      </c>
      <c r="C903" s="233" t="str">
        <f>_xlfn.XLOOKUP(B903, 'Component Masterlist v2'!A:A, 'Component Masterlist v2'!G:G, "Not found")</f>
        <v>Sanyam Agrawal</v>
      </c>
      <c r="D903" s="233" t="str">
        <f>_xlfn.XLOOKUP(B903, 'Component Masterlist v2'!A:A, 'Component Masterlist v2'!E:E, "Not found")</f>
        <v>Ambuj Mehra</v>
      </c>
    </row>
    <row r="904" spans="1:4">
      <c r="A904" s="226" t="s">
        <v>2996</v>
      </c>
      <c r="B904" s="227" t="s">
        <v>11</v>
      </c>
      <c r="C904" s="233" t="str">
        <f>_xlfn.XLOOKUP(B904, 'Component Masterlist v2'!A:A, 'Component Masterlist v2'!G:G, "Not found")</f>
        <v>Keith Wiseman</v>
      </c>
      <c r="D904" s="233" t="str">
        <f>_xlfn.XLOOKUP(B904, 'Component Masterlist v2'!A:A, 'Component Masterlist v2'!E:E, "Not found")</f>
        <v>Vaibhav Saini</v>
      </c>
    </row>
    <row r="905" spans="1:4">
      <c r="A905" s="226" t="s">
        <v>2997</v>
      </c>
      <c r="B905" s="227" t="s">
        <v>28</v>
      </c>
      <c r="C905" s="233" t="str">
        <f>_xlfn.XLOOKUP(B905, 'Component Masterlist v2'!A:A, 'Component Masterlist v2'!G:G, "Not found")</f>
        <v>Raghu Edalur</v>
      </c>
      <c r="D905" s="233" t="str">
        <f>_xlfn.XLOOKUP(B905, 'Component Masterlist v2'!A:A, 'Component Masterlist v2'!E:E, "Not found")</f>
        <v>Parul Jain</v>
      </c>
    </row>
    <row r="906" spans="1:4">
      <c r="A906" s="226" t="s">
        <v>2998</v>
      </c>
      <c r="B906" s="227" t="s">
        <v>45</v>
      </c>
      <c r="C906" s="233" t="str">
        <f>_xlfn.XLOOKUP(B906, 'Component Masterlist v2'!A:A, 'Component Masterlist v2'!G:G, "Not found")</f>
        <v>Sanyam Agrawal</v>
      </c>
      <c r="D906" s="233" t="str">
        <f>_xlfn.XLOOKUP(B906, 'Component Masterlist v2'!A:A, 'Component Masterlist v2'!E:E, "Not found")</f>
        <v>Ambuj Mehra</v>
      </c>
    </row>
    <row r="907" spans="1:4">
      <c r="A907" s="226" t="s">
        <v>2999</v>
      </c>
      <c r="B907" s="227" t="s">
        <v>45</v>
      </c>
      <c r="C907" s="233" t="str">
        <f>_xlfn.XLOOKUP(B907, 'Component Masterlist v2'!A:A, 'Component Masterlist v2'!G:G, "Not found")</f>
        <v>Sanyam Agrawal</v>
      </c>
      <c r="D907" s="233" t="str">
        <f>_xlfn.XLOOKUP(B907, 'Component Masterlist v2'!A:A, 'Component Masterlist v2'!E:E, "Not found")</f>
        <v>Ambuj Mehra</v>
      </c>
    </row>
    <row r="908" spans="1:4">
      <c r="A908" s="226" t="s">
        <v>3000</v>
      </c>
      <c r="B908" s="227" t="s">
        <v>13</v>
      </c>
      <c r="C908" s="233" t="str">
        <f>_xlfn.XLOOKUP(B908, 'Component Masterlist v2'!A:A, 'Component Masterlist v2'!G:G, "Not found")</f>
        <v>Keith Wiseman</v>
      </c>
      <c r="D908" s="233" t="str">
        <f>_xlfn.XLOOKUP(B908, 'Component Masterlist v2'!A:A, 'Component Masterlist v2'!E:E, "Not found")</f>
        <v>Vaibhav Saini</v>
      </c>
    </row>
    <row r="909" spans="1:4">
      <c r="A909" s="226" t="s">
        <v>3001</v>
      </c>
      <c r="B909" s="227" t="s">
        <v>45</v>
      </c>
      <c r="C909" s="233" t="str">
        <f>_xlfn.XLOOKUP(B909, 'Component Masterlist v2'!A:A, 'Component Masterlist v2'!G:G, "Not found")</f>
        <v>Sanyam Agrawal</v>
      </c>
      <c r="D909" s="233" t="str">
        <f>_xlfn.XLOOKUP(B909, 'Component Masterlist v2'!A:A, 'Component Masterlist v2'!E:E, "Not found")</f>
        <v>Ambuj Mehra</v>
      </c>
    </row>
    <row r="910" spans="1:4">
      <c r="A910" s="226" t="s">
        <v>3002</v>
      </c>
      <c r="B910" s="227" t="s">
        <v>15</v>
      </c>
      <c r="C910" s="233" t="str">
        <f>_xlfn.XLOOKUP(B910, 'Component Masterlist v2'!A:A, 'Component Masterlist v2'!G:G, "Not found")</f>
        <v>Keith Wiseman</v>
      </c>
      <c r="D910" s="233" t="str">
        <f>_xlfn.XLOOKUP(B910, 'Component Masterlist v2'!A:A, 'Component Masterlist v2'!E:E, "Not found")</f>
        <v>Bobby Alexander</v>
      </c>
    </row>
    <row r="911" spans="1:4">
      <c r="A911" s="226" t="s">
        <v>3003</v>
      </c>
      <c r="B911" s="227" t="s">
        <v>13</v>
      </c>
      <c r="C911" s="233" t="str">
        <f>_xlfn.XLOOKUP(B911, 'Component Masterlist v2'!A:A, 'Component Masterlist v2'!G:G, "Not found")</f>
        <v>Keith Wiseman</v>
      </c>
      <c r="D911" s="233" t="str">
        <f>_xlfn.XLOOKUP(B911, 'Component Masterlist v2'!A:A, 'Component Masterlist v2'!E:E, "Not found")</f>
        <v>Vaibhav Saini</v>
      </c>
    </row>
    <row r="912" spans="1:4">
      <c r="A912" s="226" t="s">
        <v>3004</v>
      </c>
      <c r="B912" s="227" t="s">
        <v>45</v>
      </c>
      <c r="C912" s="233" t="str">
        <f>_xlfn.XLOOKUP(B912, 'Component Masterlist v2'!A:A, 'Component Masterlist v2'!G:G, "Not found")</f>
        <v>Sanyam Agrawal</v>
      </c>
      <c r="D912" s="233" t="str">
        <f>_xlfn.XLOOKUP(B912, 'Component Masterlist v2'!A:A, 'Component Masterlist v2'!E:E, "Not found")</f>
        <v>Ambuj Mehra</v>
      </c>
    </row>
    <row r="913" spans="1:4">
      <c r="A913" s="226" t="s">
        <v>3005</v>
      </c>
      <c r="B913" s="227" t="s">
        <v>40</v>
      </c>
      <c r="C913" s="233" t="str">
        <f>_xlfn.XLOOKUP(B913, 'Component Masterlist v2'!A:A, 'Component Masterlist v2'!G:G, "Not found")</f>
        <v>Santosh Golecha</v>
      </c>
      <c r="D913" s="233" t="str">
        <f>_xlfn.XLOOKUP(B913, 'Component Masterlist v2'!A:A, 'Component Masterlist v2'!E:E, "Not found")</f>
        <v>Ankur Agarwal</v>
      </c>
    </row>
    <row r="914" spans="1:4">
      <c r="A914" s="226" t="s">
        <v>3006</v>
      </c>
      <c r="B914" s="227" t="s">
        <v>11</v>
      </c>
      <c r="C914" s="233" t="str">
        <f>_xlfn.XLOOKUP(B914, 'Component Masterlist v2'!A:A, 'Component Masterlist v2'!G:G, "Not found")</f>
        <v>Keith Wiseman</v>
      </c>
      <c r="D914" s="233" t="str">
        <f>_xlfn.XLOOKUP(B914, 'Component Masterlist v2'!A:A, 'Component Masterlist v2'!E:E, "Not found")</f>
        <v>Vaibhav Saini</v>
      </c>
    </row>
    <row r="915" spans="1:4">
      <c r="A915" s="226" t="s">
        <v>3007</v>
      </c>
      <c r="B915" s="227" t="s">
        <v>15</v>
      </c>
      <c r="C915" s="233" t="str">
        <f>_xlfn.XLOOKUP(B915, 'Component Masterlist v2'!A:A, 'Component Masterlist v2'!G:G, "Not found")</f>
        <v>Keith Wiseman</v>
      </c>
      <c r="D915" s="233" t="str">
        <f>_xlfn.XLOOKUP(B915, 'Component Masterlist v2'!A:A, 'Component Masterlist v2'!E:E, "Not found")</f>
        <v>Bobby Alexander</v>
      </c>
    </row>
    <row r="916" spans="1:4">
      <c r="A916" s="226" t="s">
        <v>3008</v>
      </c>
      <c r="B916" s="227" t="s">
        <v>11</v>
      </c>
      <c r="C916" s="233" t="str">
        <f>_xlfn.XLOOKUP(B916, 'Component Masterlist v2'!A:A, 'Component Masterlist v2'!G:G, "Not found")</f>
        <v>Keith Wiseman</v>
      </c>
      <c r="D916" s="233" t="str">
        <f>_xlfn.XLOOKUP(B916, 'Component Masterlist v2'!A:A, 'Component Masterlist v2'!E:E, "Not found")</f>
        <v>Vaibhav Saini</v>
      </c>
    </row>
    <row r="917" spans="1:4">
      <c r="A917" s="226" t="s">
        <v>3009</v>
      </c>
      <c r="B917" s="227" t="s">
        <v>28</v>
      </c>
      <c r="C917" s="233" t="str">
        <f>_xlfn.XLOOKUP(B917, 'Component Masterlist v2'!A:A, 'Component Masterlist v2'!G:G, "Not found")</f>
        <v>Raghu Edalur</v>
      </c>
      <c r="D917" s="233" t="str">
        <f>_xlfn.XLOOKUP(B917, 'Component Masterlist v2'!A:A, 'Component Masterlist v2'!E:E, "Not found")</f>
        <v>Parul Jain</v>
      </c>
    </row>
    <row r="918" spans="1:4">
      <c r="A918" s="226" t="s">
        <v>3010</v>
      </c>
      <c r="B918" s="227" t="s">
        <v>45</v>
      </c>
      <c r="C918" s="233" t="str">
        <f>_xlfn.XLOOKUP(B918, 'Component Masterlist v2'!A:A, 'Component Masterlist v2'!G:G, "Not found")</f>
        <v>Sanyam Agrawal</v>
      </c>
      <c r="D918" s="233" t="str">
        <f>_xlfn.XLOOKUP(B918, 'Component Masterlist v2'!A:A, 'Component Masterlist v2'!E:E, "Not found")</f>
        <v>Ambuj Mehra</v>
      </c>
    </row>
    <row r="919" spans="1:4">
      <c r="A919" s="226" t="s">
        <v>3011</v>
      </c>
      <c r="B919" s="227" t="s">
        <v>45</v>
      </c>
      <c r="C919" s="233" t="str">
        <f>_xlfn.XLOOKUP(B919, 'Component Masterlist v2'!A:A, 'Component Masterlist v2'!G:G, "Not found")</f>
        <v>Sanyam Agrawal</v>
      </c>
      <c r="D919" s="233" t="str">
        <f>_xlfn.XLOOKUP(B919, 'Component Masterlist v2'!A:A, 'Component Masterlist v2'!E:E, "Not found")</f>
        <v>Ambuj Mehra</v>
      </c>
    </row>
    <row r="920" spans="1:4">
      <c r="A920" s="226" t="s">
        <v>3012</v>
      </c>
      <c r="B920" s="227" t="s">
        <v>13</v>
      </c>
      <c r="C920" s="233" t="str">
        <f>_xlfn.XLOOKUP(B920, 'Component Masterlist v2'!A:A, 'Component Masterlist v2'!G:G, "Not found")</f>
        <v>Keith Wiseman</v>
      </c>
      <c r="D920" s="233" t="str">
        <f>_xlfn.XLOOKUP(B920, 'Component Masterlist v2'!A:A, 'Component Masterlist v2'!E:E, "Not found")</f>
        <v>Vaibhav Saini</v>
      </c>
    </row>
    <row r="921" spans="1:4">
      <c r="A921" s="226" t="s">
        <v>3013</v>
      </c>
      <c r="B921" s="227" t="s">
        <v>28</v>
      </c>
      <c r="C921" s="233" t="str">
        <f>_xlfn.XLOOKUP(B921, 'Component Masterlist v2'!A:A, 'Component Masterlist v2'!G:G, "Not found")</f>
        <v>Raghu Edalur</v>
      </c>
      <c r="D921" s="233" t="str">
        <f>_xlfn.XLOOKUP(B921, 'Component Masterlist v2'!A:A, 'Component Masterlist v2'!E:E, "Not found")</f>
        <v>Parul Jain</v>
      </c>
    </row>
    <row r="922" spans="1:4">
      <c r="A922" s="226" t="s">
        <v>3014</v>
      </c>
      <c r="B922" s="227" t="s">
        <v>13</v>
      </c>
      <c r="C922" s="233" t="str">
        <f>_xlfn.XLOOKUP(B922, 'Component Masterlist v2'!A:A, 'Component Masterlist v2'!G:G, "Not found")</f>
        <v>Keith Wiseman</v>
      </c>
      <c r="D922" s="233" t="str">
        <f>_xlfn.XLOOKUP(B922, 'Component Masterlist v2'!A:A, 'Component Masterlist v2'!E:E, "Not found")</f>
        <v>Vaibhav Saini</v>
      </c>
    </row>
    <row r="923" spans="1:4">
      <c r="A923" s="226" t="s">
        <v>3015</v>
      </c>
      <c r="B923" s="227" t="s">
        <v>13</v>
      </c>
      <c r="C923" s="233" t="str">
        <f>_xlfn.XLOOKUP(B923, 'Component Masterlist v2'!A:A, 'Component Masterlist v2'!G:G, "Not found")</f>
        <v>Keith Wiseman</v>
      </c>
      <c r="D923" s="233" t="str">
        <f>_xlfn.XLOOKUP(B923, 'Component Masterlist v2'!A:A, 'Component Masterlist v2'!E:E, "Not found")</f>
        <v>Vaibhav Saini</v>
      </c>
    </row>
    <row r="924" spans="1:4">
      <c r="A924" s="226" t="s">
        <v>3016</v>
      </c>
      <c r="B924" s="227" t="s">
        <v>45</v>
      </c>
      <c r="C924" s="233" t="str">
        <f>_xlfn.XLOOKUP(B924, 'Component Masterlist v2'!A:A, 'Component Masterlist v2'!G:G, "Not found")</f>
        <v>Sanyam Agrawal</v>
      </c>
      <c r="D924" s="233" t="str">
        <f>_xlfn.XLOOKUP(B924, 'Component Masterlist v2'!A:A, 'Component Masterlist v2'!E:E, "Not found")</f>
        <v>Ambuj Mehra</v>
      </c>
    </row>
    <row r="925" spans="1:4">
      <c r="A925" s="226" t="s">
        <v>3017</v>
      </c>
      <c r="B925" s="227" t="s">
        <v>28</v>
      </c>
      <c r="C925" s="233" t="str">
        <f>_xlfn.XLOOKUP(B925, 'Component Masterlist v2'!A:A, 'Component Masterlist v2'!G:G, "Not found")</f>
        <v>Raghu Edalur</v>
      </c>
      <c r="D925" s="233" t="str">
        <f>_xlfn.XLOOKUP(B925, 'Component Masterlist v2'!A:A, 'Component Masterlist v2'!E:E, "Not found")</f>
        <v>Parul Jain</v>
      </c>
    </row>
    <row r="926" spans="1:4">
      <c r="A926" s="226" t="s">
        <v>3018</v>
      </c>
      <c r="B926" s="227" t="s">
        <v>15</v>
      </c>
      <c r="C926" s="233" t="str">
        <f>_xlfn.XLOOKUP(B926, 'Component Masterlist v2'!A:A, 'Component Masterlist v2'!G:G, "Not found")</f>
        <v>Keith Wiseman</v>
      </c>
      <c r="D926" s="233" t="str">
        <f>_xlfn.XLOOKUP(B926, 'Component Masterlist v2'!A:A, 'Component Masterlist v2'!E:E, "Not found")</f>
        <v>Bobby Alexander</v>
      </c>
    </row>
    <row r="927" spans="1:4">
      <c r="A927" s="226" t="s">
        <v>3019</v>
      </c>
      <c r="B927" s="227" t="s">
        <v>13</v>
      </c>
      <c r="C927" s="233" t="str">
        <f>_xlfn.XLOOKUP(B927, 'Component Masterlist v2'!A:A, 'Component Masterlist v2'!G:G, "Not found")</f>
        <v>Keith Wiseman</v>
      </c>
      <c r="D927" s="233" t="str">
        <f>_xlfn.XLOOKUP(B927, 'Component Masterlist v2'!A:A, 'Component Masterlist v2'!E:E, "Not found")</f>
        <v>Vaibhav Saini</v>
      </c>
    </row>
    <row r="928" spans="1:4">
      <c r="A928" s="226" t="s">
        <v>3020</v>
      </c>
      <c r="B928" s="227" t="s">
        <v>45</v>
      </c>
      <c r="C928" s="233" t="str">
        <f>_xlfn.XLOOKUP(B928, 'Component Masterlist v2'!A:A, 'Component Masterlist v2'!G:G, "Not found")</f>
        <v>Sanyam Agrawal</v>
      </c>
      <c r="D928" s="233" t="str">
        <f>_xlfn.XLOOKUP(B928, 'Component Masterlist v2'!A:A, 'Component Masterlist v2'!E:E, "Not found")</f>
        <v>Ambuj Mehra</v>
      </c>
    </row>
    <row r="929" spans="1:4">
      <c r="A929" s="226" t="s">
        <v>3021</v>
      </c>
      <c r="B929" s="227" t="s">
        <v>15</v>
      </c>
      <c r="C929" s="233" t="str">
        <f>_xlfn.XLOOKUP(B929, 'Component Masterlist v2'!A:A, 'Component Masterlist v2'!G:G, "Not found")</f>
        <v>Keith Wiseman</v>
      </c>
      <c r="D929" s="233" t="str">
        <f>_xlfn.XLOOKUP(B929, 'Component Masterlist v2'!A:A, 'Component Masterlist v2'!E:E, "Not found")</f>
        <v>Bobby Alexander</v>
      </c>
    </row>
    <row r="930" spans="1:4">
      <c r="A930" s="226" t="s">
        <v>3022</v>
      </c>
      <c r="B930" s="227" t="s">
        <v>45</v>
      </c>
      <c r="C930" s="233" t="str">
        <f>_xlfn.XLOOKUP(B930, 'Component Masterlist v2'!A:A, 'Component Masterlist v2'!G:G, "Not found")</f>
        <v>Sanyam Agrawal</v>
      </c>
      <c r="D930" s="233" t="str">
        <f>_xlfn.XLOOKUP(B930, 'Component Masterlist v2'!A:A, 'Component Masterlist v2'!E:E, "Not found")</f>
        <v>Ambuj Mehra</v>
      </c>
    </row>
    <row r="931" spans="1:4">
      <c r="A931" s="226" t="s">
        <v>3023</v>
      </c>
      <c r="B931" s="227" t="s">
        <v>45</v>
      </c>
      <c r="C931" s="233" t="str">
        <f>_xlfn.XLOOKUP(B931, 'Component Masterlist v2'!A:A, 'Component Masterlist v2'!G:G, "Not found")</f>
        <v>Sanyam Agrawal</v>
      </c>
      <c r="D931" s="233" t="str">
        <f>_xlfn.XLOOKUP(B931, 'Component Masterlist v2'!A:A, 'Component Masterlist v2'!E:E, "Not found")</f>
        <v>Ambuj Mehra</v>
      </c>
    </row>
    <row r="932" spans="1:4">
      <c r="A932" s="226" t="s">
        <v>3024</v>
      </c>
      <c r="B932" s="227" t="s">
        <v>45</v>
      </c>
      <c r="C932" s="233" t="str">
        <f>_xlfn.XLOOKUP(B932, 'Component Masterlist v2'!A:A, 'Component Masterlist v2'!G:G, "Not found")</f>
        <v>Sanyam Agrawal</v>
      </c>
      <c r="D932" s="233" t="str">
        <f>_xlfn.XLOOKUP(B932, 'Component Masterlist v2'!A:A, 'Component Masterlist v2'!E:E, "Not found")</f>
        <v>Ambuj Mehra</v>
      </c>
    </row>
    <row r="933" spans="1:4">
      <c r="A933" s="226" t="s">
        <v>3025</v>
      </c>
      <c r="B933" s="227" t="s">
        <v>13</v>
      </c>
      <c r="C933" s="233" t="str">
        <f>_xlfn.XLOOKUP(B933, 'Component Masterlist v2'!A:A, 'Component Masterlist v2'!G:G, "Not found")</f>
        <v>Keith Wiseman</v>
      </c>
      <c r="D933" s="233" t="str">
        <f>_xlfn.XLOOKUP(B933, 'Component Masterlist v2'!A:A, 'Component Masterlist v2'!E:E, "Not found")</f>
        <v>Vaibhav Saini</v>
      </c>
    </row>
    <row r="934" spans="1:4">
      <c r="A934" s="226" t="s">
        <v>3026</v>
      </c>
      <c r="B934" s="227" t="s">
        <v>11</v>
      </c>
      <c r="C934" s="233" t="str">
        <f>_xlfn.XLOOKUP(B934, 'Component Masterlist v2'!A:A, 'Component Masterlist v2'!G:G, "Not found")</f>
        <v>Keith Wiseman</v>
      </c>
      <c r="D934" s="233" t="str">
        <f>_xlfn.XLOOKUP(B934, 'Component Masterlist v2'!A:A, 'Component Masterlist v2'!E:E, "Not found")</f>
        <v>Vaibhav Saini</v>
      </c>
    </row>
    <row r="935" spans="1:4">
      <c r="A935" s="226" t="s">
        <v>3027</v>
      </c>
      <c r="B935" s="227" t="s">
        <v>28</v>
      </c>
      <c r="C935" s="233" t="str">
        <f>_xlfn.XLOOKUP(B935, 'Component Masterlist v2'!A:A, 'Component Masterlist v2'!G:G, "Not found")</f>
        <v>Raghu Edalur</v>
      </c>
      <c r="D935" s="233" t="str">
        <f>_xlfn.XLOOKUP(B935, 'Component Masterlist v2'!A:A, 'Component Masterlist v2'!E:E, "Not found")</f>
        <v>Parul Jain</v>
      </c>
    </row>
    <row r="936" spans="1:4">
      <c r="A936" s="226" t="s">
        <v>3028</v>
      </c>
      <c r="B936" s="227" t="s">
        <v>28</v>
      </c>
      <c r="C936" s="233" t="str">
        <f>_xlfn.XLOOKUP(B936, 'Component Masterlist v2'!A:A, 'Component Masterlist v2'!G:G, "Not found")</f>
        <v>Raghu Edalur</v>
      </c>
      <c r="D936" s="233" t="str">
        <f>_xlfn.XLOOKUP(B936, 'Component Masterlist v2'!A:A, 'Component Masterlist v2'!E:E, "Not found")</f>
        <v>Parul Jain</v>
      </c>
    </row>
    <row r="937" spans="1:4">
      <c r="A937" s="226" t="s">
        <v>3029</v>
      </c>
      <c r="B937" s="227" t="s">
        <v>13</v>
      </c>
      <c r="C937" s="233" t="str">
        <f>_xlfn.XLOOKUP(B937, 'Component Masterlist v2'!A:A, 'Component Masterlist v2'!G:G, "Not found")</f>
        <v>Keith Wiseman</v>
      </c>
      <c r="D937" s="233" t="str">
        <f>_xlfn.XLOOKUP(B937, 'Component Masterlist v2'!A:A, 'Component Masterlist v2'!E:E, "Not found")</f>
        <v>Vaibhav Saini</v>
      </c>
    </row>
    <row r="938" spans="1:4">
      <c r="A938" s="226" t="s">
        <v>3030</v>
      </c>
      <c r="B938" s="227" t="s">
        <v>40</v>
      </c>
      <c r="C938" s="233" t="str">
        <f>_xlfn.XLOOKUP(B938, 'Component Masterlist v2'!A:A, 'Component Masterlist v2'!G:G, "Not found")</f>
        <v>Santosh Golecha</v>
      </c>
      <c r="D938" s="233" t="str">
        <f>_xlfn.XLOOKUP(B938, 'Component Masterlist v2'!A:A, 'Component Masterlist v2'!E:E, "Not found")</f>
        <v>Ankur Agarwal</v>
      </c>
    </row>
    <row r="939" spans="1:4">
      <c r="A939" s="226" t="s">
        <v>3031</v>
      </c>
      <c r="B939" s="227" t="s">
        <v>45</v>
      </c>
      <c r="C939" s="233" t="str">
        <f>_xlfn.XLOOKUP(B939, 'Component Masterlist v2'!A:A, 'Component Masterlist v2'!G:G, "Not found")</f>
        <v>Sanyam Agrawal</v>
      </c>
      <c r="D939" s="233" t="str">
        <f>_xlfn.XLOOKUP(B939, 'Component Masterlist v2'!A:A, 'Component Masterlist v2'!E:E, "Not found")</f>
        <v>Ambuj Mehra</v>
      </c>
    </row>
    <row r="940" spans="1:4">
      <c r="A940" s="226" t="s">
        <v>3032</v>
      </c>
      <c r="B940" s="227" t="s">
        <v>11</v>
      </c>
      <c r="C940" s="233" t="str">
        <f>_xlfn.XLOOKUP(B940, 'Component Masterlist v2'!A:A, 'Component Masterlist v2'!G:G, "Not found")</f>
        <v>Keith Wiseman</v>
      </c>
      <c r="D940" s="233" t="str">
        <f>_xlfn.XLOOKUP(B940, 'Component Masterlist v2'!A:A, 'Component Masterlist v2'!E:E, "Not found")</f>
        <v>Vaibhav Saini</v>
      </c>
    </row>
    <row r="941" spans="1:4">
      <c r="A941" s="226" t="s">
        <v>3033</v>
      </c>
      <c r="B941" s="227" t="s">
        <v>28</v>
      </c>
      <c r="C941" s="233" t="str">
        <f>_xlfn.XLOOKUP(B941, 'Component Masterlist v2'!A:A, 'Component Masterlist v2'!G:G, "Not found")</f>
        <v>Raghu Edalur</v>
      </c>
      <c r="D941" s="233" t="str">
        <f>_xlfn.XLOOKUP(B941, 'Component Masterlist v2'!A:A, 'Component Masterlist v2'!E:E, "Not found")</f>
        <v>Parul Jain</v>
      </c>
    </row>
    <row r="942" spans="1:4">
      <c r="A942" s="226" t="s">
        <v>3034</v>
      </c>
      <c r="B942" s="227" t="s">
        <v>13</v>
      </c>
      <c r="C942" s="233" t="str">
        <f>_xlfn.XLOOKUP(B942, 'Component Masterlist v2'!A:A, 'Component Masterlist v2'!G:G, "Not found")</f>
        <v>Keith Wiseman</v>
      </c>
      <c r="D942" s="233" t="str">
        <f>_xlfn.XLOOKUP(B942, 'Component Masterlist v2'!A:A, 'Component Masterlist v2'!E:E, "Not found")</f>
        <v>Vaibhav Saini</v>
      </c>
    </row>
    <row r="943" spans="1:4">
      <c r="A943" s="226" t="s">
        <v>3035</v>
      </c>
      <c r="B943" s="227" t="s">
        <v>45</v>
      </c>
      <c r="C943" s="233" t="str">
        <f>_xlfn.XLOOKUP(B943, 'Component Masterlist v2'!A:A, 'Component Masterlist v2'!G:G, "Not found")</f>
        <v>Sanyam Agrawal</v>
      </c>
      <c r="D943" s="233" t="str">
        <f>_xlfn.XLOOKUP(B943, 'Component Masterlist v2'!A:A, 'Component Masterlist v2'!E:E, "Not found")</f>
        <v>Ambuj Mehra</v>
      </c>
    </row>
    <row r="944" spans="1:4">
      <c r="A944" s="226" t="s">
        <v>3036</v>
      </c>
      <c r="B944" s="227" t="s">
        <v>13</v>
      </c>
      <c r="C944" s="233" t="str">
        <f>_xlfn.XLOOKUP(B944, 'Component Masterlist v2'!A:A, 'Component Masterlist v2'!G:G, "Not found")</f>
        <v>Keith Wiseman</v>
      </c>
      <c r="D944" s="233" t="str">
        <f>_xlfn.XLOOKUP(B944, 'Component Masterlist v2'!A:A, 'Component Masterlist v2'!E:E, "Not found")</f>
        <v>Vaibhav Saini</v>
      </c>
    </row>
    <row r="945" spans="1:4">
      <c r="A945" s="226" t="s">
        <v>3037</v>
      </c>
      <c r="B945" s="227" t="s">
        <v>13</v>
      </c>
      <c r="C945" s="233" t="str">
        <f>_xlfn.XLOOKUP(B945, 'Component Masterlist v2'!A:A, 'Component Masterlist v2'!G:G, "Not found")</f>
        <v>Keith Wiseman</v>
      </c>
      <c r="D945" s="233" t="str">
        <f>_xlfn.XLOOKUP(B945, 'Component Masterlist v2'!A:A, 'Component Masterlist v2'!E:E, "Not found")</f>
        <v>Vaibhav Saini</v>
      </c>
    </row>
    <row r="946" spans="1:4">
      <c r="A946" s="226" t="s">
        <v>3038</v>
      </c>
      <c r="B946" s="227" t="s">
        <v>45</v>
      </c>
      <c r="C946" s="233" t="str">
        <f>_xlfn.XLOOKUP(B946, 'Component Masterlist v2'!A:A, 'Component Masterlist v2'!G:G, "Not found")</f>
        <v>Sanyam Agrawal</v>
      </c>
      <c r="D946" s="233" t="str">
        <f>_xlfn.XLOOKUP(B946, 'Component Masterlist v2'!A:A, 'Component Masterlist v2'!E:E, "Not found")</f>
        <v>Ambuj Mehra</v>
      </c>
    </row>
    <row r="947" spans="1:4">
      <c r="A947" s="226" t="s">
        <v>3039</v>
      </c>
      <c r="B947" s="227" t="s">
        <v>45</v>
      </c>
      <c r="C947" s="233" t="str">
        <f>_xlfn.XLOOKUP(B947, 'Component Masterlist v2'!A:A, 'Component Masterlist v2'!G:G, "Not found")</f>
        <v>Sanyam Agrawal</v>
      </c>
      <c r="D947" s="233" t="str">
        <f>_xlfn.XLOOKUP(B947, 'Component Masterlist v2'!A:A, 'Component Masterlist v2'!E:E, "Not found")</f>
        <v>Ambuj Mehra</v>
      </c>
    </row>
    <row r="948" spans="1:4">
      <c r="A948" s="226" t="s">
        <v>3040</v>
      </c>
      <c r="B948" s="227" t="s">
        <v>28</v>
      </c>
      <c r="C948" s="233" t="str">
        <f>_xlfn.XLOOKUP(B948, 'Component Masterlist v2'!A:A, 'Component Masterlist v2'!G:G, "Not found")</f>
        <v>Raghu Edalur</v>
      </c>
      <c r="D948" s="233" t="str">
        <f>_xlfn.XLOOKUP(B948, 'Component Masterlist v2'!A:A, 'Component Masterlist v2'!E:E, "Not found")</f>
        <v>Parul Jain</v>
      </c>
    </row>
    <row r="949" spans="1:4">
      <c r="A949" s="226" t="s">
        <v>3041</v>
      </c>
      <c r="B949" s="227" t="s">
        <v>82</v>
      </c>
      <c r="C949" s="233" t="str">
        <f>_xlfn.XLOOKUP(B949, 'Component Masterlist v2'!A:A, 'Component Masterlist v2'!G:G, "Not found")</f>
        <v>Ved Singh</v>
      </c>
      <c r="D949" s="233" t="str">
        <f>_xlfn.XLOOKUP(B949, 'Component Masterlist v2'!A:A, 'Component Masterlist v2'!E:E, "Not found")</f>
        <v>Arun Gangadhar</v>
      </c>
    </row>
    <row r="950" spans="1:4">
      <c r="A950" s="226" t="s">
        <v>3042</v>
      </c>
      <c r="B950" s="227" t="s">
        <v>28</v>
      </c>
      <c r="C950" s="233" t="str">
        <f>_xlfn.XLOOKUP(B950, 'Component Masterlist v2'!A:A, 'Component Masterlist v2'!G:G, "Not found")</f>
        <v>Raghu Edalur</v>
      </c>
      <c r="D950" s="233" t="str">
        <f>_xlfn.XLOOKUP(B950, 'Component Masterlist v2'!A:A, 'Component Masterlist v2'!E:E, "Not found")</f>
        <v>Parul Jain</v>
      </c>
    </row>
    <row r="951" spans="1:4">
      <c r="A951" s="226" t="s">
        <v>3043</v>
      </c>
      <c r="B951" s="227" t="s">
        <v>28</v>
      </c>
      <c r="C951" s="233" t="str">
        <f>_xlfn.XLOOKUP(B951, 'Component Masterlist v2'!A:A, 'Component Masterlist v2'!G:G, "Not found")</f>
        <v>Raghu Edalur</v>
      </c>
      <c r="D951" s="233" t="str">
        <f>_xlfn.XLOOKUP(B951, 'Component Masterlist v2'!A:A, 'Component Masterlist v2'!E:E, "Not found")</f>
        <v>Parul Jain</v>
      </c>
    </row>
    <row r="952" spans="1:4">
      <c r="A952" s="226" t="s">
        <v>3044</v>
      </c>
      <c r="B952" s="227" t="s">
        <v>45</v>
      </c>
      <c r="C952" s="233" t="str">
        <f>_xlfn.XLOOKUP(B952, 'Component Masterlist v2'!A:A, 'Component Masterlist v2'!G:G, "Not found")</f>
        <v>Sanyam Agrawal</v>
      </c>
      <c r="D952" s="233" t="str">
        <f>_xlfn.XLOOKUP(B952, 'Component Masterlist v2'!A:A, 'Component Masterlist v2'!E:E, "Not found")</f>
        <v>Ambuj Mehra</v>
      </c>
    </row>
    <row r="953" spans="1:4">
      <c r="A953" s="226" t="s">
        <v>3045</v>
      </c>
      <c r="B953" s="227" t="s">
        <v>13</v>
      </c>
      <c r="C953" s="233" t="str">
        <f>_xlfn.XLOOKUP(B953, 'Component Masterlist v2'!A:A, 'Component Masterlist v2'!G:G, "Not found")</f>
        <v>Keith Wiseman</v>
      </c>
      <c r="D953" s="233" t="str">
        <f>_xlfn.XLOOKUP(B953, 'Component Masterlist v2'!A:A, 'Component Masterlist v2'!E:E, "Not found")</f>
        <v>Vaibhav Saini</v>
      </c>
    </row>
    <row r="954" spans="1:4">
      <c r="A954" s="226" t="s">
        <v>3046</v>
      </c>
      <c r="B954" s="227" t="s">
        <v>11</v>
      </c>
      <c r="C954" s="233" t="str">
        <f>_xlfn.XLOOKUP(B954, 'Component Masterlist v2'!A:A, 'Component Masterlist v2'!G:G, "Not found")</f>
        <v>Keith Wiseman</v>
      </c>
      <c r="D954" s="233" t="str">
        <f>_xlfn.XLOOKUP(B954, 'Component Masterlist v2'!A:A, 'Component Masterlist v2'!E:E, "Not found")</f>
        <v>Vaibhav Saini</v>
      </c>
    </row>
    <row r="955" spans="1:4">
      <c r="A955" s="226" t="s">
        <v>3047</v>
      </c>
      <c r="B955" s="227" t="s">
        <v>13</v>
      </c>
      <c r="C955" s="233" t="str">
        <f>_xlfn.XLOOKUP(B955, 'Component Masterlist v2'!A:A, 'Component Masterlist v2'!G:G, "Not found")</f>
        <v>Keith Wiseman</v>
      </c>
      <c r="D955" s="233" t="str">
        <f>_xlfn.XLOOKUP(B955, 'Component Masterlist v2'!A:A, 'Component Masterlist v2'!E:E, "Not found")</f>
        <v>Vaibhav Saini</v>
      </c>
    </row>
    <row r="956" spans="1:4">
      <c r="A956" s="226" t="s">
        <v>3048</v>
      </c>
      <c r="B956" s="227" t="s">
        <v>45</v>
      </c>
      <c r="C956" s="233" t="str">
        <f>_xlfn.XLOOKUP(B956, 'Component Masterlist v2'!A:A, 'Component Masterlist v2'!G:G, "Not found")</f>
        <v>Sanyam Agrawal</v>
      </c>
      <c r="D956" s="233" t="str">
        <f>_xlfn.XLOOKUP(B956, 'Component Masterlist v2'!A:A, 'Component Masterlist v2'!E:E, "Not found")</f>
        <v>Ambuj Mehra</v>
      </c>
    </row>
    <row r="957" spans="1:4">
      <c r="A957" s="226" t="s">
        <v>3049</v>
      </c>
      <c r="B957" s="227" t="s">
        <v>28</v>
      </c>
      <c r="C957" s="233" t="str">
        <f>_xlfn.XLOOKUP(B957, 'Component Masterlist v2'!A:A, 'Component Masterlist v2'!G:G, "Not found")</f>
        <v>Raghu Edalur</v>
      </c>
      <c r="D957" s="233" t="str">
        <f>_xlfn.XLOOKUP(B957, 'Component Masterlist v2'!A:A, 'Component Masterlist v2'!E:E, "Not found")</f>
        <v>Parul Jain</v>
      </c>
    </row>
    <row r="958" spans="1:4">
      <c r="A958" s="226" t="s">
        <v>3050</v>
      </c>
      <c r="B958" s="227" t="s">
        <v>28</v>
      </c>
      <c r="C958" s="233" t="str">
        <f>_xlfn.XLOOKUP(B958, 'Component Masterlist v2'!A:A, 'Component Masterlist v2'!G:G, "Not found")</f>
        <v>Raghu Edalur</v>
      </c>
      <c r="D958" s="233" t="str">
        <f>_xlfn.XLOOKUP(B958, 'Component Masterlist v2'!A:A, 'Component Masterlist v2'!E:E, "Not found")</f>
        <v>Parul Jain</v>
      </c>
    </row>
    <row r="959" spans="1:4">
      <c r="A959" s="226" t="s">
        <v>3051</v>
      </c>
      <c r="B959" s="227" t="s">
        <v>45</v>
      </c>
      <c r="C959" s="233" t="str">
        <f>_xlfn.XLOOKUP(B959, 'Component Masterlist v2'!A:A, 'Component Masterlist v2'!G:G, "Not found")</f>
        <v>Sanyam Agrawal</v>
      </c>
      <c r="D959" s="233" t="str">
        <f>_xlfn.XLOOKUP(B959, 'Component Masterlist v2'!A:A, 'Component Masterlist v2'!E:E, "Not found")</f>
        <v>Ambuj Mehra</v>
      </c>
    </row>
    <row r="960" spans="1:4">
      <c r="A960" s="226" t="s">
        <v>3052</v>
      </c>
      <c r="B960" s="227" t="s">
        <v>28</v>
      </c>
      <c r="C960" s="233" t="str">
        <f>_xlfn.XLOOKUP(B960, 'Component Masterlist v2'!A:A, 'Component Masterlist v2'!G:G, "Not found")</f>
        <v>Raghu Edalur</v>
      </c>
      <c r="D960" s="233" t="str">
        <f>_xlfn.XLOOKUP(B960, 'Component Masterlist v2'!A:A, 'Component Masterlist v2'!E:E, "Not found")</f>
        <v>Parul Jain</v>
      </c>
    </row>
    <row r="961" spans="1:4">
      <c r="A961" s="226" t="s">
        <v>3053</v>
      </c>
      <c r="B961" s="227" t="s">
        <v>28</v>
      </c>
      <c r="C961" s="233" t="str">
        <f>_xlfn.XLOOKUP(B961, 'Component Masterlist v2'!A:A, 'Component Masterlist v2'!G:G, "Not found")</f>
        <v>Raghu Edalur</v>
      </c>
      <c r="D961" s="233" t="str">
        <f>_xlfn.XLOOKUP(B961, 'Component Masterlist v2'!A:A, 'Component Masterlist v2'!E:E, "Not found")</f>
        <v>Parul Jain</v>
      </c>
    </row>
    <row r="962" spans="1:4">
      <c r="A962" s="226" t="s">
        <v>3054</v>
      </c>
      <c r="B962" s="227" t="s">
        <v>13</v>
      </c>
      <c r="C962" s="233" t="str">
        <f>_xlfn.XLOOKUP(B962, 'Component Masterlist v2'!A:A, 'Component Masterlist v2'!G:G, "Not found")</f>
        <v>Keith Wiseman</v>
      </c>
      <c r="D962" s="233" t="str">
        <f>_xlfn.XLOOKUP(B962, 'Component Masterlist v2'!A:A, 'Component Masterlist v2'!E:E, "Not found")</f>
        <v>Vaibhav Saini</v>
      </c>
    </row>
    <row r="963" spans="1:4">
      <c r="A963" s="226" t="s">
        <v>3055</v>
      </c>
      <c r="B963" s="227" t="s">
        <v>13</v>
      </c>
      <c r="C963" s="233" t="str">
        <f>_xlfn.XLOOKUP(B963, 'Component Masterlist v2'!A:A, 'Component Masterlist v2'!G:G, "Not found")</f>
        <v>Keith Wiseman</v>
      </c>
      <c r="D963" s="233" t="str">
        <f>_xlfn.XLOOKUP(B963, 'Component Masterlist v2'!A:A, 'Component Masterlist v2'!E:E, "Not found")</f>
        <v>Vaibhav Saini</v>
      </c>
    </row>
    <row r="964" spans="1:4">
      <c r="A964" s="226" t="s">
        <v>3056</v>
      </c>
      <c r="B964" s="227" t="s">
        <v>28</v>
      </c>
      <c r="C964" s="233" t="str">
        <f>_xlfn.XLOOKUP(B964, 'Component Masterlist v2'!A:A, 'Component Masterlist v2'!G:G, "Not found")</f>
        <v>Raghu Edalur</v>
      </c>
      <c r="D964" s="233" t="str">
        <f>_xlfn.XLOOKUP(B964, 'Component Masterlist v2'!A:A, 'Component Masterlist v2'!E:E, "Not found")</f>
        <v>Parul Jain</v>
      </c>
    </row>
    <row r="965" spans="1:4">
      <c r="A965" s="226" t="s">
        <v>3057</v>
      </c>
      <c r="B965" s="227" t="s">
        <v>82</v>
      </c>
      <c r="C965" s="233" t="str">
        <f>_xlfn.XLOOKUP(B965, 'Component Masterlist v2'!A:A, 'Component Masterlist v2'!G:G, "Not found")</f>
        <v>Ved Singh</v>
      </c>
      <c r="D965" s="233" t="str">
        <f>_xlfn.XLOOKUP(B965, 'Component Masterlist v2'!A:A, 'Component Masterlist v2'!E:E, "Not found")</f>
        <v>Arun Gangadhar</v>
      </c>
    </row>
    <row r="966" spans="1:4">
      <c r="A966" s="226" t="s">
        <v>3058</v>
      </c>
      <c r="B966" s="227" t="s">
        <v>28</v>
      </c>
      <c r="C966" s="233" t="str">
        <f>_xlfn.XLOOKUP(B966, 'Component Masterlist v2'!A:A, 'Component Masterlist v2'!G:G, "Not found")</f>
        <v>Raghu Edalur</v>
      </c>
      <c r="D966" s="233" t="str">
        <f>_xlfn.XLOOKUP(B966, 'Component Masterlist v2'!A:A, 'Component Masterlist v2'!E:E, "Not found")</f>
        <v>Parul Jain</v>
      </c>
    </row>
    <row r="967" spans="1:4">
      <c r="A967" s="226" t="s">
        <v>3059</v>
      </c>
      <c r="B967" s="227" t="s">
        <v>13</v>
      </c>
      <c r="C967" s="233" t="str">
        <f>_xlfn.XLOOKUP(B967, 'Component Masterlist v2'!A:A, 'Component Masterlist v2'!G:G, "Not found")</f>
        <v>Keith Wiseman</v>
      </c>
      <c r="D967" s="233" t="str">
        <f>_xlfn.XLOOKUP(B967, 'Component Masterlist v2'!A:A, 'Component Masterlist v2'!E:E, "Not found")</f>
        <v>Vaibhav Saini</v>
      </c>
    </row>
    <row r="968" spans="1:4">
      <c r="A968" s="226" t="s">
        <v>3060</v>
      </c>
      <c r="B968" s="227" t="s">
        <v>13</v>
      </c>
      <c r="C968" s="233" t="str">
        <f>_xlfn.XLOOKUP(B968, 'Component Masterlist v2'!A:A, 'Component Masterlist v2'!G:G, "Not found")</f>
        <v>Keith Wiseman</v>
      </c>
      <c r="D968" s="233" t="str">
        <f>_xlfn.XLOOKUP(B968, 'Component Masterlist v2'!A:A, 'Component Masterlist v2'!E:E, "Not found")</f>
        <v>Vaibhav Saini</v>
      </c>
    </row>
    <row r="969" spans="1:4">
      <c r="A969" s="226" t="s">
        <v>3061</v>
      </c>
      <c r="B969" s="227" t="s">
        <v>28</v>
      </c>
      <c r="C969" s="233" t="str">
        <f>_xlfn.XLOOKUP(B969, 'Component Masterlist v2'!A:A, 'Component Masterlist v2'!G:G, "Not found")</f>
        <v>Raghu Edalur</v>
      </c>
      <c r="D969" s="233" t="str">
        <f>_xlfn.XLOOKUP(B969, 'Component Masterlist v2'!A:A, 'Component Masterlist v2'!E:E, "Not found")</f>
        <v>Parul Jain</v>
      </c>
    </row>
    <row r="970" spans="1:4">
      <c r="A970" s="226" t="s">
        <v>3062</v>
      </c>
      <c r="B970" s="227" t="s">
        <v>28</v>
      </c>
      <c r="C970" s="233" t="str">
        <f>_xlfn.XLOOKUP(B970, 'Component Masterlist v2'!A:A, 'Component Masterlist v2'!G:G, "Not found")</f>
        <v>Raghu Edalur</v>
      </c>
      <c r="D970" s="233" t="str">
        <f>_xlfn.XLOOKUP(B970, 'Component Masterlist v2'!A:A, 'Component Masterlist v2'!E:E, "Not found")</f>
        <v>Parul Jain</v>
      </c>
    </row>
    <row r="971" spans="1:4">
      <c r="A971" s="226" t="s">
        <v>3063</v>
      </c>
      <c r="B971" s="227" t="s">
        <v>40</v>
      </c>
      <c r="C971" s="233" t="str">
        <f>_xlfn.XLOOKUP(B971, 'Component Masterlist v2'!A:A, 'Component Masterlist v2'!G:G, "Not found")</f>
        <v>Santosh Golecha</v>
      </c>
      <c r="D971" s="233" t="str">
        <f>_xlfn.XLOOKUP(B971, 'Component Masterlist v2'!A:A, 'Component Masterlist v2'!E:E, "Not found")</f>
        <v>Ankur Agarwal</v>
      </c>
    </row>
    <row r="972" spans="1:4">
      <c r="A972" s="226" t="s">
        <v>3064</v>
      </c>
      <c r="B972" s="227" t="s">
        <v>40</v>
      </c>
      <c r="C972" s="233" t="str">
        <f>_xlfn.XLOOKUP(B972, 'Component Masterlist v2'!A:A, 'Component Masterlist v2'!G:G, "Not found")</f>
        <v>Santosh Golecha</v>
      </c>
      <c r="D972" s="233" t="str">
        <f>_xlfn.XLOOKUP(B972, 'Component Masterlist v2'!A:A, 'Component Masterlist v2'!E:E, "Not found")</f>
        <v>Ankur Agarwal</v>
      </c>
    </row>
    <row r="973" spans="1:4">
      <c r="A973" s="226" t="s">
        <v>3065</v>
      </c>
      <c r="B973" s="227" t="s">
        <v>40</v>
      </c>
      <c r="C973" s="233" t="str">
        <f>_xlfn.XLOOKUP(B973, 'Component Masterlist v2'!A:A, 'Component Masterlist v2'!G:G, "Not found")</f>
        <v>Santosh Golecha</v>
      </c>
      <c r="D973" s="233" t="str">
        <f>_xlfn.XLOOKUP(B973, 'Component Masterlist v2'!A:A, 'Component Masterlist v2'!E:E, "Not found")</f>
        <v>Ankur Agarwal</v>
      </c>
    </row>
    <row r="974" spans="1:4">
      <c r="A974" s="226" t="s">
        <v>3066</v>
      </c>
      <c r="B974" s="227" t="s">
        <v>40</v>
      </c>
      <c r="C974" s="233" t="str">
        <f>_xlfn.XLOOKUP(B974, 'Component Masterlist v2'!A:A, 'Component Masterlist v2'!G:G, "Not found")</f>
        <v>Santosh Golecha</v>
      </c>
      <c r="D974" s="233" t="str">
        <f>_xlfn.XLOOKUP(B974, 'Component Masterlist v2'!A:A, 'Component Masterlist v2'!E:E, "Not found")</f>
        <v>Ankur Agarwal</v>
      </c>
    </row>
    <row r="975" spans="1:4">
      <c r="A975" s="226" t="s">
        <v>3067</v>
      </c>
      <c r="B975" s="227" t="s">
        <v>28</v>
      </c>
      <c r="C975" s="233" t="str">
        <f>_xlfn.XLOOKUP(B975, 'Component Masterlist v2'!A:A, 'Component Masterlist v2'!G:G, "Not found")</f>
        <v>Raghu Edalur</v>
      </c>
      <c r="D975" s="233" t="str">
        <f>_xlfn.XLOOKUP(B975, 'Component Masterlist v2'!A:A, 'Component Masterlist v2'!E:E, "Not found")</f>
        <v>Parul Jain</v>
      </c>
    </row>
    <row r="976" spans="1:4">
      <c r="A976" s="226" t="s">
        <v>3068</v>
      </c>
      <c r="B976" s="227" t="s">
        <v>15</v>
      </c>
      <c r="C976" s="233" t="str">
        <f>_xlfn.XLOOKUP(B976, 'Component Masterlist v2'!A:A, 'Component Masterlist v2'!G:G, "Not found")</f>
        <v>Keith Wiseman</v>
      </c>
      <c r="D976" s="233" t="str">
        <f>_xlfn.XLOOKUP(B976, 'Component Masterlist v2'!A:A, 'Component Masterlist v2'!E:E, "Not found")</f>
        <v>Bobby Alexander</v>
      </c>
    </row>
    <row r="977" spans="1:4">
      <c r="A977" s="226" t="s">
        <v>3069</v>
      </c>
      <c r="B977" s="227" t="s">
        <v>11</v>
      </c>
      <c r="C977" s="233" t="str">
        <f>_xlfn.XLOOKUP(B977, 'Component Masterlist v2'!A:A, 'Component Masterlist v2'!G:G, "Not found")</f>
        <v>Keith Wiseman</v>
      </c>
      <c r="D977" s="233" t="str">
        <f>_xlfn.XLOOKUP(B977, 'Component Masterlist v2'!A:A, 'Component Masterlist v2'!E:E, "Not found")</f>
        <v>Vaibhav Saini</v>
      </c>
    </row>
    <row r="978" spans="1:4">
      <c r="A978" s="226" t="s">
        <v>3070</v>
      </c>
      <c r="B978" s="227" t="s">
        <v>28</v>
      </c>
      <c r="C978" s="233" t="str">
        <f>_xlfn.XLOOKUP(B978, 'Component Masterlist v2'!A:A, 'Component Masterlist v2'!G:G, "Not found")</f>
        <v>Raghu Edalur</v>
      </c>
      <c r="D978" s="233" t="str">
        <f>_xlfn.XLOOKUP(B978, 'Component Masterlist v2'!A:A, 'Component Masterlist v2'!E:E, "Not found")</f>
        <v>Parul Jain</v>
      </c>
    </row>
    <row r="979" spans="1:4">
      <c r="A979" s="226" t="s">
        <v>3071</v>
      </c>
      <c r="B979" s="227" t="s">
        <v>13</v>
      </c>
      <c r="C979" s="233" t="str">
        <f>_xlfn.XLOOKUP(B979, 'Component Masterlist v2'!A:A, 'Component Masterlist v2'!G:G, "Not found")</f>
        <v>Keith Wiseman</v>
      </c>
      <c r="D979" s="233" t="str">
        <f>_xlfn.XLOOKUP(B979, 'Component Masterlist v2'!A:A, 'Component Masterlist v2'!E:E, "Not found")</f>
        <v>Vaibhav Saini</v>
      </c>
    </row>
    <row r="980" spans="1:4">
      <c r="A980" s="226" t="s">
        <v>3072</v>
      </c>
      <c r="B980" s="227" t="s">
        <v>13</v>
      </c>
      <c r="C980" s="233" t="str">
        <f>_xlfn.XLOOKUP(B980, 'Component Masterlist v2'!A:A, 'Component Masterlist v2'!G:G, "Not found")</f>
        <v>Keith Wiseman</v>
      </c>
      <c r="D980" s="233" t="str">
        <f>_xlfn.XLOOKUP(B980, 'Component Masterlist v2'!A:A, 'Component Masterlist v2'!E:E, "Not found")</f>
        <v>Vaibhav Saini</v>
      </c>
    </row>
    <row r="981" spans="1:4">
      <c r="A981" s="226" t="s">
        <v>3073</v>
      </c>
      <c r="B981" s="227" t="s">
        <v>11</v>
      </c>
      <c r="C981" s="233" t="str">
        <f>_xlfn.XLOOKUP(B981, 'Component Masterlist v2'!A:A, 'Component Masterlist v2'!G:G, "Not found")</f>
        <v>Keith Wiseman</v>
      </c>
      <c r="D981" s="233" t="str">
        <f>_xlfn.XLOOKUP(B981, 'Component Masterlist v2'!A:A, 'Component Masterlist v2'!E:E, "Not found")</f>
        <v>Vaibhav Saini</v>
      </c>
    </row>
    <row r="982" spans="1:4">
      <c r="A982" s="226" t="s">
        <v>3074</v>
      </c>
      <c r="B982" s="227" t="s">
        <v>13</v>
      </c>
      <c r="C982" s="233" t="str">
        <f>_xlfn.XLOOKUP(B982, 'Component Masterlist v2'!A:A, 'Component Masterlist v2'!G:G, "Not found")</f>
        <v>Keith Wiseman</v>
      </c>
      <c r="D982" s="233" t="str">
        <f>_xlfn.XLOOKUP(B982, 'Component Masterlist v2'!A:A, 'Component Masterlist v2'!E:E, "Not found")</f>
        <v>Vaibhav Saini</v>
      </c>
    </row>
    <row r="983" spans="1:4">
      <c r="A983" s="226" t="s">
        <v>3075</v>
      </c>
      <c r="B983" s="227" t="s">
        <v>28</v>
      </c>
      <c r="C983" s="233" t="str">
        <f>_xlfn.XLOOKUP(B983, 'Component Masterlist v2'!A:A, 'Component Masterlist v2'!G:G, "Not found")</f>
        <v>Raghu Edalur</v>
      </c>
      <c r="D983" s="233" t="str">
        <f>_xlfn.XLOOKUP(B983, 'Component Masterlist v2'!A:A, 'Component Masterlist v2'!E:E, "Not found")</f>
        <v>Parul Jain</v>
      </c>
    </row>
    <row r="984" spans="1:4">
      <c r="A984" s="226" t="s">
        <v>3076</v>
      </c>
      <c r="B984" s="227" t="s">
        <v>13</v>
      </c>
      <c r="C984" s="233" t="str">
        <f>_xlfn.XLOOKUP(B984, 'Component Masterlist v2'!A:A, 'Component Masterlist v2'!G:G, "Not found")</f>
        <v>Keith Wiseman</v>
      </c>
      <c r="D984" s="233" t="str">
        <f>_xlfn.XLOOKUP(B984, 'Component Masterlist v2'!A:A, 'Component Masterlist v2'!E:E, "Not found")</f>
        <v>Vaibhav Saini</v>
      </c>
    </row>
    <row r="985" spans="1:4">
      <c r="A985" s="226" t="s">
        <v>3077</v>
      </c>
      <c r="B985" s="227" t="s">
        <v>13</v>
      </c>
      <c r="C985" s="233" t="str">
        <f>_xlfn.XLOOKUP(B985, 'Component Masterlist v2'!A:A, 'Component Masterlist v2'!G:G, "Not found")</f>
        <v>Keith Wiseman</v>
      </c>
      <c r="D985" s="233" t="str">
        <f>_xlfn.XLOOKUP(B985, 'Component Masterlist v2'!A:A, 'Component Masterlist v2'!E:E, "Not found")</f>
        <v>Vaibhav Saini</v>
      </c>
    </row>
    <row r="986" spans="1:4">
      <c r="A986" s="226" t="s">
        <v>3078</v>
      </c>
      <c r="B986" s="227" t="s">
        <v>47</v>
      </c>
      <c r="C986" s="233" t="str">
        <f>_xlfn.XLOOKUP(B986, 'Component Masterlist v2'!A:A, 'Component Masterlist v2'!G:G, "Not found")</f>
        <v>Sanyam Agrawal</v>
      </c>
      <c r="D986" s="233" t="str">
        <f>_xlfn.XLOOKUP(B986, 'Component Masterlist v2'!A:A, 'Component Masterlist v2'!E:E, "Not found")</f>
        <v>Anirudh Agarwal</v>
      </c>
    </row>
    <row r="987" spans="1:4">
      <c r="A987" s="226" t="s">
        <v>3079</v>
      </c>
      <c r="B987" s="227" t="s">
        <v>13</v>
      </c>
      <c r="C987" s="233" t="str">
        <f>_xlfn.XLOOKUP(B987, 'Component Masterlist v2'!A:A, 'Component Masterlist v2'!G:G, "Not found")</f>
        <v>Keith Wiseman</v>
      </c>
      <c r="D987" s="233" t="str">
        <f>_xlfn.XLOOKUP(B987, 'Component Masterlist v2'!A:A, 'Component Masterlist v2'!E:E, "Not found")</f>
        <v>Vaibhav Saini</v>
      </c>
    </row>
    <row r="988" spans="1:4">
      <c r="A988" s="226" t="s">
        <v>3080</v>
      </c>
      <c r="B988" s="227" t="s">
        <v>45</v>
      </c>
      <c r="C988" s="233" t="str">
        <f>_xlfn.XLOOKUP(B988, 'Component Masterlist v2'!A:A, 'Component Masterlist v2'!G:G, "Not found")</f>
        <v>Sanyam Agrawal</v>
      </c>
      <c r="D988" s="233" t="str">
        <f>_xlfn.XLOOKUP(B988, 'Component Masterlist v2'!A:A, 'Component Masterlist v2'!E:E, "Not found")</f>
        <v>Ambuj Mehra</v>
      </c>
    </row>
    <row r="989" spans="1:4">
      <c r="A989" s="226" t="s">
        <v>3081</v>
      </c>
      <c r="B989" s="227" t="s">
        <v>28</v>
      </c>
      <c r="C989" s="233" t="str">
        <f>_xlfn.XLOOKUP(B989, 'Component Masterlist v2'!A:A, 'Component Masterlist v2'!G:G, "Not found")</f>
        <v>Raghu Edalur</v>
      </c>
      <c r="D989" s="233" t="str">
        <f>_xlfn.XLOOKUP(B989, 'Component Masterlist v2'!A:A, 'Component Masterlist v2'!E:E, "Not found")</f>
        <v>Parul Jain</v>
      </c>
    </row>
    <row r="990" spans="1:4">
      <c r="A990" s="226" t="s">
        <v>3082</v>
      </c>
      <c r="B990" s="227" t="s">
        <v>45</v>
      </c>
      <c r="C990" s="233" t="str">
        <f>_xlfn.XLOOKUP(B990, 'Component Masterlist v2'!A:A, 'Component Masterlist v2'!G:G, "Not found")</f>
        <v>Sanyam Agrawal</v>
      </c>
      <c r="D990" s="233" t="str">
        <f>_xlfn.XLOOKUP(B990, 'Component Masterlist v2'!A:A, 'Component Masterlist v2'!E:E, "Not found")</f>
        <v>Ambuj Mehra</v>
      </c>
    </row>
    <row r="991" spans="1:4">
      <c r="A991" s="226" t="s">
        <v>3083</v>
      </c>
      <c r="B991" s="227" t="s">
        <v>15</v>
      </c>
      <c r="C991" s="233" t="str">
        <f>_xlfn.XLOOKUP(B991, 'Component Masterlist v2'!A:A, 'Component Masterlist v2'!G:G, "Not found")</f>
        <v>Keith Wiseman</v>
      </c>
      <c r="D991" s="233" t="str">
        <f>_xlfn.XLOOKUP(B991, 'Component Masterlist v2'!A:A, 'Component Masterlist v2'!E:E, "Not found")</f>
        <v>Bobby Alexander</v>
      </c>
    </row>
    <row r="992" spans="1:4">
      <c r="A992" s="226" t="s">
        <v>3084</v>
      </c>
      <c r="B992" s="227" t="s">
        <v>13</v>
      </c>
      <c r="C992" s="233" t="str">
        <f>_xlfn.XLOOKUP(B992, 'Component Masterlist v2'!A:A, 'Component Masterlist v2'!G:G, "Not found")</f>
        <v>Keith Wiseman</v>
      </c>
      <c r="D992" s="233" t="str">
        <f>_xlfn.XLOOKUP(B992, 'Component Masterlist v2'!A:A, 'Component Masterlist v2'!E:E, "Not found")</f>
        <v>Vaibhav Saini</v>
      </c>
    </row>
    <row r="993" spans="1:4">
      <c r="A993" s="226" t="s">
        <v>3085</v>
      </c>
      <c r="B993" s="227" t="s">
        <v>28</v>
      </c>
      <c r="C993" s="233" t="str">
        <f>_xlfn.XLOOKUP(B993, 'Component Masterlist v2'!A:A, 'Component Masterlist v2'!G:G, "Not found")</f>
        <v>Raghu Edalur</v>
      </c>
      <c r="D993" s="233" t="str">
        <f>_xlfn.XLOOKUP(B993, 'Component Masterlist v2'!A:A, 'Component Masterlist v2'!E:E, "Not found")</f>
        <v>Parul Jain</v>
      </c>
    </row>
    <row r="994" spans="1:4">
      <c r="A994" s="226" t="s">
        <v>3086</v>
      </c>
      <c r="B994" s="227" t="s">
        <v>13</v>
      </c>
      <c r="C994" s="233" t="str">
        <f>_xlfn.XLOOKUP(B994, 'Component Masterlist v2'!A:A, 'Component Masterlist v2'!G:G, "Not found")</f>
        <v>Keith Wiseman</v>
      </c>
      <c r="D994" s="233" t="str">
        <f>_xlfn.XLOOKUP(B994, 'Component Masterlist v2'!A:A, 'Component Masterlist v2'!E:E, "Not found")</f>
        <v>Vaibhav Saini</v>
      </c>
    </row>
    <row r="995" spans="1:4">
      <c r="A995" s="226" t="s">
        <v>3087</v>
      </c>
      <c r="B995" s="227" t="s">
        <v>28</v>
      </c>
      <c r="C995" s="233" t="str">
        <f>_xlfn.XLOOKUP(B995, 'Component Masterlist v2'!A:A, 'Component Masterlist v2'!G:G, "Not found")</f>
        <v>Raghu Edalur</v>
      </c>
      <c r="D995" s="233" t="str">
        <f>_xlfn.XLOOKUP(B995, 'Component Masterlist v2'!A:A, 'Component Masterlist v2'!E:E, "Not found")</f>
        <v>Parul Jain</v>
      </c>
    </row>
    <row r="996" spans="1:4">
      <c r="A996" s="226" t="s">
        <v>3088</v>
      </c>
      <c r="B996" s="227" t="s">
        <v>13</v>
      </c>
      <c r="C996" s="233" t="str">
        <f>_xlfn.XLOOKUP(B996, 'Component Masterlist v2'!A:A, 'Component Masterlist v2'!G:G, "Not found")</f>
        <v>Keith Wiseman</v>
      </c>
      <c r="D996" s="233" t="str">
        <f>_xlfn.XLOOKUP(B996, 'Component Masterlist v2'!A:A, 'Component Masterlist v2'!E:E, "Not found")</f>
        <v>Vaibhav Saini</v>
      </c>
    </row>
    <row r="997" spans="1:4">
      <c r="A997" s="226" t="s">
        <v>3089</v>
      </c>
      <c r="B997" s="227" t="s">
        <v>13</v>
      </c>
      <c r="C997" s="233" t="str">
        <f>_xlfn.XLOOKUP(B997, 'Component Masterlist v2'!A:A, 'Component Masterlist v2'!G:G, "Not found")</f>
        <v>Keith Wiseman</v>
      </c>
      <c r="D997" s="233" t="str">
        <f>_xlfn.XLOOKUP(B997, 'Component Masterlist v2'!A:A, 'Component Masterlist v2'!E:E, "Not found")</f>
        <v>Vaibhav Saini</v>
      </c>
    </row>
    <row r="998" spans="1:4">
      <c r="A998" s="226" t="s">
        <v>3090</v>
      </c>
      <c r="B998" s="227" t="s">
        <v>11</v>
      </c>
      <c r="C998" s="233" t="str">
        <f>_xlfn.XLOOKUP(B998, 'Component Masterlist v2'!A:A, 'Component Masterlist v2'!G:G, "Not found")</f>
        <v>Keith Wiseman</v>
      </c>
      <c r="D998" s="233" t="str">
        <f>_xlfn.XLOOKUP(B998, 'Component Masterlist v2'!A:A, 'Component Masterlist v2'!E:E, "Not found")</f>
        <v>Vaibhav Saini</v>
      </c>
    </row>
    <row r="999" spans="1:4">
      <c r="A999" s="226" t="s">
        <v>3091</v>
      </c>
      <c r="B999" s="227" t="s">
        <v>13</v>
      </c>
      <c r="C999" s="233" t="str">
        <f>_xlfn.XLOOKUP(B999, 'Component Masterlist v2'!A:A, 'Component Masterlist v2'!G:G, "Not found")</f>
        <v>Keith Wiseman</v>
      </c>
      <c r="D999" s="233" t="str">
        <f>_xlfn.XLOOKUP(B999, 'Component Masterlist v2'!A:A, 'Component Masterlist v2'!E:E, "Not found")</f>
        <v>Vaibhav Saini</v>
      </c>
    </row>
    <row r="1000" spans="1:4">
      <c r="A1000" s="226" t="s">
        <v>3092</v>
      </c>
      <c r="B1000" s="227" t="s">
        <v>28</v>
      </c>
      <c r="C1000" s="233" t="str">
        <f>_xlfn.XLOOKUP(B1000, 'Component Masterlist v2'!A:A, 'Component Masterlist v2'!G:G, "Not found")</f>
        <v>Raghu Edalur</v>
      </c>
      <c r="D1000" s="233" t="str">
        <f>_xlfn.XLOOKUP(B1000, 'Component Masterlist v2'!A:A, 'Component Masterlist v2'!E:E, "Not found")</f>
        <v>Parul Jain</v>
      </c>
    </row>
    <row r="1001" spans="1:4">
      <c r="A1001" s="226" t="s">
        <v>3093</v>
      </c>
      <c r="B1001" s="227" t="s">
        <v>45</v>
      </c>
      <c r="C1001" s="233" t="str">
        <f>_xlfn.XLOOKUP(B1001, 'Component Masterlist v2'!A:A, 'Component Masterlist v2'!G:G, "Not found")</f>
        <v>Sanyam Agrawal</v>
      </c>
      <c r="D1001" s="233" t="str">
        <f>_xlfn.XLOOKUP(B1001, 'Component Masterlist v2'!A:A, 'Component Masterlist v2'!E:E, "Not found")</f>
        <v>Ambuj Mehra</v>
      </c>
    </row>
    <row r="1002" spans="1:4">
      <c r="A1002" s="226" t="s">
        <v>3094</v>
      </c>
      <c r="B1002" s="227" t="s">
        <v>13</v>
      </c>
      <c r="C1002" s="233" t="str">
        <f>_xlfn.XLOOKUP(B1002, 'Component Masterlist v2'!A:A, 'Component Masterlist v2'!G:G, "Not found")</f>
        <v>Keith Wiseman</v>
      </c>
      <c r="D1002" s="233" t="str">
        <f>_xlfn.XLOOKUP(B1002, 'Component Masterlist v2'!A:A, 'Component Masterlist v2'!E:E, "Not found")</f>
        <v>Vaibhav Saini</v>
      </c>
    </row>
    <row r="1003" spans="1:4">
      <c r="A1003" s="226" t="s">
        <v>3095</v>
      </c>
      <c r="B1003" s="227" t="s">
        <v>45</v>
      </c>
      <c r="C1003" s="233" t="str">
        <f>_xlfn.XLOOKUP(B1003, 'Component Masterlist v2'!A:A, 'Component Masterlist v2'!G:G, "Not found")</f>
        <v>Sanyam Agrawal</v>
      </c>
      <c r="D1003" s="233" t="str">
        <f>_xlfn.XLOOKUP(B1003, 'Component Masterlist v2'!A:A, 'Component Masterlist v2'!E:E, "Not found")</f>
        <v>Ambuj Mehra</v>
      </c>
    </row>
    <row r="1004" spans="1:4">
      <c r="A1004" s="226" t="s">
        <v>3096</v>
      </c>
      <c r="B1004" s="227" t="s">
        <v>45</v>
      </c>
      <c r="C1004" s="233" t="str">
        <f>_xlfn.XLOOKUP(B1004, 'Component Masterlist v2'!A:A, 'Component Masterlist v2'!G:G, "Not found")</f>
        <v>Sanyam Agrawal</v>
      </c>
      <c r="D1004" s="233" t="str">
        <f>_xlfn.XLOOKUP(B1004, 'Component Masterlist v2'!A:A, 'Component Masterlist v2'!E:E, "Not found")</f>
        <v>Ambuj Mehra</v>
      </c>
    </row>
    <row r="1005" spans="1:4">
      <c r="A1005" s="226" t="s">
        <v>3097</v>
      </c>
      <c r="B1005" s="227" t="s">
        <v>45</v>
      </c>
      <c r="C1005" s="233" t="str">
        <f>_xlfn.XLOOKUP(B1005, 'Component Masterlist v2'!A:A, 'Component Masterlist v2'!G:G, "Not found")</f>
        <v>Sanyam Agrawal</v>
      </c>
      <c r="D1005" s="233" t="str">
        <f>_xlfn.XLOOKUP(B1005, 'Component Masterlist v2'!A:A, 'Component Masterlist v2'!E:E, "Not found")</f>
        <v>Ambuj Mehra</v>
      </c>
    </row>
    <row r="1006" spans="1:4">
      <c r="A1006" s="226" t="s">
        <v>3098</v>
      </c>
      <c r="B1006" s="227" t="s">
        <v>13</v>
      </c>
      <c r="C1006" s="233" t="str">
        <f>_xlfn.XLOOKUP(B1006, 'Component Masterlist v2'!A:A, 'Component Masterlist v2'!G:G, "Not found")</f>
        <v>Keith Wiseman</v>
      </c>
      <c r="D1006" s="233" t="str">
        <f>_xlfn.XLOOKUP(B1006, 'Component Masterlist v2'!A:A, 'Component Masterlist v2'!E:E, "Not found")</f>
        <v>Vaibhav Saini</v>
      </c>
    </row>
    <row r="1007" spans="1:4">
      <c r="A1007" s="226" t="s">
        <v>3099</v>
      </c>
      <c r="B1007" s="227" t="s">
        <v>45</v>
      </c>
      <c r="C1007" s="233" t="str">
        <f>_xlfn.XLOOKUP(B1007, 'Component Masterlist v2'!A:A, 'Component Masterlist v2'!G:G, "Not found")</f>
        <v>Sanyam Agrawal</v>
      </c>
      <c r="D1007" s="233" t="str">
        <f>_xlfn.XLOOKUP(B1007, 'Component Masterlist v2'!A:A, 'Component Masterlist v2'!E:E, "Not found")</f>
        <v>Ambuj Mehra</v>
      </c>
    </row>
    <row r="1008" spans="1:4">
      <c r="A1008" s="226" t="s">
        <v>3100</v>
      </c>
      <c r="B1008" s="227" t="s">
        <v>45</v>
      </c>
      <c r="C1008" s="233" t="str">
        <f>_xlfn.XLOOKUP(B1008, 'Component Masterlist v2'!A:A, 'Component Masterlist v2'!G:G, "Not found")</f>
        <v>Sanyam Agrawal</v>
      </c>
      <c r="D1008" s="233" t="str">
        <f>_xlfn.XLOOKUP(B1008, 'Component Masterlist v2'!A:A, 'Component Masterlist v2'!E:E, "Not found")</f>
        <v>Ambuj Mehra</v>
      </c>
    </row>
    <row r="1009" spans="1:4">
      <c r="A1009" s="226" t="s">
        <v>3101</v>
      </c>
      <c r="B1009" s="227" t="s">
        <v>28</v>
      </c>
      <c r="C1009" s="233" t="str">
        <f>_xlfn.XLOOKUP(B1009, 'Component Masterlist v2'!A:A, 'Component Masterlist v2'!G:G, "Not found")</f>
        <v>Raghu Edalur</v>
      </c>
      <c r="D1009" s="233" t="str">
        <f>_xlfn.XLOOKUP(B1009, 'Component Masterlist v2'!A:A, 'Component Masterlist v2'!E:E, "Not found")</f>
        <v>Parul Jain</v>
      </c>
    </row>
    <row r="1010" spans="1:4">
      <c r="A1010" s="226" t="s">
        <v>3102</v>
      </c>
      <c r="B1010" s="227" t="s">
        <v>11</v>
      </c>
      <c r="C1010" s="233" t="str">
        <f>_xlfn.XLOOKUP(B1010, 'Component Masterlist v2'!A:A, 'Component Masterlist v2'!G:G, "Not found")</f>
        <v>Keith Wiseman</v>
      </c>
      <c r="D1010" s="233" t="str">
        <f>_xlfn.XLOOKUP(B1010, 'Component Masterlist v2'!A:A, 'Component Masterlist v2'!E:E, "Not found")</f>
        <v>Vaibhav Saini</v>
      </c>
    </row>
    <row r="1011" spans="1:4">
      <c r="A1011" s="226" t="s">
        <v>3103</v>
      </c>
      <c r="B1011" s="227" t="s">
        <v>82</v>
      </c>
      <c r="C1011" s="233" t="str">
        <f>_xlfn.XLOOKUP(B1011, 'Component Masterlist v2'!A:A, 'Component Masterlist v2'!G:G, "Not found")</f>
        <v>Ved Singh</v>
      </c>
      <c r="D1011" s="233" t="str">
        <f>_xlfn.XLOOKUP(B1011, 'Component Masterlist v2'!A:A, 'Component Masterlist v2'!E:E, "Not found")</f>
        <v>Arun Gangadhar</v>
      </c>
    </row>
    <row r="1012" spans="1:4">
      <c r="A1012" s="226" t="s">
        <v>3104</v>
      </c>
      <c r="B1012" s="227" t="s">
        <v>13</v>
      </c>
      <c r="C1012" s="233" t="str">
        <f>_xlfn.XLOOKUP(B1012, 'Component Masterlist v2'!A:A, 'Component Masterlist v2'!G:G, "Not found")</f>
        <v>Keith Wiseman</v>
      </c>
      <c r="D1012" s="233" t="str">
        <f>_xlfn.XLOOKUP(B1012, 'Component Masterlist v2'!A:A, 'Component Masterlist v2'!E:E, "Not found")</f>
        <v>Vaibhav Saini</v>
      </c>
    </row>
    <row r="1013" spans="1:4">
      <c r="A1013" s="226" t="s">
        <v>3105</v>
      </c>
      <c r="B1013" s="227" t="s">
        <v>13</v>
      </c>
      <c r="C1013" s="233" t="str">
        <f>_xlfn.XLOOKUP(B1013, 'Component Masterlist v2'!A:A, 'Component Masterlist v2'!G:G, "Not found")</f>
        <v>Keith Wiseman</v>
      </c>
      <c r="D1013" s="233" t="str">
        <f>_xlfn.XLOOKUP(B1013, 'Component Masterlist v2'!A:A, 'Component Masterlist v2'!E:E, "Not found")</f>
        <v>Vaibhav Saini</v>
      </c>
    </row>
    <row r="1014" spans="1:4">
      <c r="A1014" s="226" t="s">
        <v>3106</v>
      </c>
      <c r="B1014" s="227" t="s">
        <v>13</v>
      </c>
      <c r="C1014" s="233" t="str">
        <f>_xlfn.XLOOKUP(B1014, 'Component Masterlist v2'!A:A, 'Component Masterlist v2'!G:G, "Not found")</f>
        <v>Keith Wiseman</v>
      </c>
      <c r="D1014" s="233" t="str">
        <f>_xlfn.XLOOKUP(B1014, 'Component Masterlist v2'!A:A, 'Component Masterlist v2'!E:E, "Not found")</f>
        <v>Vaibhav Saini</v>
      </c>
    </row>
    <row r="1015" spans="1:4">
      <c r="A1015" s="226" t="s">
        <v>3107</v>
      </c>
      <c r="B1015" s="227" t="s">
        <v>15</v>
      </c>
      <c r="C1015" s="233" t="str">
        <f>_xlfn.XLOOKUP(B1015, 'Component Masterlist v2'!A:A, 'Component Masterlist v2'!G:G, "Not found")</f>
        <v>Keith Wiseman</v>
      </c>
      <c r="D1015" s="233" t="str">
        <f>_xlfn.XLOOKUP(B1015, 'Component Masterlist v2'!A:A, 'Component Masterlist v2'!E:E, "Not found")</f>
        <v>Bobby Alexander</v>
      </c>
    </row>
    <row r="1016" spans="1:4">
      <c r="A1016" s="228" t="s">
        <v>720</v>
      </c>
      <c r="B1016" s="229"/>
      <c r="C1016" s="233">
        <f>_xlfn.XLOOKUP(B1016, 'Component Masterlist v2'!A:A, 'Component Masterlist v2'!G:G, "Not found")</f>
        <v>0</v>
      </c>
      <c r="D1016" s="233">
        <f>_xlfn.XLOOKUP(B1016, 'Component Masterlist v2'!A:A, 'Component Masterlist v2'!E:E, "Not found")</f>
        <v>0</v>
      </c>
    </row>
  </sheetData>
  <sheetProtection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599A-E211-4519-A3B6-863063EBF6BA}">
  <dimension ref="A1:N67"/>
  <sheetViews>
    <sheetView topLeftCell="A11" workbookViewId="0">
      <selection activeCell="J28" sqref="J28"/>
    </sheetView>
  </sheetViews>
  <sheetFormatPr defaultColWidth="8.85546875" defaultRowHeight="15"/>
  <cols>
    <col min="1" max="1" width="18" style="25" customWidth="1"/>
    <col min="2" max="2" width="10.7109375" style="25" customWidth="1"/>
    <col min="3" max="4" width="32.85546875" style="5" customWidth="1"/>
    <col min="5" max="6" width="7.140625" style="25" customWidth="1"/>
    <col min="7" max="7" width="9.42578125" style="25" bestFit="1" customWidth="1"/>
    <col min="8" max="9" width="16.28515625" style="25" customWidth="1"/>
    <col min="10" max="10" width="8.85546875" style="7"/>
    <col min="11" max="12" width="8.85546875" style="25"/>
    <col min="13" max="13" width="18.140625" style="25" customWidth="1"/>
    <col min="14" max="16384" width="8.85546875" style="25"/>
  </cols>
  <sheetData>
    <row r="1" spans="1:14" ht="18.75">
      <c r="A1" s="272" t="s">
        <v>3108</v>
      </c>
      <c r="B1" s="273"/>
      <c r="C1" s="2"/>
    </row>
    <row r="2" spans="1:14">
      <c r="A2" s="274" t="s">
        <v>3109</v>
      </c>
    </row>
    <row r="4" spans="1:14" s="5" customFormat="1" ht="27.75">
      <c r="A4" s="275" t="s">
        <v>3</v>
      </c>
      <c r="B4" s="275" t="s">
        <v>3110</v>
      </c>
      <c r="C4" s="276" t="s">
        <v>3111</v>
      </c>
      <c r="D4" s="276" t="s">
        <v>3112</v>
      </c>
      <c r="E4" s="347" t="s">
        <v>3113</v>
      </c>
      <c r="F4" s="347" t="s">
        <v>3114</v>
      </c>
      <c r="G4" s="277" t="s">
        <v>3115</v>
      </c>
      <c r="H4" s="278" t="s">
        <v>3116</v>
      </c>
      <c r="I4" s="278" t="s">
        <v>3117</v>
      </c>
      <c r="J4" s="347" t="s">
        <v>3118</v>
      </c>
      <c r="M4" s="279" t="s">
        <v>3119</v>
      </c>
    </row>
    <row r="5" spans="1:14">
      <c r="A5" s="280" t="s">
        <v>49</v>
      </c>
      <c r="B5" s="281">
        <f>COUNTIF('Component Masterlist v2'!$A$2:$A$376,$A5)</f>
        <v>8</v>
      </c>
      <c r="C5" s="282" t="str" cm="1">
        <f t="array" ref="C5">_xlfn.LET(_xlpm.comp,$A5,_xlpm.c,'Component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5" s="282" t="str" cm="1">
        <f t="array" ref="D5">_xlfn.LET(_xlpm.comp,$A5,_xlpm.c,'Component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(8)</v>
      </c>
      <c r="E5" s="281" cm="1">
        <f t="array" ref="E5">IFERROR(ROWS(_xlfn.UNIQUE(_xlfn._xlws.FILTER('Component Masterlist v2'!$K$2:$K$376,('Component Masterlist v2'!$A$2:$A$376=$A5)*(TRIM(SUBSTITUTE('Component Masterlist v2'!$K$2:$K$376,CHAR(160),""))&lt;&gt;"")*('Component Masterlist v2'!$K$2:$K$376&lt;&gt;"No PM Coverage")*('Component Masterlist v2'!$K$2:$K$376&lt;&gt;"No PM coverage")))),0)</f>
        <v>0</v>
      </c>
      <c r="F5" s="281" cm="1">
        <f t="array" ref="F5">IFERROR(ROWS(_xlfn.UNIQUE(_xlfn._xlws.FILTER('Component Masterlist v2'!$M$2:$M$376,('Component Masterlist v2'!$A$2:$A$376=$A5)*(TRIM(SUBSTITUTE('Component Masterlist v2'!$M$2:$M$376,CHAR(160),""))&lt;&gt;"")*('Component Masterlist v2'!$M$2:$M$376&lt;&gt;"No PM Coverage")*('Component Masterlist v2'!$M$2:$M$376&lt;&gt;"No PM coverage")))),0)</f>
        <v>1</v>
      </c>
      <c r="G5" s="281" t="str">
        <f t="shared" ref="G5:G36" si="0">IF(OR(E5&gt;1,F5&gt;1),"⚠ Multiple","OK")</f>
        <v>OK</v>
      </c>
      <c r="H5" s="280" t="s">
        <v>304</v>
      </c>
      <c r="I5" s="280" t="str" cm="1">
        <f t="array" ref="I5">_xlfn.LET(_xlpm.comp,$A5,_xlpm.c,'Component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5" s="7" t="s">
        <v>190</v>
      </c>
      <c r="M5" s="25" t="s">
        <v>3120</v>
      </c>
      <c r="N5" s="25">
        <f>COUNTA(A5:A57)</f>
        <v>53</v>
      </c>
    </row>
    <row r="6" spans="1:14">
      <c r="A6" s="280" t="s">
        <v>41</v>
      </c>
      <c r="B6" s="281">
        <f>COUNTIF('Component Masterlist v2'!$A$2:$A$376,$A6)</f>
        <v>3</v>
      </c>
      <c r="C6" s="282" t="str" cm="1">
        <f t="array" ref="C6">_xlfn.LET(_xlpm.comp,$A6,_xlpm.c,'Component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Karuppiah Anburaja (1)</v>
      </c>
      <c r="D6" s="282" t="str" cm="1">
        <f t="array" ref="D6">_xlfn.LET(_xlpm.comp,$A6,_xlpm.c,'Component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(3)</v>
      </c>
      <c r="E6" s="281" cm="1">
        <f t="array" ref="E6">IFERROR(ROWS(_xlfn.UNIQUE(_xlfn._xlws.FILTER('Component Masterlist v2'!$K$2:$K$376,('Component Masterlist v2'!$A$2:$A$376=$A6)*(TRIM(SUBSTITUTE('Component Masterlist v2'!$K$2:$K$376,CHAR(160),""))&lt;&gt;"")*('Component Masterlist v2'!$K$2:$K$376&lt;&gt;"No PM Coverage")*('Component Masterlist v2'!$K$2:$K$376&lt;&gt;"No PM coverage")))),0)</f>
        <v>1</v>
      </c>
      <c r="F6" s="281" cm="1">
        <f t="array" ref="F6">IFERROR(ROWS(_xlfn.UNIQUE(_xlfn._xlws.FILTER('Component Masterlist v2'!$M$2:$M$376,('Component Masterlist v2'!$A$2:$A$376=$A6)*(TRIM(SUBSTITUTE('Component Masterlist v2'!$M$2:$M$376,CHAR(160),""))&lt;&gt;"")*('Component Masterlist v2'!$M$2:$M$376&lt;&gt;"No PM Coverage")*('Component Masterlist v2'!$M$2:$M$376&lt;&gt;"No PM coverage")))),0)</f>
        <v>1</v>
      </c>
      <c r="G6" s="281" t="str">
        <f t="shared" si="0"/>
        <v>OK</v>
      </c>
      <c r="H6" s="280" t="str" cm="1">
        <f t="array" ref="H6">_xlfn.LET(_xlpm.comp,$A6,_xlpm.c,'Component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Karuppiah Anburaja</v>
      </c>
      <c r="I6" s="280" t="str" cm="1">
        <f t="array" ref="I6">_xlfn.LET(_xlpm.comp,$A6,_xlpm.c,'Component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6" s="7" t="s">
        <v>3121</v>
      </c>
      <c r="M6" s="25" t="s">
        <v>3122</v>
      </c>
      <c r="N6" s="25">
        <f>COUNTIF(G5:G57,"*Multiple*")</f>
        <v>13</v>
      </c>
    </row>
    <row r="7" spans="1:14">
      <c r="A7" s="280" t="s">
        <v>32</v>
      </c>
      <c r="B7" s="281">
        <f>COUNTIF('Component Masterlist v2'!$A$2:$A$376,$A7)</f>
        <v>13</v>
      </c>
      <c r="C7" s="282" t="str" cm="1">
        <f t="array" ref="C7">_xlfn.LET(_xlpm.comp,$A7,_xlpm.c,'Component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7" s="282" t="str" cm="1">
        <f t="array" ref="D7">_xlfn.LET(_xlpm.comp,$A7,_xlpm.c,'Component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(13)</v>
      </c>
      <c r="E7" s="281" cm="1">
        <f t="array" ref="E7">IFERROR(ROWS(_xlfn.UNIQUE(_xlfn._xlws.FILTER('Component Masterlist v2'!$K$2:$K$376,('Component Masterlist v2'!$A$2:$A$376=$A7)*(TRIM(SUBSTITUTE('Component Masterlist v2'!$K$2:$K$376,CHAR(160),""))&lt;&gt;"")*('Component Masterlist v2'!$K$2:$K$376&lt;&gt;"No PM Coverage")*('Component Masterlist v2'!$K$2:$K$376&lt;&gt;"No PM coverage")))),0)</f>
        <v>0</v>
      </c>
      <c r="F7" s="281" cm="1">
        <f t="array" ref="F7">IFERROR(ROWS(_xlfn.UNIQUE(_xlfn._xlws.FILTER('Component Masterlist v2'!$M$2:$M$376,('Component Masterlist v2'!$A$2:$A$376=$A7)*(TRIM(SUBSTITUTE('Component Masterlist v2'!$M$2:$M$376,CHAR(160),""))&lt;&gt;"")*('Component Masterlist v2'!$M$2:$M$376&lt;&gt;"No PM Coverage")*('Component Masterlist v2'!$M$2:$M$376&lt;&gt;"No PM coverage")))),0)</f>
        <v>1</v>
      </c>
      <c r="G7" s="281" t="str">
        <f t="shared" si="0"/>
        <v>OK</v>
      </c>
      <c r="H7" s="280" t="s">
        <v>3123</v>
      </c>
      <c r="I7" s="280" t="str" cm="1">
        <f t="array" ref="I7">_xlfn.LET(_xlpm.comp,$A7,_xlpm.c,'Component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7" s="7" t="s">
        <v>190</v>
      </c>
      <c r="M7" s="25" t="s">
        <v>3124</v>
      </c>
      <c r="N7" s="25">
        <f>COUNTIFS(E5:E57,0,F5:F57,"&gt;0")</f>
        <v>13</v>
      </c>
    </row>
    <row r="8" spans="1:14" ht="27.75">
      <c r="A8" s="280" t="s">
        <v>62</v>
      </c>
      <c r="B8" s="281">
        <f>COUNTIF('Component Masterlist v2'!$A$2:$A$376,$A8)</f>
        <v>12</v>
      </c>
      <c r="C8" s="282" t="str" cm="1">
        <f t="array" ref="C8">_xlfn.LET(_xlpm.comp,$A8,_xlpm.c,'Component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Ashish Kalya (9), Rashmi Prakash (3)</v>
      </c>
      <c r="D8" s="282" t="str" cm="1">
        <f t="array" ref="D8">_xlfn.LET(_xlpm.comp,$A8,_xlpm.c,'Component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(9), Satyavrat Mudgil (3)</v>
      </c>
      <c r="E8" s="281" cm="1">
        <f t="array" ref="E8">IFERROR(ROWS(_xlfn.UNIQUE(_xlfn._xlws.FILTER('Component Masterlist v2'!$K$2:$K$376,('Component Masterlist v2'!$A$2:$A$376=$A8)*(TRIM(SUBSTITUTE('Component Masterlist v2'!$K$2:$K$376,CHAR(160),""))&lt;&gt;"")*('Component Masterlist v2'!$K$2:$K$376&lt;&gt;"No PM Coverage")*('Component Masterlist v2'!$K$2:$K$376&lt;&gt;"No PM coverage")))),0)</f>
        <v>2</v>
      </c>
      <c r="F8" s="281" cm="1">
        <f t="array" ref="F8">IFERROR(ROWS(_xlfn.UNIQUE(_xlfn._xlws.FILTER('Component Masterlist v2'!$M$2:$M$376,('Component Masterlist v2'!$A$2:$A$376=$A8)*(TRIM(SUBSTITUTE('Component Masterlist v2'!$M$2:$M$376,CHAR(160),""))&lt;&gt;"")*('Component Masterlist v2'!$M$2:$M$376&lt;&gt;"No PM Coverage")*('Component Masterlist v2'!$M$2:$M$376&lt;&gt;"No PM coverage")))),0)</f>
        <v>2</v>
      </c>
      <c r="G8" s="281" t="str">
        <f t="shared" si="0"/>
        <v>⚠ Multiple</v>
      </c>
      <c r="H8" s="280" t="str" cm="1">
        <f t="array" ref="H8">_xlfn.LET(_xlpm.comp,$A8,_xlpm.c,'Component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Ashish Kalya</v>
      </c>
      <c r="I8" s="280" t="str" cm="1">
        <f t="array" ref="I8">_xlfn.LET(_xlpm.comp,$A8,_xlpm.c,'Component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8" s="7" t="s">
        <v>190</v>
      </c>
      <c r="M8" s="5" t="s">
        <v>3125</v>
      </c>
      <c r="N8" s="25">
        <f>COUNTIFS(E5:E57,0,F5:F57,0)</f>
        <v>11</v>
      </c>
    </row>
    <row r="9" spans="1:14">
      <c r="A9" s="280" t="s">
        <v>90</v>
      </c>
      <c r="B9" s="281">
        <f>COUNTIF('Component Masterlist v2'!$A$2:$A$376,$A9)</f>
        <v>6</v>
      </c>
      <c r="C9" s="282" t="str" cm="1">
        <f t="array" ref="C9">_xlfn.LET(_xlpm.comp,$A9,_xlpm.c,'Component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Ashish Kalya (5)</v>
      </c>
      <c r="D9" s="282" t="str" cm="1">
        <f t="array" ref="D9">_xlfn.LET(_xlpm.comp,$A9,_xlpm.c,'Component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(6)</v>
      </c>
      <c r="E9" s="281" cm="1">
        <f t="array" ref="E9">IFERROR(ROWS(_xlfn.UNIQUE(_xlfn._xlws.FILTER('Component Masterlist v2'!$K$2:$K$376,('Component Masterlist v2'!$A$2:$A$376=$A9)*(TRIM(SUBSTITUTE('Component Masterlist v2'!$K$2:$K$376,CHAR(160),""))&lt;&gt;"")*('Component Masterlist v2'!$K$2:$K$376&lt;&gt;"No PM Coverage")*('Component Masterlist v2'!$K$2:$K$376&lt;&gt;"No PM coverage")))),0)</f>
        <v>1</v>
      </c>
      <c r="F9" s="281" cm="1">
        <f t="array" ref="F9">IFERROR(ROWS(_xlfn.UNIQUE(_xlfn._xlws.FILTER('Component Masterlist v2'!$M$2:$M$376,('Component Masterlist v2'!$A$2:$A$376=$A9)*(TRIM(SUBSTITUTE('Component Masterlist v2'!$M$2:$M$376,CHAR(160),""))&lt;&gt;"")*('Component Masterlist v2'!$M$2:$M$376&lt;&gt;"No PM Coverage")*('Component Masterlist v2'!$M$2:$M$376&lt;&gt;"No PM coverage")))),0)</f>
        <v>1</v>
      </c>
      <c r="G9" s="281" t="str">
        <f t="shared" si="0"/>
        <v>OK</v>
      </c>
      <c r="H9" s="280" t="str" cm="1">
        <f t="array" ref="H9">_xlfn.LET(_xlpm.comp,$A9,_xlpm.c,'Component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Ashish Kalya</v>
      </c>
      <c r="I9" s="280" t="str" cm="1">
        <f t="array" ref="I9">_xlfn.LET(_xlpm.comp,$A9,_xlpm.c,'Component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9" s="7" t="s">
        <v>190</v>
      </c>
    </row>
    <row r="10" spans="1:14" ht="27.75">
      <c r="A10" s="280" t="s">
        <v>67</v>
      </c>
      <c r="B10" s="281">
        <f>COUNTIF('Component Masterlist v2'!$A$2:$A$376,$A10)</f>
        <v>12</v>
      </c>
      <c r="C10" s="282" t="str" cm="1">
        <f t="array" ref="C10">_xlfn.LET(_xlpm.comp,$A10,_xlpm.c,'Component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Ashish Kalya (9), Rashmi Prakash (3)</v>
      </c>
      <c r="D10" s="282" t="str" cm="1">
        <f t="array" ref="D10">_xlfn.LET(_xlpm.comp,$A10,_xlpm.c,'Component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(9), Satyavrat Mudgil (3)</v>
      </c>
      <c r="E10" s="281" cm="1">
        <f t="array" ref="E10">IFERROR(ROWS(_xlfn.UNIQUE(_xlfn._xlws.FILTER('Component Masterlist v2'!$K$2:$K$376,('Component Masterlist v2'!$A$2:$A$376=$A10)*(TRIM(SUBSTITUTE('Component Masterlist v2'!$K$2:$K$376,CHAR(160),""))&lt;&gt;"")*('Component Masterlist v2'!$K$2:$K$376&lt;&gt;"No PM Coverage")*('Component Masterlist v2'!$K$2:$K$376&lt;&gt;"No PM coverage")))),0)</f>
        <v>2</v>
      </c>
      <c r="F10" s="281" cm="1">
        <f t="array" ref="F10">IFERROR(ROWS(_xlfn.UNIQUE(_xlfn._xlws.FILTER('Component Masterlist v2'!$M$2:$M$376,('Component Masterlist v2'!$A$2:$A$376=$A10)*(TRIM(SUBSTITUTE('Component Masterlist v2'!$M$2:$M$376,CHAR(160),""))&lt;&gt;"")*('Component Masterlist v2'!$M$2:$M$376&lt;&gt;"No PM Coverage")*('Component Masterlist v2'!$M$2:$M$376&lt;&gt;"No PM coverage")))),0)</f>
        <v>2</v>
      </c>
      <c r="G10" s="281" t="str">
        <f t="shared" si="0"/>
        <v>⚠ Multiple</v>
      </c>
      <c r="H10" s="280" t="str" cm="1">
        <f t="array" ref="H10">_xlfn.LET(_xlpm.comp,$A10,_xlpm.c,'Component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Ashish Kalya</v>
      </c>
      <c r="I10" s="280" t="str" cm="1">
        <f t="array" ref="I10">_xlfn.LET(_xlpm.comp,$A10,_xlpm.c,'Component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10" s="7" t="s">
        <v>190</v>
      </c>
    </row>
    <row r="11" spans="1:14" ht="27.75">
      <c r="A11" s="280" t="s">
        <v>68</v>
      </c>
      <c r="B11" s="281">
        <f>COUNTIF('Component Masterlist v2'!$A$2:$A$376,$A11)</f>
        <v>10</v>
      </c>
      <c r="C11" s="282" t="str" cm="1">
        <f t="array" ref="C11">_xlfn.LET(_xlpm.comp,$A11,_xlpm.c,'Component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Ashish Kalya (7), Rashmi Prakash (3)</v>
      </c>
      <c r="D11" s="282" t="str" cm="1">
        <f t="array" ref="D11">_xlfn.LET(_xlpm.comp,$A11,_xlpm.c,'Component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(7), Satyavrat Mudgil (3)</v>
      </c>
      <c r="E11" s="281" cm="1">
        <f t="array" ref="E11">IFERROR(ROWS(_xlfn.UNIQUE(_xlfn._xlws.FILTER('Component Masterlist v2'!$K$2:$K$376,('Component Masterlist v2'!$A$2:$A$376=$A11)*(TRIM(SUBSTITUTE('Component Masterlist v2'!$K$2:$K$376,CHAR(160),""))&lt;&gt;"")*('Component Masterlist v2'!$K$2:$K$376&lt;&gt;"No PM Coverage")*('Component Masterlist v2'!$K$2:$K$376&lt;&gt;"No PM coverage")))),0)</f>
        <v>2</v>
      </c>
      <c r="F11" s="281" cm="1">
        <f t="array" ref="F11">IFERROR(ROWS(_xlfn.UNIQUE(_xlfn._xlws.FILTER('Component Masterlist v2'!$M$2:$M$376,('Component Masterlist v2'!$A$2:$A$376=$A11)*(TRIM(SUBSTITUTE('Component Masterlist v2'!$M$2:$M$376,CHAR(160),""))&lt;&gt;"")*('Component Masterlist v2'!$M$2:$M$376&lt;&gt;"No PM Coverage")*('Component Masterlist v2'!$M$2:$M$376&lt;&gt;"No PM coverage")))),0)</f>
        <v>2</v>
      </c>
      <c r="G11" s="281" t="str">
        <f t="shared" si="0"/>
        <v>⚠ Multiple</v>
      </c>
      <c r="H11" s="280" t="str" cm="1">
        <f t="array" ref="H11">_xlfn.LET(_xlpm.comp,$A11,_xlpm.c,'Component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Ashish Kalya</v>
      </c>
      <c r="I11" s="280" t="str" cm="1">
        <f t="array" ref="I11">_xlfn.LET(_xlpm.comp,$A11,_xlpm.c,'Component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11" s="7" t="s">
        <v>190</v>
      </c>
    </row>
    <row r="12" spans="1:14">
      <c r="A12" s="280" t="s">
        <v>33</v>
      </c>
      <c r="B12" s="281">
        <f>COUNTIF('Component Masterlist v2'!$A$2:$A$376,$A12)</f>
        <v>1</v>
      </c>
      <c r="C12" s="282" t="str" cm="1">
        <f t="array" ref="C12">_xlfn.LET(_xlpm.comp,$A12,_xlpm.c,'Component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12" s="282" t="str" cm="1">
        <f t="array" ref="D12">_xlfn.LET(_xlpm.comp,$A12,_xlpm.c,'Component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Saurabh Pandey (1)</v>
      </c>
      <c r="E12" s="281" cm="1">
        <f t="array" ref="E12">IFERROR(ROWS(_xlfn.UNIQUE(_xlfn._xlws.FILTER('Component Masterlist v2'!$K$2:$K$376,('Component Masterlist v2'!$A$2:$A$376=$A12)*(TRIM(SUBSTITUTE('Component Masterlist v2'!$K$2:$K$376,CHAR(160),""))&lt;&gt;"")*('Component Masterlist v2'!$K$2:$K$376&lt;&gt;"No PM Coverage")*('Component Masterlist v2'!$K$2:$K$376&lt;&gt;"No PM coverage")))),0)</f>
        <v>0</v>
      </c>
      <c r="F12" s="281" cm="1">
        <f t="array" ref="F12">IFERROR(ROWS(_xlfn.UNIQUE(_xlfn._xlws.FILTER('Component Masterlist v2'!$M$2:$M$376,('Component Masterlist v2'!$A$2:$A$376=$A12)*(TRIM(SUBSTITUTE('Component Masterlist v2'!$M$2:$M$376,CHAR(160),""))&lt;&gt;"")*('Component Masterlist v2'!$M$2:$M$376&lt;&gt;"No PM Coverage")*('Component Masterlist v2'!$M$2:$M$376&lt;&gt;"No PM coverage")))),0)</f>
        <v>1</v>
      </c>
      <c r="G12" s="281" t="str">
        <f t="shared" si="0"/>
        <v>OK</v>
      </c>
      <c r="H12" s="280" t="str" cm="1">
        <f t="array" ref="H12">_xlfn.LET(_xlpm.comp,$A12,_xlpm.c,'Component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12" s="280" t="str" cm="1">
        <f t="array" ref="I12">_xlfn.LET(_xlpm.comp,$A12,_xlpm.c,'Component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Saurabh Pandey</v>
      </c>
      <c r="J12" s="7" t="s">
        <v>190</v>
      </c>
    </row>
    <row r="13" spans="1:14">
      <c r="A13" s="280" t="s">
        <v>57</v>
      </c>
      <c r="B13" s="281">
        <f>COUNTIF('Component Masterlist v2'!$A$2:$A$376,$A13)</f>
        <v>5</v>
      </c>
      <c r="C13" s="282" t="str" cm="1">
        <f t="array" ref="C13">_xlfn.LET(_xlpm.comp,$A13,_xlpm.c,'Component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13" s="282" t="str" cm="1">
        <f t="array" ref="D13">_xlfn.LET(_xlpm.comp,$A13,_xlpm.c,'Component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(5)</v>
      </c>
      <c r="E13" s="281" cm="1">
        <f t="array" ref="E13">IFERROR(ROWS(_xlfn.UNIQUE(_xlfn._xlws.FILTER('Component Masterlist v2'!$K$2:$K$376,('Component Masterlist v2'!$A$2:$A$376=$A13)*(TRIM(SUBSTITUTE('Component Masterlist v2'!$K$2:$K$376,CHAR(160),""))&lt;&gt;"")*('Component Masterlist v2'!$K$2:$K$376&lt;&gt;"No PM Coverage")*('Component Masterlist v2'!$K$2:$K$376&lt;&gt;"No PM coverage")))),0)</f>
        <v>0</v>
      </c>
      <c r="F13" s="281" cm="1">
        <f t="array" ref="F13">IFERROR(ROWS(_xlfn.UNIQUE(_xlfn._xlws.FILTER('Component Masterlist v2'!$M$2:$M$376,('Component Masterlist v2'!$A$2:$A$376=$A13)*(TRIM(SUBSTITUTE('Component Masterlist v2'!$M$2:$M$376,CHAR(160),""))&lt;&gt;"")*('Component Masterlist v2'!$M$2:$M$376&lt;&gt;"No PM Coverage")*('Component Masterlist v2'!$M$2:$M$376&lt;&gt;"No PM coverage")))),0)</f>
        <v>1</v>
      </c>
      <c r="G13" s="281" t="str">
        <f t="shared" si="0"/>
        <v>OK</v>
      </c>
      <c r="H13" s="280" t="str" cm="1">
        <f t="array" ref="H13">_xlfn.LET(_xlpm.comp,$A13,_xlpm.c,'Component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13" s="280" t="str" cm="1">
        <f t="array" ref="I13">_xlfn.LET(_xlpm.comp,$A13,_xlpm.c,'Component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13" s="7" t="s">
        <v>190</v>
      </c>
    </row>
    <row r="14" spans="1:14">
      <c r="A14" s="280" t="s">
        <v>11</v>
      </c>
      <c r="B14" s="281">
        <f>COUNTIF('Component Masterlist v2'!$A$2:$A$376,$A14)</f>
        <v>3</v>
      </c>
      <c r="C14" s="282" t="str" cm="1">
        <f t="array" ref="C14">_xlfn.LET(_xlpm.comp,$A14,_xlpm.c,'Component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Tom Jude Ammanthurutil (2)</v>
      </c>
      <c r="D14" s="282" t="str" cm="1">
        <f t="array" ref="D14">_xlfn.LET(_xlpm.comp,$A14,_xlpm.c,'Component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Turker Coskun (2)</v>
      </c>
      <c r="E14" s="281" cm="1">
        <f t="array" ref="E14">IFERROR(ROWS(_xlfn.UNIQUE(_xlfn._xlws.FILTER('Component Masterlist v2'!$K$2:$K$376,('Component Masterlist v2'!$A$2:$A$376=$A14)*(TRIM(SUBSTITUTE('Component Masterlist v2'!$K$2:$K$376,CHAR(160),""))&lt;&gt;"")*('Component Masterlist v2'!$K$2:$K$376&lt;&gt;"No PM Coverage")*('Component Masterlist v2'!$K$2:$K$376&lt;&gt;"No PM coverage")))),0)</f>
        <v>1</v>
      </c>
      <c r="F14" s="281" cm="1">
        <f t="array" ref="F14">IFERROR(ROWS(_xlfn.UNIQUE(_xlfn._xlws.FILTER('Component Masterlist v2'!$M$2:$M$376,('Component Masterlist v2'!$A$2:$A$376=$A14)*(TRIM(SUBSTITUTE('Component Masterlist v2'!$M$2:$M$376,CHAR(160),""))&lt;&gt;"")*('Component Masterlist v2'!$M$2:$M$376&lt;&gt;"No PM Coverage")*('Component Masterlist v2'!$M$2:$M$376&lt;&gt;"No PM coverage")))),0)</f>
        <v>1</v>
      </c>
      <c r="G14" s="281" t="str">
        <f t="shared" si="0"/>
        <v>OK</v>
      </c>
      <c r="H14" s="280" t="str" cm="1">
        <f t="array" ref="H14">_xlfn.LET(_xlpm.comp,$A14,_xlpm.c,'Component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Tom Jude Ammanthurutil</v>
      </c>
      <c r="I14" s="280" t="str" cm="1">
        <f t="array" ref="I14">_xlfn.LET(_xlpm.comp,$A14,_xlpm.c,'Component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Turker Coskun</v>
      </c>
      <c r="J14" s="7" t="s">
        <v>190</v>
      </c>
    </row>
    <row r="15" spans="1:14" ht="41.25">
      <c r="A15" s="280" t="s">
        <v>63</v>
      </c>
      <c r="B15" s="281">
        <f>COUNTIF('Component Masterlist v2'!$A$2:$A$376,$A15)</f>
        <v>10</v>
      </c>
      <c r="C15" s="282" t="str" cm="1">
        <f t="array" ref="C15">_xlfn.LET(_xlpm.comp,$A15,_xlpm.c,'Component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Tom Jude Ammanthurutil (1), Irfan Presswala (7), Jason Baab (1), Ashish Kalya (1)</v>
      </c>
      <c r="D15" s="282" t="str" cm="1">
        <f t="array" ref="D15">_xlfn.LET(_xlpm.comp,$A15,_xlpm.c,'Component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Turker Coskun (1), Satyavrat Mudgil (7), Justin Hou (1), Shiva Somasundaram (1)</v>
      </c>
      <c r="E15" s="281" cm="1">
        <f t="array" ref="E15">IFERROR(ROWS(_xlfn.UNIQUE(_xlfn._xlws.FILTER('Component Masterlist v2'!$K$2:$K$376,('Component Masterlist v2'!$A$2:$A$376=$A15)*(TRIM(SUBSTITUTE('Component Masterlist v2'!$K$2:$K$376,CHAR(160),""))&lt;&gt;"")*('Component Masterlist v2'!$K$2:$K$376&lt;&gt;"No PM Coverage")*('Component Masterlist v2'!$K$2:$K$376&lt;&gt;"No PM coverage")))),0)</f>
        <v>4</v>
      </c>
      <c r="F15" s="281" cm="1">
        <f t="array" ref="F15">IFERROR(ROWS(_xlfn.UNIQUE(_xlfn._xlws.FILTER('Component Masterlist v2'!$M$2:$M$376,('Component Masterlist v2'!$A$2:$A$376=$A15)*(TRIM(SUBSTITUTE('Component Masterlist v2'!$M$2:$M$376,CHAR(160),""))&lt;&gt;"")*('Component Masterlist v2'!$M$2:$M$376&lt;&gt;"No PM Coverage")*('Component Masterlist v2'!$M$2:$M$376&lt;&gt;"No PM coverage")))),0)</f>
        <v>4</v>
      </c>
      <c r="G15" s="281" t="str">
        <f t="shared" si="0"/>
        <v>⚠ Multiple</v>
      </c>
      <c r="H15" s="280" t="str" cm="1">
        <f t="array" ref="H15">_xlfn.LET(_xlpm.comp,$A15,_xlpm.c,'Component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Irfan Presswala</v>
      </c>
      <c r="I15" s="280" t="str" cm="1">
        <f t="array" ref="I15">_xlfn.LET(_xlpm.comp,$A15,_xlpm.c,'Component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15" s="7" t="s">
        <v>190</v>
      </c>
    </row>
    <row r="16" spans="1:14" ht="27.75">
      <c r="A16" s="280" t="s">
        <v>13</v>
      </c>
      <c r="B16" s="281">
        <f>COUNTIF('Component Masterlist v2'!$A$2:$A$376,$A16)</f>
        <v>7</v>
      </c>
      <c r="C16" s="282" t="str" cm="1">
        <f t="array" ref="C16">_xlfn.LET(_xlpm.comp,$A16,_xlpm.c,'Component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Vijayakumar B (6), Rashmi Prakash (1)</v>
      </c>
      <c r="D16" s="282" t="str" cm="1">
        <f t="array" ref="D16">_xlfn.LET(_xlpm.comp,$A16,_xlpm.c,'Component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(6), Satyavrat Mudgil (1)</v>
      </c>
      <c r="E16" s="281" cm="1">
        <f t="array" ref="E16">IFERROR(ROWS(_xlfn.UNIQUE(_xlfn._xlws.FILTER('Component Masterlist v2'!$K$2:$K$376,('Component Masterlist v2'!$A$2:$A$376=$A16)*(TRIM(SUBSTITUTE('Component Masterlist v2'!$K$2:$K$376,CHAR(160),""))&lt;&gt;"")*('Component Masterlist v2'!$K$2:$K$376&lt;&gt;"No PM Coverage")*('Component Masterlist v2'!$K$2:$K$376&lt;&gt;"No PM coverage")))),0)</f>
        <v>2</v>
      </c>
      <c r="F16" s="281" cm="1">
        <f t="array" ref="F16">IFERROR(ROWS(_xlfn.UNIQUE(_xlfn._xlws.FILTER('Component Masterlist v2'!$M$2:$M$376,('Component Masterlist v2'!$A$2:$A$376=$A16)*(TRIM(SUBSTITUTE('Component Masterlist v2'!$M$2:$M$376,CHAR(160),""))&lt;&gt;"")*('Component Masterlist v2'!$M$2:$M$376&lt;&gt;"No PM Coverage")*('Component Masterlist v2'!$M$2:$M$376&lt;&gt;"No PM coverage")))),0)</f>
        <v>2</v>
      </c>
      <c r="G16" s="281" t="str">
        <f t="shared" si="0"/>
        <v>⚠ Multiple</v>
      </c>
      <c r="H16" s="280" t="str" cm="1">
        <f t="array" ref="H16">_xlfn.LET(_xlpm.comp,$A16,_xlpm.c,'Component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Vijayakumar B</v>
      </c>
      <c r="I16" s="280" t="str" cm="1">
        <f t="array" ref="I16">_xlfn.LET(_xlpm.comp,$A16,_xlpm.c,'Component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16" s="7" t="s">
        <v>190</v>
      </c>
    </row>
    <row r="17" spans="1:10">
      <c r="A17" s="280" t="s">
        <v>29</v>
      </c>
      <c r="B17" s="281">
        <f>COUNTIF('Component Masterlist v2'!$A$2:$A$376,$A17)</f>
        <v>1</v>
      </c>
      <c r="C17" s="282" t="str" cm="1">
        <f t="array" ref="C17">_xlfn.LET(_xlpm.comp,$A17,_xlpm.c,'Component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17" s="282" t="str" cm="1">
        <f t="array" ref="D17">_xlfn.LET(_xlpm.comp,$A17,_xlpm.c,'Component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17" s="281" cm="1">
        <f t="array" ref="E17">IFERROR(ROWS(_xlfn.UNIQUE(_xlfn._xlws.FILTER('Component Masterlist v2'!$K$2:$K$376,('Component Masterlist v2'!$A$2:$A$376=$A17)*(TRIM(SUBSTITUTE('Component Masterlist v2'!$K$2:$K$376,CHAR(160),""))&lt;&gt;"")*('Component Masterlist v2'!$K$2:$K$376&lt;&gt;"No PM Coverage")*('Component Masterlist v2'!$K$2:$K$376&lt;&gt;"No PM coverage")))),0)</f>
        <v>0</v>
      </c>
      <c r="F17" s="281" cm="1">
        <f t="array" ref="F17">IFERROR(ROWS(_xlfn.UNIQUE(_xlfn._xlws.FILTER('Component Masterlist v2'!$M$2:$M$376,('Component Masterlist v2'!$A$2:$A$376=$A17)*(TRIM(SUBSTITUTE('Component Masterlist v2'!$M$2:$M$376,CHAR(160),""))&lt;&gt;"")*('Component Masterlist v2'!$M$2:$M$376&lt;&gt;"No PM Coverage")*('Component Masterlist v2'!$M$2:$M$376&lt;&gt;"No PM coverage")))),0)</f>
        <v>0</v>
      </c>
      <c r="G17" s="281" t="str">
        <f t="shared" si="0"/>
        <v>OK</v>
      </c>
      <c r="H17" s="280" t="str" cm="1">
        <f t="array" ref="H17">_xlfn.LET(_xlpm.comp,$A17,_xlpm.c,'Component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17" s="280" t="str" cm="1">
        <f t="array" ref="I17">_xlfn.LET(_xlpm.comp,$A17,_xlpm.c,'Component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17" s="7" t="s">
        <v>192</v>
      </c>
    </row>
    <row r="18" spans="1:10" ht="41.25">
      <c r="A18" s="280" t="s">
        <v>61</v>
      </c>
      <c r="B18" s="281">
        <f>COUNTIF('Component Masterlist v2'!$A$2:$A$376,$A18)</f>
        <v>13</v>
      </c>
      <c r="C18" s="282" t="str" cm="1">
        <f t="array" ref="C18">_xlfn.LET(_xlpm.comp,$A18,_xlpm.c,'Component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Tom Jude Ammanthurutil (7), Irfan Presswala (2), Suraj Jain (1), Ashish Kalya (1)</v>
      </c>
      <c r="D18" s="282" t="str" cm="1">
        <f t="array" ref="D18">_xlfn.LET(_xlpm.comp,$A18,_xlpm.c,'Component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(5), Turker Coskun (7), Shiva Somasundaram (1)</v>
      </c>
      <c r="E18" s="281" cm="1">
        <f t="array" ref="E18">IFERROR(ROWS(_xlfn.UNIQUE(_xlfn._xlws.FILTER('Component Masterlist v2'!$K$2:$K$376,('Component Masterlist v2'!$A$2:$A$376=$A18)*(TRIM(SUBSTITUTE('Component Masterlist v2'!$K$2:$K$376,CHAR(160),""))&lt;&gt;"")*('Component Masterlist v2'!$K$2:$K$376&lt;&gt;"No PM Coverage")*('Component Masterlist v2'!$K$2:$K$376&lt;&gt;"No PM coverage")))),0)</f>
        <v>4</v>
      </c>
      <c r="F18" s="281" cm="1">
        <f t="array" ref="F18">IFERROR(ROWS(_xlfn.UNIQUE(_xlfn._xlws.FILTER('Component Masterlist v2'!$M$2:$M$376,('Component Masterlist v2'!$A$2:$A$376=$A18)*(TRIM(SUBSTITUTE('Component Masterlist v2'!$M$2:$M$376,CHAR(160),""))&lt;&gt;"")*('Component Masterlist v2'!$M$2:$M$376&lt;&gt;"No PM Coverage")*('Component Masterlist v2'!$M$2:$M$376&lt;&gt;"No PM coverage")))),0)</f>
        <v>3</v>
      </c>
      <c r="G18" s="281" t="str">
        <f t="shared" si="0"/>
        <v>⚠ Multiple</v>
      </c>
      <c r="H18" s="280" t="str" cm="1">
        <f t="array" ref="H18">_xlfn.LET(_xlpm.comp,$A18,_xlpm.c,'Component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Tom Jude Ammanthurutil</v>
      </c>
      <c r="I18" s="280" t="str" cm="1">
        <f t="array" ref="I18">_xlfn.LET(_xlpm.comp,$A18,_xlpm.c,'Component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Turker Coskun</v>
      </c>
      <c r="J18" s="7" t="s">
        <v>190</v>
      </c>
    </row>
    <row r="19" spans="1:10">
      <c r="A19" s="280" t="s">
        <v>81</v>
      </c>
      <c r="B19" s="281">
        <f>COUNTIF('Component Masterlist v2'!$A$2:$A$376,$A19)</f>
        <v>1</v>
      </c>
      <c r="C19" s="282" t="str" cm="1">
        <f t="array" ref="C19">_xlfn.LET(_xlpm.comp,$A19,_xlpm.c,'Component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Rashmi Prakash (1)</v>
      </c>
      <c r="D19" s="282" t="str" cm="1">
        <f t="array" ref="D19">_xlfn.LET(_xlpm.comp,$A19,_xlpm.c,'Component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(1)</v>
      </c>
      <c r="E19" s="281" cm="1">
        <f t="array" ref="E19">IFERROR(ROWS(_xlfn.UNIQUE(_xlfn._xlws.FILTER('Component Masterlist v2'!$K$2:$K$376,('Component Masterlist v2'!$A$2:$A$376=$A19)*(TRIM(SUBSTITUTE('Component Masterlist v2'!$K$2:$K$376,CHAR(160),""))&lt;&gt;"")*('Component Masterlist v2'!$K$2:$K$376&lt;&gt;"No PM Coverage")*('Component Masterlist v2'!$K$2:$K$376&lt;&gt;"No PM coverage")))),0)</f>
        <v>1</v>
      </c>
      <c r="F19" s="281" cm="1">
        <f t="array" ref="F19">IFERROR(ROWS(_xlfn.UNIQUE(_xlfn._xlws.FILTER('Component Masterlist v2'!$M$2:$M$376,('Component Masterlist v2'!$A$2:$A$376=$A19)*(TRIM(SUBSTITUTE('Component Masterlist v2'!$M$2:$M$376,CHAR(160),""))&lt;&gt;"")*('Component Masterlist v2'!$M$2:$M$376&lt;&gt;"No PM Coverage")*('Component Masterlist v2'!$M$2:$M$376&lt;&gt;"No PM coverage")))),0)</f>
        <v>1</v>
      </c>
      <c r="G19" s="281" t="str">
        <f t="shared" si="0"/>
        <v>OK</v>
      </c>
      <c r="H19" s="280" t="str" cm="1">
        <f t="array" ref="H19">_xlfn.LET(_xlpm.comp,$A19,_xlpm.c,'Component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Rashmi Prakash</v>
      </c>
      <c r="I19" s="280" t="str" cm="1">
        <f t="array" ref="I19">_xlfn.LET(_xlpm.comp,$A19,_xlpm.c,'Component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19" s="7" t="s">
        <v>190</v>
      </c>
    </row>
    <row r="20" spans="1:10">
      <c r="A20" s="280" t="s">
        <v>50</v>
      </c>
      <c r="B20" s="281">
        <f>COUNTIF('Component Masterlist v2'!$A$2:$A$376,$A20)</f>
        <v>1</v>
      </c>
      <c r="C20" s="282" t="str" cm="1">
        <f t="array" ref="C20">_xlfn.LET(_xlpm.comp,$A20,_xlpm.c,'Component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20" s="282" t="str" cm="1">
        <f t="array" ref="D20">_xlfn.LET(_xlpm.comp,$A20,_xlpm.c,'Component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(1)</v>
      </c>
      <c r="E20" s="281" cm="1">
        <f t="array" ref="E20">IFERROR(ROWS(_xlfn.UNIQUE(_xlfn._xlws.FILTER('Component Masterlist v2'!$K$2:$K$376,('Component Masterlist v2'!$A$2:$A$376=$A20)*(TRIM(SUBSTITUTE('Component Masterlist v2'!$K$2:$K$376,CHAR(160),""))&lt;&gt;"")*('Component Masterlist v2'!$K$2:$K$376&lt;&gt;"No PM Coverage")*('Component Masterlist v2'!$K$2:$K$376&lt;&gt;"No PM coverage")))),0)</f>
        <v>0</v>
      </c>
      <c r="F20" s="281" cm="1">
        <f t="array" ref="F20">IFERROR(ROWS(_xlfn.UNIQUE(_xlfn._xlws.FILTER('Component Masterlist v2'!$M$2:$M$376,('Component Masterlist v2'!$A$2:$A$376=$A20)*(TRIM(SUBSTITUTE('Component Masterlist v2'!$M$2:$M$376,CHAR(160),""))&lt;&gt;"")*('Component Masterlist v2'!$M$2:$M$376&lt;&gt;"No PM Coverage")*('Component Masterlist v2'!$M$2:$M$376&lt;&gt;"No PM coverage")))),0)</f>
        <v>1</v>
      </c>
      <c r="G20" s="281" t="str">
        <f t="shared" si="0"/>
        <v>OK</v>
      </c>
      <c r="H20" s="280" t="str" cm="1">
        <f t="array" ref="H20">_xlfn.LET(_xlpm.comp,$A20,_xlpm.c,'Component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20" s="280" t="str" cm="1">
        <f t="array" ref="I20">_xlfn.LET(_xlpm.comp,$A20,_xlpm.c,'Component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20" s="7" t="s">
        <v>190</v>
      </c>
    </row>
    <row r="21" spans="1:10">
      <c r="A21" s="280" t="s">
        <v>91</v>
      </c>
      <c r="B21" s="281">
        <f>COUNTIF('Component Masterlist v2'!$A$2:$A$376,$A21)</f>
        <v>5</v>
      </c>
      <c r="C21" s="282" t="str" cm="1">
        <f t="array" ref="C21">_xlfn.LET(_xlpm.comp,$A21,_xlpm.c,'Component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Ashish Kalya (5)</v>
      </c>
      <c r="D21" s="282" t="str" cm="1">
        <f t="array" ref="D21">_xlfn.LET(_xlpm.comp,$A21,_xlpm.c,'Component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(5)</v>
      </c>
      <c r="E21" s="281" cm="1">
        <f t="array" ref="E21">IFERROR(ROWS(_xlfn.UNIQUE(_xlfn._xlws.FILTER('Component Masterlist v2'!$K$2:$K$376,('Component Masterlist v2'!$A$2:$A$376=$A21)*(TRIM(SUBSTITUTE('Component Masterlist v2'!$K$2:$K$376,CHAR(160),""))&lt;&gt;"")*('Component Masterlist v2'!$K$2:$K$376&lt;&gt;"No PM Coverage")*('Component Masterlist v2'!$K$2:$K$376&lt;&gt;"No PM coverage")))),0)</f>
        <v>1</v>
      </c>
      <c r="F21" s="281" cm="1">
        <f t="array" ref="F21">IFERROR(ROWS(_xlfn.UNIQUE(_xlfn._xlws.FILTER('Component Masterlist v2'!$M$2:$M$376,('Component Masterlist v2'!$A$2:$A$376=$A21)*(TRIM(SUBSTITUTE('Component Masterlist v2'!$M$2:$M$376,CHAR(160),""))&lt;&gt;"")*('Component Masterlist v2'!$M$2:$M$376&lt;&gt;"No PM Coverage")*('Component Masterlist v2'!$M$2:$M$376&lt;&gt;"No PM coverage")))),0)</f>
        <v>1</v>
      </c>
      <c r="G21" s="281" t="str">
        <f t="shared" si="0"/>
        <v>OK</v>
      </c>
      <c r="H21" s="280" t="str" cm="1">
        <f t="array" ref="H21">_xlfn.LET(_xlpm.comp,$A21,_xlpm.c,'Component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Ashish Kalya</v>
      </c>
      <c r="I21" s="280" t="str" cm="1">
        <f t="array" ref="I21">_xlfn.LET(_xlpm.comp,$A21,_xlpm.c,'Component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21" s="7" t="s">
        <v>190</v>
      </c>
    </row>
    <row r="22" spans="1:10" ht="27.75">
      <c r="A22" s="280" t="s">
        <v>82</v>
      </c>
      <c r="B22" s="281">
        <f>COUNTIF('Component Masterlist v2'!$A$2:$A$376,$A22)</f>
        <v>15</v>
      </c>
      <c r="C22" s="282" t="str" cm="1">
        <f t="array" ref="C22">_xlfn.LET(_xlpm.comp,$A22,_xlpm.c,'Component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Rashmi Prakash (11), Gaurav Gupta (1), Ashish Kalya (1)</v>
      </c>
      <c r="D22" s="282" t="str" cm="1">
        <f t="array" ref="D22">_xlfn.LET(_xlpm.comp,$A22,_xlpm.c,'Component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(12), Shiva Somasundaram (1)</v>
      </c>
      <c r="E22" s="281" cm="1">
        <f t="array" ref="E22">IFERROR(ROWS(_xlfn.UNIQUE(_xlfn._xlws.FILTER('Component Masterlist v2'!$K$2:$K$376,('Component Masterlist v2'!$A$2:$A$376=$A22)*(TRIM(SUBSTITUTE('Component Masterlist v2'!$K$2:$K$376,CHAR(160),""))&lt;&gt;"")*('Component Masterlist v2'!$K$2:$K$376&lt;&gt;"No PM Coverage")*('Component Masterlist v2'!$K$2:$K$376&lt;&gt;"No PM coverage")))),0)</f>
        <v>3</v>
      </c>
      <c r="F22" s="281" cm="1">
        <f t="array" ref="F22">IFERROR(ROWS(_xlfn.UNIQUE(_xlfn._xlws.FILTER('Component Masterlist v2'!$M$2:$M$376,('Component Masterlist v2'!$A$2:$A$376=$A22)*(TRIM(SUBSTITUTE('Component Masterlist v2'!$M$2:$M$376,CHAR(160),""))&lt;&gt;"")*('Component Masterlist v2'!$M$2:$M$376&lt;&gt;"No PM Coverage")*('Component Masterlist v2'!$M$2:$M$376&lt;&gt;"No PM coverage")))),0)</f>
        <v>2</v>
      </c>
      <c r="G22" s="281" t="str">
        <f t="shared" si="0"/>
        <v>⚠ Multiple</v>
      </c>
      <c r="H22" s="280" t="str" cm="1">
        <f t="array" ref="H22">_xlfn.LET(_xlpm.comp,$A22,_xlpm.c,'Component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Rashmi Prakash</v>
      </c>
      <c r="I22" s="280" t="str" cm="1">
        <f t="array" ref="I22">_xlfn.LET(_xlpm.comp,$A22,_xlpm.c,'Component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22" s="7" t="s">
        <v>190</v>
      </c>
    </row>
    <row r="23" spans="1:10" ht="27.75">
      <c r="A23" s="280" t="s">
        <v>59</v>
      </c>
      <c r="B23" s="281">
        <f>COUNTIF('Component Masterlist v2'!$A$2:$A$376,$A23)</f>
        <v>5</v>
      </c>
      <c r="C23" s="282" t="str" cm="1">
        <f t="array" ref="C23">_xlfn.LET(_xlpm.comp,$A23,_xlpm.c,'Component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Tom Jude Ammanthurutil (1), Irfan Presswala (3), Alok Joshi (1)</v>
      </c>
      <c r="D23" s="282" t="str" cm="1">
        <f t="array" ref="D23">_xlfn.LET(_xlpm.comp,$A23,_xlpm.c,'Component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Turker Coskun (1), Satyavrat Mudgil (4)</v>
      </c>
      <c r="E23" s="281" cm="1">
        <f t="array" ref="E23">IFERROR(ROWS(_xlfn.UNIQUE(_xlfn._xlws.FILTER('Component Masterlist v2'!$K$2:$K$376,('Component Masterlist v2'!$A$2:$A$376=$A23)*(TRIM(SUBSTITUTE('Component Masterlist v2'!$K$2:$K$376,CHAR(160),""))&lt;&gt;"")*('Component Masterlist v2'!$K$2:$K$376&lt;&gt;"No PM Coverage")*('Component Masterlist v2'!$K$2:$K$376&lt;&gt;"No PM coverage")))),0)</f>
        <v>3</v>
      </c>
      <c r="F23" s="281" cm="1">
        <f t="array" ref="F23">IFERROR(ROWS(_xlfn.UNIQUE(_xlfn._xlws.FILTER('Component Masterlist v2'!$M$2:$M$376,('Component Masterlist v2'!$A$2:$A$376=$A23)*(TRIM(SUBSTITUTE('Component Masterlist v2'!$M$2:$M$376,CHAR(160),""))&lt;&gt;"")*('Component Masterlist v2'!$M$2:$M$376&lt;&gt;"No PM Coverage")*('Component Masterlist v2'!$M$2:$M$376&lt;&gt;"No PM coverage")))),0)</f>
        <v>2</v>
      </c>
      <c r="G23" s="281" t="str">
        <f t="shared" si="0"/>
        <v>⚠ Multiple</v>
      </c>
      <c r="H23" s="280" t="str" cm="1">
        <f t="array" ref="H23">_xlfn.LET(_xlpm.comp,$A23,_xlpm.c,'Component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Irfan Presswala</v>
      </c>
      <c r="I23" s="280" t="str" cm="1">
        <f t="array" ref="I23">_xlfn.LET(_xlpm.comp,$A23,_xlpm.c,'Component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23" s="7" t="s">
        <v>192</v>
      </c>
    </row>
    <row r="24" spans="1:10">
      <c r="A24" s="280" t="s">
        <v>71</v>
      </c>
      <c r="B24" s="281">
        <f>COUNTIF('Component Masterlist v2'!$A$2:$A$376,$A24)</f>
        <v>3</v>
      </c>
      <c r="C24" s="282" t="str" cm="1">
        <f t="array" ref="C24">_xlfn.LET(_xlpm.comp,$A24,_xlpm.c,'Component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24" s="282" t="str" cm="1">
        <f t="array" ref="D24">_xlfn.LET(_xlpm.comp,$A24,_xlpm.c,'Component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24" s="281" cm="1">
        <f t="array" ref="E24">IFERROR(ROWS(_xlfn.UNIQUE(_xlfn._xlws.FILTER('Component Masterlist v2'!$K$2:$K$376,('Component Masterlist v2'!$A$2:$A$376=$A24)*(TRIM(SUBSTITUTE('Component Masterlist v2'!$K$2:$K$376,CHAR(160),""))&lt;&gt;"")*('Component Masterlist v2'!$K$2:$K$376&lt;&gt;"No PM Coverage")*('Component Masterlist v2'!$K$2:$K$376&lt;&gt;"No PM coverage")))),0)</f>
        <v>0</v>
      </c>
      <c r="F24" s="281" cm="1">
        <f t="array" ref="F24">IFERROR(ROWS(_xlfn.UNIQUE(_xlfn._xlws.FILTER('Component Masterlist v2'!$M$2:$M$376,('Component Masterlist v2'!$A$2:$A$376=$A24)*(TRIM(SUBSTITUTE('Component Masterlist v2'!$M$2:$M$376,CHAR(160),""))&lt;&gt;"")*('Component Masterlist v2'!$M$2:$M$376&lt;&gt;"No PM Coverage")*('Component Masterlist v2'!$M$2:$M$376&lt;&gt;"No PM coverage")))),0)</f>
        <v>0</v>
      </c>
      <c r="G24" s="281" t="str">
        <f t="shared" si="0"/>
        <v>OK</v>
      </c>
      <c r="H24" s="280" t="str" cm="1">
        <f t="array" ref="H24">_xlfn.LET(_xlpm.comp,$A24,_xlpm.c,'Component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24" s="280" t="str" cm="1">
        <f t="array" ref="I24">_xlfn.LET(_xlpm.comp,$A24,_xlpm.c,'Component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24" s="7" t="s">
        <v>192</v>
      </c>
    </row>
    <row r="25" spans="1:10">
      <c r="A25" s="280" t="s">
        <v>65</v>
      </c>
      <c r="B25" s="281">
        <f>COUNTIF('Component Masterlist v2'!$A$2:$A$376,$A25)</f>
        <v>9</v>
      </c>
      <c r="C25" s="282" t="str" cm="1">
        <f t="array" ref="C25">_xlfn.LET(_xlpm.comp,$A25,_xlpm.c,'Component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25" s="282" t="str" cm="1">
        <f t="array" ref="D25">_xlfn.LET(_xlpm.comp,$A25,_xlpm.c,'Component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(9)</v>
      </c>
      <c r="E25" s="281" cm="1">
        <f t="array" ref="E25">IFERROR(ROWS(_xlfn.UNIQUE(_xlfn._xlws.FILTER('Component Masterlist v2'!$K$2:$K$376,('Component Masterlist v2'!$A$2:$A$376=$A25)*(TRIM(SUBSTITUTE('Component Masterlist v2'!$K$2:$K$376,CHAR(160),""))&lt;&gt;"")*('Component Masterlist v2'!$K$2:$K$376&lt;&gt;"No PM Coverage")*('Component Masterlist v2'!$K$2:$K$376&lt;&gt;"No PM coverage")))),0)</f>
        <v>0</v>
      </c>
      <c r="F25" s="281" cm="1">
        <f t="array" ref="F25">IFERROR(ROWS(_xlfn.UNIQUE(_xlfn._xlws.FILTER('Component Masterlist v2'!$M$2:$M$376,('Component Masterlist v2'!$A$2:$A$376=$A25)*(TRIM(SUBSTITUTE('Component Masterlist v2'!$M$2:$M$376,CHAR(160),""))&lt;&gt;"")*('Component Masterlist v2'!$M$2:$M$376&lt;&gt;"No PM Coverage")*('Component Masterlist v2'!$M$2:$M$376&lt;&gt;"No PM coverage")))),0)</f>
        <v>1</v>
      </c>
      <c r="G25" s="281" t="str">
        <f t="shared" si="0"/>
        <v>OK</v>
      </c>
      <c r="H25" s="280" t="str" cm="1">
        <f t="array" ref="H25">_xlfn.LET(_xlpm.comp,$A25,_xlpm.c,'Component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25" s="280" t="str" cm="1">
        <f t="array" ref="I25">_xlfn.LET(_xlpm.comp,$A25,_xlpm.c,'Component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25" s="7" t="s">
        <v>190</v>
      </c>
    </row>
    <row r="26" spans="1:10" ht="27.75">
      <c r="A26" s="280" t="s">
        <v>92</v>
      </c>
      <c r="B26" s="281">
        <f>COUNTIF('Component Masterlist v2'!$A$2:$A$376,$A26)</f>
        <v>5</v>
      </c>
      <c r="C26" s="282" t="str" cm="1">
        <f t="array" ref="C26">_xlfn.LET(_xlpm.comp,$A26,_xlpm.c,'Component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Suraj Jain (4), Ashish Kalya (1)</v>
      </c>
      <c r="D26" s="282" t="str" cm="1">
        <f t="array" ref="D26">_xlfn.LET(_xlpm.comp,$A26,_xlpm.c,'Component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(4), Shiva Somasundaram (1)</v>
      </c>
      <c r="E26" s="281" cm="1">
        <f t="array" ref="E26">IFERROR(ROWS(_xlfn.UNIQUE(_xlfn._xlws.FILTER('Component Masterlist v2'!$K$2:$K$376,('Component Masterlist v2'!$A$2:$A$376=$A26)*(TRIM(SUBSTITUTE('Component Masterlist v2'!$K$2:$K$376,CHAR(160),""))&lt;&gt;"")*('Component Masterlist v2'!$K$2:$K$376&lt;&gt;"No PM Coverage")*('Component Masterlist v2'!$K$2:$K$376&lt;&gt;"No PM coverage")))),0)</f>
        <v>2</v>
      </c>
      <c r="F26" s="281" cm="1">
        <f t="array" ref="F26">IFERROR(ROWS(_xlfn.UNIQUE(_xlfn._xlws.FILTER('Component Masterlist v2'!$M$2:$M$376,('Component Masterlist v2'!$A$2:$A$376=$A26)*(TRIM(SUBSTITUTE('Component Masterlist v2'!$M$2:$M$376,CHAR(160),""))&lt;&gt;"")*('Component Masterlist v2'!$M$2:$M$376&lt;&gt;"No PM Coverage")*('Component Masterlist v2'!$M$2:$M$376&lt;&gt;"No PM coverage")))),0)</f>
        <v>2</v>
      </c>
      <c r="G26" s="281" t="str">
        <f t="shared" si="0"/>
        <v>⚠ Multiple</v>
      </c>
      <c r="H26" s="280" t="str" cm="1">
        <f t="array" ref="H26">_xlfn.LET(_xlpm.comp,$A26,_xlpm.c,'Component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Suraj Jain</v>
      </c>
      <c r="I26" s="280" t="str" cm="1">
        <f t="array" ref="I26">_xlfn.LET(_xlpm.comp,$A26,_xlpm.c,'Component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26" s="7" t="s">
        <v>190</v>
      </c>
    </row>
    <row r="27" spans="1:10">
      <c r="A27" s="280" t="s">
        <v>42</v>
      </c>
      <c r="B27" s="281">
        <f>COUNTIF('Component Masterlist v2'!$A$2:$A$376,$A27)</f>
        <v>3</v>
      </c>
      <c r="C27" s="282" t="str" cm="1">
        <f t="array" ref="C27">_xlfn.LET(_xlpm.comp,$A27,_xlpm.c,'Component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27" s="282" t="str" cm="1">
        <f t="array" ref="D27">_xlfn.LET(_xlpm.comp,$A27,_xlpm.c,'Component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(3)</v>
      </c>
      <c r="E27" s="281" cm="1">
        <f t="array" ref="E27">IFERROR(ROWS(_xlfn.UNIQUE(_xlfn._xlws.FILTER('Component Masterlist v2'!$K$2:$K$376,('Component Masterlist v2'!$A$2:$A$376=$A27)*(TRIM(SUBSTITUTE('Component Masterlist v2'!$K$2:$K$376,CHAR(160),""))&lt;&gt;"")*('Component Masterlist v2'!$K$2:$K$376&lt;&gt;"No PM Coverage")*('Component Masterlist v2'!$K$2:$K$376&lt;&gt;"No PM coverage")))),0)</f>
        <v>0</v>
      </c>
      <c r="F27" s="281" cm="1">
        <f t="array" ref="F27">IFERROR(ROWS(_xlfn.UNIQUE(_xlfn._xlws.FILTER('Component Masterlist v2'!$M$2:$M$376,('Component Masterlist v2'!$A$2:$A$376=$A27)*(TRIM(SUBSTITUTE('Component Masterlist v2'!$M$2:$M$376,CHAR(160),""))&lt;&gt;"")*('Component Masterlist v2'!$M$2:$M$376&lt;&gt;"No PM Coverage")*('Component Masterlist v2'!$M$2:$M$376&lt;&gt;"No PM coverage")))),0)</f>
        <v>1</v>
      </c>
      <c r="G27" s="281" t="str">
        <f t="shared" si="0"/>
        <v>OK</v>
      </c>
      <c r="H27" s="280" t="str" cm="1">
        <f t="array" ref="H27">_xlfn.LET(_xlpm.comp,$A27,_xlpm.c,'Component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27" s="280" t="str" cm="1">
        <f t="array" ref="I27">_xlfn.LET(_xlpm.comp,$A27,_xlpm.c,'Component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27" s="7" t="s">
        <v>192</v>
      </c>
    </row>
    <row r="28" spans="1:10">
      <c r="A28" s="280" t="s">
        <v>40</v>
      </c>
      <c r="B28" s="281">
        <f>COUNTIF('Component Masterlist v2'!$A$2:$A$376,$A28)</f>
        <v>37</v>
      </c>
      <c r="C28" s="282" t="str" cm="1">
        <f t="array" ref="C28">_xlfn.LET(_xlpm.comp,$A28,_xlpm.c,'Component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28" s="282" t="str" cm="1">
        <f t="array" ref="D28">_xlfn.LET(_xlpm.comp,$A28,_xlpm.c,'Component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(37)</v>
      </c>
      <c r="E28" s="281" cm="1">
        <f t="array" ref="E28">IFERROR(ROWS(_xlfn.UNIQUE(_xlfn._xlws.FILTER('Component Masterlist v2'!$K$2:$K$376,('Component Masterlist v2'!$A$2:$A$376=$A28)*(TRIM(SUBSTITUTE('Component Masterlist v2'!$K$2:$K$376,CHAR(160),""))&lt;&gt;"")*('Component Masterlist v2'!$K$2:$K$376&lt;&gt;"No PM Coverage")*('Component Masterlist v2'!$K$2:$K$376&lt;&gt;"No PM coverage")))),0)</f>
        <v>0</v>
      </c>
      <c r="F28" s="281" cm="1">
        <f t="array" ref="F28">IFERROR(ROWS(_xlfn.UNIQUE(_xlfn._xlws.FILTER('Component Masterlist v2'!$M$2:$M$376,('Component Masterlist v2'!$A$2:$A$376=$A28)*(TRIM(SUBSTITUTE('Component Masterlist v2'!$M$2:$M$376,CHAR(160),""))&lt;&gt;"")*('Component Masterlist v2'!$M$2:$M$376&lt;&gt;"No PM Coverage")*('Component Masterlist v2'!$M$2:$M$376&lt;&gt;"No PM coverage")))),0)</f>
        <v>1</v>
      </c>
      <c r="G28" s="281" t="str">
        <f t="shared" si="0"/>
        <v>OK</v>
      </c>
      <c r="H28" s="280" t="str" cm="1">
        <f t="array" ref="H28">_xlfn.LET(_xlpm.comp,$A28,_xlpm.c,'Component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28" s="280" t="str" cm="1">
        <f t="array" ref="I28">_xlfn.LET(_xlpm.comp,$A28,_xlpm.c,'Component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28" s="7" t="s">
        <v>190</v>
      </c>
    </row>
    <row r="29" spans="1:10" ht="27.75">
      <c r="A29" s="280" t="s">
        <v>35</v>
      </c>
      <c r="B29" s="281">
        <f>COUNTIF('Component Masterlist v2'!$A$2:$A$376,$A29)</f>
        <v>16</v>
      </c>
      <c r="C29" s="282" t="str" cm="1">
        <f t="array" ref="C29">_xlfn.LET(_xlpm.comp,$A29,_xlpm.c,'Component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Karuppiah Anburaja (2), Sandeep Bansi Jumani (14)</v>
      </c>
      <c r="D29" s="282" t="str" cm="1">
        <f t="array" ref="D29">_xlfn.LET(_xlpm.comp,$A29,_xlpm.c,'Component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(16)</v>
      </c>
      <c r="E29" s="281" cm="1">
        <f t="array" ref="E29">IFERROR(ROWS(_xlfn.UNIQUE(_xlfn._xlws.FILTER('Component Masterlist v2'!$K$2:$K$376,('Component Masterlist v2'!$A$2:$A$376=$A29)*(TRIM(SUBSTITUTE('Component Masterlist v2'!$K$2:$K$376,CHAR(160),""))&lt;&gt;"")*('Component Masterlist v2'!$K$2:$K$376&lt;&gt;"No PM Coverage")*('Component Masterlist v2'!$K$2:$K$376&lt;&gt;"No PM coverage")))),0)</f>
        <v>2</v>
      </c>
      <c r="F29" s="281" cm="1">
        <f t="array" ref="F29">IFERROR(ROWS(_xlfn.UNIQUE(_xlfn._xlws.FILTER('Component Masterlist v2'!$M$2:$M$376,('Component Masterlist v2'!$A$2:$A$376=$A29)*(TRIM(SUBSTITUTE('Component Masterlist v2'!$M$2:$M$376,CHAR(160),""))&lt;&gt;"")*('Component Masterlist v2'!$M$2:$M$376&lt;&gt;"No PM Coverage")*('Component Masterlist v2'!$M$2:$M$376&lt;&gt;"No PM coverage")))),0)</f>
        <v>1</v>
      </c>
      <c r="G29" s="281" t="str">
        <f t="shared" si="0"/>
        <v>⚠ Multiple</v>
      </c>
      <c r="H29" s="280" t="str" cm="1">
        <f t="array" ref="H29">_xlfn.LET(_xlpm.comp,$A29,_xlpm.c,'Component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Sandeep Bansi Jumani</v>
      </c>
      <c r="I29" s="280" t="str" cm="1">
        <f t="array" ref="I29">_xlfn.LET(_xlpm.comp,$A29,_xlpm.c,'Component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29" s="7" t="s">
        <v>190</v>
      </c>
    </row>
    <row r="30" spans="1:10">
      <c r="A30" s="280" t="s">
        <v>36</v>
      </c>
      <c r="B30" s="281">
        <f>COUNTIF('Component Masterlist v2'!$A$2:$A$376,$A30)</f>
        <v>4</v>
      </c>
      <c r="C30" s="282" t="str" cm="1">
        <f t="array" ref="C30">_xlfn.LET(_xlpm.comp,$A30,_xlpm.c,'Component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30" s="282" t="str" cm="1">
        <f t="array" ref="D30">_xlfn.LET(_xlpm.comp,$A30,_xlpm.c,'Component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(4)</v>
      </c>
      <c r="E30" s="281" cm="1">
        <f t="array" ref="E30">IFERROR(ROWS(_xlfn.UNIQUE(_xlfn._xlws.FILTER('Component Masterlist v2'!$K$2:$K$376,('Component Masterlist v2'!$A$2:$A$376=$A30)*(TRIM(SUBSTITUTE('Component Masterlist v2'!$K$2:$K$376,CHAR(160),""))&lt;&gt;"")*('Component Masterlist v2'!$K$2:$K$376&lt;&gt;"No PM Coverage")*('Component Masterlist v2'!$K$2:$K$376&lt;&gt;"No PM coverage")))),0)</f>
        <v>0</v>
      </c>
      <c r="F30" s="281" cm="1">
        <f t="array" ref="F30">IFERROR(ROWS(_xlfn.UNIQUE(_xlfn._xlws.FILTER('Component Masterlist v2'!$M$2:$M$376,('Component Masterlist v2'!$A$2:$A$376=$A30)*(TRIM(SUBSTITUTE('Component Masterlist v2'!$M$2:$M$376,CHAR(160),""))&lt;&gt;"")*('Component Masterlist v2'!$M$2:$M$376&lt;&gt;"No PM Coverage")*('Component Masterlist v2'!$M$2:$M$376&lt;&gt;"No PM coverage")))),0)</f>
        <v>1</v>
      </c>
      <c r="G30" s="281" t="str">
        <f t="shared" si="0"/>
        <v>OK</v>
      </c>
      <c r="H30" s="280" t="str" cm="1">
        <f t="array" ref="H30">_xlfn.LET(_xlpm.comp,$A30,_xlpm.c,'Component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30" s="280" t="str" cm="1">
        <f t="array" ref="I30">_xlfn.LET(_xlpm.comp,$A30,_xlpm.c,'Component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30" s="7" t="s">
        <v>190</v>
      </c>
    </row>
    <row r="31" spans="1:10">
      <c r="A31" s="280" t="s">
        <v>51</v>
      </c>
      <c r="B31" s="281">
        <f>COUNTIF('Component Masterlist v2'!$A$2:$A$376,$A31)</f>
        <v>1</v>
      </c>
      <c r="C31" s="282" t="str" cm="1">
        <f t="array" ref="C31">_xlfn.LET(_xlpm.comp,$A31,_xlpm.c,'Component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Irfan Presswala (1)</v>
      </c>
      <c r="D31" s="282" t="str" cm="1">
        <f t="array" ref="D31">_xlfn.LET(_xlpm.comp,$A31,_xlpm.c,'Component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(1)</v>
      </c>
      <c r="E31" s="281" cm="1">
        <f t="array" ref="E31">IFERROR(ROWS(_xlfn.UNIQUE(_xlfn._xlws.FILTER('Component Masterlist v2'!$K$2:$K$376,('Component Masterlist v2'!$A$2:$A$376=$A31)*(TRIM(SUBSTITUTE('Component Masterlist v2'!$K$2:$K$376,CHAR(160),""))&lt;&gt;"")*('Component Masterlist v2'!$K$2:$K$376&lt;&gt;"No PM Coverage")*('Component Masterlist v2'!$K$2:$K$376&lt;&gt;"No PM coverage")))),0)</f>
        <v>1</v>
      </c>
      <c r="F31" s="281" cm="1">
        <f t="array" ref="F31">IFERROR(ROWS(_xlfn.UNIQUE(_xlfn._xlws.FILTER('Component Masterlist v2'!$M$2:$M$376,('Component Masterlist v2'!$A$2:$A$376=$A31)*(TRIM(SUBSTITUTE('Component Masterlist v2'!$M$2:$M$376,CHAR(160),""))&lt;&gt;"")*('Component Masterlist v2'!$M$2:$M$376&lt;&gt;"No PM Coverage")*('Component Masterlist v2'!$M$2:$M$376&lt;&gt;"No PM coverage")))),0)</f>
        <v>1</v>
      </c>
      <c r="G31" s="281" t="str">
        <f t="shared" si="0"/>
        <v>OK</v>
      </c>
      <c r="H31" s="280" t="str" cm="1">
        <f t="array" ref="H31">_xlfn.LET(_xlpm.comp,$A31,_xlpm.c,'Component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Irfan Presswala</v>
      </c>
      <c r="I31" s="280" t="str" cm="1">
        <f t="array" ref="I31">_xlfn.LET(_xlpm.comp,$A31,_xlpm.c,'Component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31" s="7" t="s">
        <v>190</v>
      </c>
    </row>
    <row r="32" spans="1:10">
      <c r="A32" s="280" t="s">
        <v>37</v>
      </c>
      <c r="B32" s="281">
        <f>COUNTIF('Component Masterlist v2'!$A$2:$A$376,$A32)</f>
        <v>10</v>
      </c>
      <c r="C32" s="282" t="str" cm="1">
        <f t="array" ref="C32">_xlfn.LET(_xlpm.comp,$A32,_xlpm.c,'Component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Sandeep Bansi Jumani (10)</v>
      </c>
      <c r="D32" s="282" t="str" cm="1">
        <f t="array" ref="D32">_xlfn.LET(_xlpm.comp,$A32,_xlpm.c,'Component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Santosh Golecha (10)</v>
      </c>
      <c r="E32" s="281" cm="1">
        <f t="array" ref="E32">IFERROR(ROWS(_xlfn.UNIQUE(_xlfn._xlws.FILTER('Component Masterlist v2'!$K$2:$K$376,('Component Masterlist v2'!$A$2:$A$376=$A32)*(TRIM(SUBSTITUTE('Component Masterlist v2'!$K$2:$K$376,CHAR(160),""))&lt;&gt;"")*('Component Masterlist v2'!$K$2:$K$376&lt;&gt;"No PM Coverage")*('Component Masterlist v2'!$K$2:$K$376&lt;&gt;"No PM coverage")))),0)</f>
        <v>1</v>
      </c>
      <c r="F32" s="281" cm="1">
        <f t="array" ref="F32">IFERROR(ROWS(_xlfn.UNIQUE(_xlfn._xlws.FILTER('Component Masterlist v2'!$M$2:$M$376,('Component Masterlist v2'!$A$2:$A$376=$A32)*(TRIM(SUBSTITUTE('Component Masterlist v2'!$M$2:$M$376,CHAR(160),""))&lt;&gt;"")*('Component Masterlist v2'!$M$2:$M$376&lt;&gt;"No PM Coverage")*('Component Masterlist v2'!$M$2:$M$376&lt;&gt;"No PM coverage")))),0)</f>
        <v>1</v>
      </c>
      <c r="G32" s="281" t="str">
        <f t="shared" si="0"/>
        <v>OK</v>
      </c>
      <c r="H32" s="280" t="str" cm="1">
        <f t="array" ref="H32">_xlfn.LET(_xlpm.comp,$A32,_xlpm.c,'Component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Sandeep Bansi Jumani</v>
      </c>
      <c r="I32" s="280" t="str" cm="1">
        <f t="array" ref="I32">_xlfn.LET(_xlpm.comp,$A32,_xlpm.c,'Component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Santosh Golecha</v>
      </c>
      <c r="J32" s="7" t="s">
        <v>190</v>
      </c>
    </row>
    <row r="33" spans="1:10">
      <c r="A33" s="280" t="s">
        <v>84</v>
      </c>
      <c r="B33" s="281">
        <f>COUNTIF('Component Masterlist v2'!$A$2:$A$376,$A33)</f>
        <v>8</v>
      </c>
      <c r="C33" s="282" t="str" cm="1">
        <f t="array" ref="C33">_xlfn.LET(_xlpm.comp,$A33,_xlpm.c,'Component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Irfan Presswala (8)</v>
      </c>
      <c r="D33" s="282" t="str" cm="1">
        <f t="array" ref="D33">_xlfn.LET(_xlpm.comp,$A33,_xlpm.c,'Component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(8)</v>
      </c>
      <c r="E33" s="281" cm="1">
        <f t="array" ref="E33">IFERROR(ROWS(_xlfn.UNIQUE(_xlfn._xlws.FILTER('Component Masterlist v2'!$K$2:$K$376,('Component Masterlist v2'!$A$2:$A$376=$A33)*(TRIM(SUBSTITUTE('Component Masterlist v2'!$K$2:$K$376,CHAR(160),""))&lt;&gt;"")*('Component Masterlist v2'!$K$2:$K$376&lt;&gt;"No PM Coverage")*('Component Masterlist v2'!$K$2:$K$376&lt;&gt;"No PM coverage")))),0)</f>
        <v>1</v>
      </c>
      <c r="F33" s="281" cm="1">
        <f t="array" ref="F33">IFERROR(ROWS(_xlfn.UNIQUE(_xlfn._xlws.FILTER('Component Masterlist v2'!$M$2:$M$376,('Component Masterlist v2'!$A$2:$A$376=$A33)*(TRIM(SUBSTITUTE('Component Masterlist v2'!$M$2:$M$376,CHAR(160),""))&lt;&gt;"")*('Component Masterlist v2'!$M$2:$M$376&lt;&gt;"No PM Coverage")*('Component Masterlist v2'!$M$2:$M$376&lt;&gt;"No PM coverage")))),0)</f>
        <v>1</v>
      </c>
      <c r="G33" s="281" t="str">
        <f t="shared" si="0"/>
        <v>OK</v>
      </c>
      <c r="H33" s="280" t="str" cm="1">
        <f t="array" ref="H33">_xlfn.LET(_xlpm.comp,$A33,_xlpm.c,'Component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Irfan Presswala</v>
      </c>
      <c r="I33" s="280" t="str" cm="1">
        <f t="array" ref="I33">_xlfn.LET(_xlpm.comp,$A33,_xlpm.c,'Component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33" s="7" t="s">
        <v>190</v>
      </c>
    </row>
    <row r="34" spans="1:10">
      <c r="A34" s="280" t="s">
        <v>85</v>
      </c>
      <c r="B34" s="281">
        <f>COUNTIF('Component Masterlist v2'!$A$2:$A$376,$A34)</f>
        <v>6</v>
      </c>
      <c r="C34" s="282" t="str" cm="1">
        <f t="array" ref="C34">_xlfn.LET(_xlpm.comp,$A34,_xlpm.c,'Component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Irfan Presswala (6)</v>
      </c>
      <c r="D34" s="282" t="str" cm="1">
        <f t="array" ref="D34">_xlfn.LET(_xlpm.comp,$A34,_xlpm.c,'Component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(6)</v>
      </c>
      <c r="E34" s="281" cm="1">
        <f t="array" ref="E34">IFERROR(ROWS(_xlfn.UNIQUE(_xlfn._xlws.FILTER('Component Masterlist v2'!$K$2:$K$376,('Component Masterlist v2'!$A$2:$A$376=$A34)*(TRIM(SUBSTITUTE('Component Masterlist v2'!$K$2:$K$376,CHAR(160),""))&lt;&gt;"")*('Component Masterlist v2'!$K$2:$K$376&lt;&gt;"No PM Coverage")*('Component Masterlist v2'!$K$2:$K$376&lt;&gt;"No PM coverage")))),0)</f>
        <v>1</v>
      </c>
      <c r="F34" s="281" cm="1">
        <f t="array" ref="F34">IFERROR(ROWS(_xlfn.UNIQUE(_xlfn._xlws.FILTER('Component Masterlist v2'!$M$2:$M$376,('Component Masterlist v2'!$A$2:$A$376=$A34)*(TRIM(SUBSTITUTE('Component Masterlist v2'!$M$2:$M$376,CHAR(160),""))&lt;&gt;"")*('Component Masterlist v2'!$M$2:$M$376&lt;&gt;"No PM Coverage")*('Component Masterlist v2'!$M$2:$M$376&lt;&gt;"No PM coverage")))),0)</f>
        <v>1</v>
      </c>
      <c r="G34" s="281" t="str">
        <f t="shared" si="0"/>
        <v>OK</v>
      </c>
      <c r="H34" s="280" t="str" cm="1">
        <f t="array" ref="H34">_xlfn.LET(_xlpm.comp,$A34,_xlpm.c,'Component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Irfan Presswala</v>
      </c>
      <c r="I34" s="280" t="str" cm="1">
        <f t="array" ref="I34">_xlfn.LET(_xlpm.comp,$A34,_xlpm.c,'Component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34" s="7" t="s">
        <v>190</v>
      </c>
    </row>
    <row r="35" spans="1:10">
      <c r="A35" s="280" t="s">
        <v>28</v>
      </c>
      <c r="B35" s="281">
        <f>COUNTIF('Component Masterlist v2'!$A$2:$A$376,$A35)</f>
        <v>12</v>
      </c>
      <c r="C35" s="282" t="str" cm="1">
        <f t="array" ref="C35">_xlfn.LET(_xlpm.comp,$A35,_xlpm.c,'Component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35" s="282" t="str" cm="1">
        <f t="array" ref="D35">_xlfn.LET(_xlpm.comp,$A35,_xlpm.c,'Component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35" s="281" cm="1">
        <f t="array" ref="E35">IFERROR(ROWS(_xlfn.UNIQUE(_xlfn._xlws.FILTER('Component Masterlist v2'!$K$2:$K$376,('Component Masterlist v2'!$A$2:$A$376=$A35)*(TRIM(SUBSTITUTE('Component Masterlist v2'!$K$2:$K$376,CHAR(160),""))&lt;&gt;"")*('Component Masterlist v2'!$K$2:$K$376&lt;&gt;"No PM Coverage")*('Component Masterlist v2'!$K$2:$K$376&lt;&gt;"No PM coverage")))),0)</f>
        <v>0</v>
      </c>
      <c r="F35" s="281" cm="1">
        <f t="array" ref="F35">IFERROR(ROWS(_xlfn.UNIQUE(_xlfn._xlws.FILTER('Component Masterlist v2'!$M$2:$M$376,('Component Masterlist v2'!$A$2:$A$376=$A35)*(TRIM(SUBSTITUTE('Component Masterlist v2'!$M$2:$M$376,CHAR(160),""))&lt;&gt;"")*('Component Masterlist v2'!$M$2:$M$376&lt;&gt;"No PM Coverage")*('Component Masterlist v2'!$M$2:$M$376&lt;&gt;"No PM coverage")))),0)</f>
        <v>0</v>
      </c>
      <c r="G35" s="281" t="str">
        <f t="shared" si="0"/>
        <v>OK</v>
      </c>
      <c r="H35" s="280" t="str" cm="1">
        <f t="array" ref="H35">_xlfn.LET(_xlpm.comp,$A35,_xlpm.c,'Component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35" s="280" t="str" cm="1">
        <f t="array" ref="I35">_xlfn.LET(_xlpm.comp,$A35,_xlpm.c,'Component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35" s="7" t="s">
        <v>190</v>
      </c>
    </row>
    <row r="36" spans="1:10">
      <c r="A36" s="280" t="s">
        <v>95</v>
      </c>
      <c r="B36" s="281">
        <f>COUNTIF('Component Masterlist v2'!$A$2:$A$376,$A36)</f>
        <v>10</v>
      </c>
      <c r="C36" s="282" t="str" cm="1">
        <f t="array" ref="C36">_xlfn.LET(_xlpm.comp,$A36,_xlpm.c,'Component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36" s="282" t="str" cm="1">
        <f t="array" ref="D36">_xlfn.LET(_xlpm.comp,$A36,_xlpm.c,'Component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36" s="281" cm="1">
        <f t="array" ref="E36">IFERROR(ROWS(_xlfn.UNIQUE(_xlfn._xlws.FILTER('Component Masterlist v2'!$K$2:$K$376,('Component Masterlist v2'!$A$2:$A$376=$A36)*(TRIM(SUBSTITUTE('Component Masterlist v2'!$K$2:$K$376,CHAR(160),""))&lt;&gt;"")*('Component Masterlist v2'!$K$2:$K$376&lt;&gt;"No PM Coverage")*('Component Masterlist v2'!$K$2:$K$376&lt;&gt;"No PM coverage")))),0)</f>
        <v>0</v>
      </c>
      <c r="F36" s="281" cm="1">
        <f t="array" ref="F36">IFERROR(ROWS(_xlfn.UNIQUE(_xlfn._xlws.FILTER('Component Masterlist v2'!$M$2:$M$376,('Component Masterlist v2'!$A$2:$A$376=$A36)*(TRIM(SUBSTITUTE('Component Masterlist v2'!$M$2:$M$376,CHAR(160),""))&lt;&gt;"")*('Component Masterlist v2'!$M$2:$M$376&lt;&gt;"No PM Coverage")*('Component Masterlist v2'!$M$2:$M$376&lt;&gt;"No PM coverage")))),0)</f>
        <v>0</v>
      </c>
      <c r="G36" s="281" t="str">
        <f t="shared" si="0"/>
        <v>OK</v>
      </c>
      <c r="H36" s="280" t="str" cm="1">
        <f t="array" ref="H36">_xlfn.LET(_xlpm.comp,$A36,_xlpm.c,'Component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36" s="280" t="str" cm="1">
        <f t="array" ref="I36">_xlfn.LET(_xlpm.comp,$A36,_xlpm.c,'Component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36" s="7" t="s">
        <v>190</v>
      </c>
    </row>
    <row r="37" spans="1:10">
      <c r="A37" s="280" t="s">
        <v>38</v>
      </c>
      <c r="B37" s="281">
        <f>COUNTIF('Component Masterlist v2'!$A$2:$A$376,$A37)</f>
        <v>4</v>
      </c>
      <c r="C37" s="282" t="str" cm="1">
        <f t="array" ref="C37">_xlfn.LET(_xlpm.comp,$A37,_xlpm.c,'Component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Vijayakumar B (4)</v>
      </c>
      <c r="D37" s="282" t="str" cm="1">
        <f t="array" ref="D37">_xlfn.LET(_xlpm.comp,$A37,_xlpm.c,'Component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(4)</v>
      </c>
      <c r="E37" s="281" cm="1">
        <f t="array" ref="E37">IFERROR(ROWS(_xlfn.UNIQUE(_xlfn._xlws.FILTER('Component Masterlist v2'!$K$2:$K$376,('Component Masterlist v2'!$A$2:$A$376=$A37)*(TRIM(SUBSTITUTE('Component Masterlist v2'!$K$2:$K$376,CHAR(160),""))&lt;&gt;"")*('Component Masterlist v2'!$K$2:$K$376&lt;&gt;"No PM Coverage")*('Component Masterlist v2'!$K$2:$K$376&lt;&gt;"No PM coverage")))),0)</f>
        <v>1</v>
      </c>
      <c r="F37" s="281" cm="1">
        <f t="array" ref="F37">IFERROR(ROWS(_xlfn.UNIQUE(_xlfn._xlws.FILTER('Component Masterlist v2'!$M$2:$M$376,('Component Masterlist v2'!$A$2:$A$376=$A37)*(TRIM(SUBSTITUTE('Component Masterlist v2'!$M$2:$M$376,CHAR(160),""))&lt;&gt;"")*('Component Masterlist v2'!$M$2:$M$376&lt;&gt;"No PM Coverage")*('Component Masterlist v2'!$M$2:$M$376&lt;&gt;"No PM coverage")))),0)</f>
        <v>1</v>
      </c>
      <c r="G37" s="281" t="str">
        <f t="shared" ref="G37:G57" si="1">IF(OR(E37&gt;1,F37&gt;1),"⚠ Multiple","OK")</f>
        <v>OK</v>
      </c>
      <c r="H37" s="280" t="str" cm="1">
        <f t="array" ref="H37">_xlfn.LET(_xlpm.comp,$A37,_xlpm.c,'Component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Vijayakumar B</v>
      </c>
      <c r="I37" s="280" t="str" cm="1">
        <f t="array" ref="I37">_xlfn.LET(_xlpm.comp,$A37,_xlpm.c,'Component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37" s="7" t="s">
        <v>190</v>
      </c>
    </row>
    <row r="38" spans="1:10">
      <c r="A38" s="280" t="s">
        <v>77</v>
      </c>
      <c r="B38" s="281">
        <f>COUNTIF('Component Masterlist v2'!$A$2:$A$376,$A38)</f>
        <v>1</v>
      </c>
      <c r="C38" s="282" t="str" cm="1">
        <f t="array" ref="C38">_xlfn.LET(_xlpm.comp,$A38,_xlpm.c,'Component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38" s="282" t="str" cm="1">
        <f t="array" ref="D38">_xlfn.LET(_xlpm.comp,$A38,_xlpm.c,'Component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38" s="281" cm="1">
        <f t="array" ref="E38">IFERROR(ROWS(_xlfn.UNIQUE(_xlfn._xlws.FILTER('Component Masterlist v2'!$K$2:$K$376,('Component Masterlist v2'!$A$2:$A$376=$A38)*(TRIM(SUBSTITUTE('Component Masterlist v2'!$K$2:$K$376,CHAR(160),""))&lt;&gt;"")*('Component Masterlist v2'!$K$2:$K$376&lt;&gt;"No PM Coverage")*('Component Masterlist v2'!$K$2:$K$376&lt;&gt;"No PM coverage")))),0)</f>
        <v>0</v>
      </c>
      <c r="F38" s="281" cm="1">
        <f t="array" ref="F38">IFERROR(ROWS(_xlfn.UNIQUE(_xlfn._xlws.FILTER('Component Masterlist v2'!$M$2:$M$376,('Component Masterlist v2'!$A$2:$A$376=$A38)*(TRIM(SUBSTITUTE('Component Masterlist v2'!$M$2:$M$376,CHAR(160),""))&lt;&gt;"")*('Component Masterlist v2'!$M$2:$M$376&lt;&gt;"No PM Coverage")*('Component Masterlist v2'!$M$2:$M$376&lt;&gt;"No PM coverage")))),0)</f>
        <v>0</v>
      </c>
      <c r="G38" s="281" t="str">
        <f t="shared" si="1"/>
        <v>OK</v>
      </c>
      <c r="H38" s="280" t="str" cm="1">
        <f t="array" ref="H38">_xlfn.LET(_xlpm.comp,$A38,_xlpm.c,'Component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38" s="280" t="str" cm="1">
        <f t="array" ref="I38">_xlfn.LET(_xlpm.comp,$A38,_xlpm.c,'Component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38" s="7" t="s">
        <v>192</v>
      </c>
    </row>
    <row r="39" spans="1:10">
      <c r="A39" s="280" t="s">
        <v>7</v>
      </c>
      <c r="B39" s="281">
        <f>COUNTIF('Component Masterlist v2'!$A$2:$A$376,$A39)</f>
        <v>1</v>
      </c>
      <c r="C39" s="282" t="str" cm="1">
        <f t="array" ref="C39">_xlfn.LET(_xlpm.comp,$A39,_xlpm.c,'Component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39" s="282" t="str" cm="1">
        <f t="array" ref="D39">_xlfn.LET(_xlpm.comp,$A39,_xlpm.c,'Component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Justin Hou (1)</v>
      </c>
      <c r="E39" s="281" cm="1">
        <f t="array" ref="E39">IFERROR(ROWS(_xlfn.UNIQUE(_xlfn._xlws.FILTER('Component Masterlist v2'!$K$2:$K$376,('Component Masterlist v2'!$A$2:$A$376=$A39)*(TRIM(SUBSTITUTE('Component Masterlist v2'!$K$2:$K$376,CHAR(160),""))&lt;&gt;"")*('Component Masterlist v2'!$K$2:$K$376&lt;&gt;"No PM Coverage")*('Component Masterlist v2'!$K$2:$K$376&lt;&gt;"No PM coverage")))),0)</f>
        <v>0</v>
      </c>
      <c r="F39" s="281" cm="1">
        <f t="array" ref="F39">IFERROR(ROWS(_xlfn.UNIQUE(_xlfn._xlws.FILTER('Component Masterlist v2'!$M$2:$M$376,('Component Masterlist v2'!$A$2:$A$376=$A39)*(TRIM(SUBSTITUTE('Component Masterlist v2'!$M$2:$M$376,CHAR(160),""))&lt;&gt;"")*('Component Masterlist v2'!$M$2:$M$376&lt;&gt;"No PM Coverage")*('Component Masterlist v2'!$M$2:$M$376&lt;&gt;"No PM coverage")))),0)</f>
        <v>1</v>
      </c>
      <c r="G39" s="281" t="str">
        <f t="shared" si="1"/>
        <v>OK</v>
      </c>
      <c r="H39" s="280" t="str" cm="1">
        <f t="array" ref="H39">_xlfn.LET(_xlpm.comp,$A39,_xlpm.c,'Component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39" s="280" t="str" cm="1">
        <f t="array" ref="I39">_xlfn.LET(_xlpm.comp,$A39,_xlpm.c,'Component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Justin Hou</v>
      </c>
      <c r="J39" s="7" t="s">
        <v>192</v>
      </c>
    </row>
    <row r="40" spans="1:10">
      <c r="A40" s="280" t="s">
        <v>15</v>
      </c>
      <c r="B40" s="281">
        <f>COUNTIF('Component Masterlist v2'!$A$2:$A$376,$A40)</f>
        <v>9</v>
      </c>
      <c r="C40" s="282" t="str" cm="1">
        <f t="array" ref="C40">_xlfn.LET(_xlpm.comp,$A40,_xlpm.c,'Component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Vijayakumar B (5)</v>
      </c>
      <c r="D40" s="282" t="str" cm="1">
        <f t="array" ref="D40">_xlfn.LET(_xlpm.comp,$A40,_xlpm.c,'Component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(6)</v>
      </c>
      <c r="E40" s="281" cm="1">
        <f t="array" ref="E40">IFERROR(ROWS(_xlfn.UNIQUE(_xlfn._xlws.FILTER('Component Masterlist v2'!$K$2:$K$376,('Component Masterlist v2'!$A$2:$A$376=$A40)*(TRIM(SUBSTITUTE('Component Masterlist v2'!$K$2:$K$376,CHAR(160),""))&lt;&gt;"")*('Component Masterlist v2'!$K$2:$K$376&lt;&gt;"No PM Coverage")*('Component Masterlist v2'!$K$2:$K$376&lt;&gt;"No PM coverage")))),0)</f>
        <v>1</v>
      </c>
      <c r="F40" s="281" cm="1">
        <f t="array" ref="F40">IFERROR(ROWS(_xlfn.UNIQUE(_xlfn._xlws.FILTER('Component Masterlist v2'!$M$2:$M$376,('Component Masterlist v2'!$A$2:$A$376=$A40)*(TRIM(SUBSTITUTE('Component Masterlist v2'!$M$2:$M$376,CHAR(160),""))&lt;&gt;"")*('Component Masterlist v2'!$M$2:$M$376&lt;&gt;"No PM Coverage")*('Component Masterlist v2'!$M$2:$M$376&lt;&gt;"No PM coverage")))),0)</f>
        <v>1</v>
      </c>
      <c r="G40" s="281" t="str">
        <f t="shared" si="1"/>
        <v>OK</v>
      </c>
      <c r="H40" s="280" t="str" cm="1">
        <f t="array" ref="H40">_xlfn.LET(_xlpm.comp,$A40,_xlpm.c,'Component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Vijayakumar B</v>
      </c>
      <c r="I40" s="280" t="str" cm="1">
        <f t="array" ref="I40">_xlfn.LET(_xlpm.comp,$A40,_xlpm.c,'Component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40" s="7" t="s">
        <v>190</v>
      </c>
    </row>
    <row r="41" spans="1:10">
      <c r="A41" s="280" t="s">
        <v>25</v>
      </c>
      <c r="B41" s="281">
        <f>COUNTIF('Component Masterlist v2'!$A$2:$A$376,$A41)</f>
        <v>7</v>
      </c>
      <c r="C41" s="282" t="str" cm="1">
        <f t="array" ref="C41">_xlfn.LET(_xlpm.comp,$A41,_xlpm.c,'Component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1" s="282" t="str" cm="1">
        <f t="array" ref="D41">_xlfn.LET(_xlpm.comp,$A41,_xlpm.c,'Component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41" s="281" cm="1">
        <f t="array" ref="E41">IFERROR(ROWS(_xlfn.UNIQUE(_xlfn._xlws.FILTER('Component Masterlist v2'!$K$2:$K$376,('Component Masterlist v2'!$A$2:$A$376=$A41)*(TRIM(SUBSTITUTE('Component Masterlist v2'!$K$2:$K$376,CHAR(160),""))&lt;&gt;"")*('Component Masterlist v2'!$K$2:$K$376&lt;&gt;"No PM Coverage")*('Component Masterlist v2'!$K$2:$K$376&lt;&gt;"No PM coverage")))),0)</f>
        <v>0</v>
      </c>
      <c r="F41" s="281" cm="1">
        <f t="array" ref="F41">IFERROR(ROWS(_xlfn.UNIQUE(_xlfn._xlws.FILTER('Component Masterlist v2'!$M$2:$M$376,('Component Masterlist v2'!$A$2:$A$376=$A41)*(TRIM(SUBSTITUTE('Component Masterlist v2'!$M$2:$M$376,CHAR(160),""))&lt;&gt;"")*('Component Masterlist v2'!$M$2:$M$376&lt;&gt;"No PM Coverage")*('Component Masterlist v2'!$M$2:$M$376&lt;&gt;"No PM coverage")))),0)</f>
        <v>0</v>
      </c>
      <c r="G41" s="281" t="str">
        <f t="shared" si="1"/>
        <v>OK</v>
      </c>
      <c r="H41" s="280" t="str" cm="1">
        <f t="array" ref="H41">_xlfn.LET(_xlpm.comp,$A41,_xlpm.c,'Component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1" s="280" t="str" cm="1">
        <f t="array" ref="I41">_xlfn.LET(_xlpm.comp,$A41,_xlpm.c,'Component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41" s="7" t="s">
        <v>190</v>
      </c>
    </row>
    <row r="42" spans="1:10">
      <c r="A42" s="280" t="s">
        <v>47</v>
      </c>
      <c r="B42" s="281">
        <f>COUNTIF('Component Masterlist v2'!$A$2:$A$376,$A42)</f>
        <v>21</v>
      </c>
      <c r="C42" s="282" t="str" cm="1">
        <f t="array" ref="C42">_xlfn.LET(_xlpm.comp,$A42,_xlpm.c,'Component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Alok Joshi (21)</v>
      </c>
      <c r="D42" s="282" t="str" cm="1">
        <f t="array" ref="D42">_xlfn.LET(_xlpm.comp,$A42,_xlpm.c,'Component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(21)</v>
      </c>
      <c r="E42" s="281" cm="1">
        <f t="array" ref="E42">IFERROR(ROWS(_xlfn.UNIQUE(_xlfn._xlws.FILTER('Component Masterlist v2'!$K$2:$K$376,('Component Masterlist v2'!$A$2:$A$376=$A42)*(TRIM(SUBSTITUTE('Component Masterlist v2'!$K$2:$K$376,CHAR(160),""))&lt;&gt;"")*('Component Masterlist v2'!$K$2:$K$376&lt;&gt;"No PM Coverage")*('Component Masterlist v2'!$K$2:$K$376&lt;&gt;"No PM coverage")))),0)</f>
        <v>1</v>
      </c>
      <c r="F42" s="281" cm="1">
        <f t="array" ref="F42">IFERROR(ROWS(_xlfn.UNIQUE(_xlfn._xlws.FILTER('Component Masterlist v2'!$M$2:$M$376,('Component Masterlist v2'!$A$2:$A$376=$A42)*(TRIM(SUBSTITUTE('Component Masterlist v2'!$M$2:$M$376,CHAR(160),""))&lt;&gt;"")*('Component Masterlist v2'!$M$2:$M$376&lt;&gt;"No PM Coverage")*('Component Masterlist v2'!$M$2:$M$376&lt;&gt;"No PM coverage")))),0)</f>
        <v>1</v>
      </c>
      <c r="G42" s="281" t="str">
        <f t="shared" si="1"/>
        <v>OK</v>
      </c>
      <c r="H42" s="280" t="str" cm="1">
        <f t="array" ref="H42">_xlfn.LET(_xlpm.comp,$A42,_xlpm.c,'Component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Alok Joshi</v>
      </c>
      <c r="I42" s="280" t="str" cm="1">
        <f t="array" ref="I42">_xlfn.LET(_xlpm.comp,$A42,_xlpm.c,'Component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42" s="7" t="s">
        <v>190</v>
      </c>
    </row>
    <row r="43" spans="1:10">
      <c r="A43" s="280" t="s">
        <v>52</v>
      </c>
      <c r="B43" s="281">
        <f>COUNTIF('Component Masterlist v2'!$A$2:$A$376,$A43)</f>
        <v>4</v>
      </c>
      <c r="C43" s="282" t="str" cm="1">
        <f t="array" ref="C43">_xlfn.LET(_xlpm.comp,$A43,_xlpm.c,'Component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3" s="282" t="str" cm="1">
        <f t="array" ref="D43">_xlfn.LET(_xlpm.comp,$A43,_xlpm.c,'Component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(4)</v>
      </c>
      <c r="E43" s="281" cm="1">
        <f t="array" ref="E43">IFERROR(ROWS(_xlfn.UNIQUE(_xlfn._xlws.FILTER('Component Masterlist v2'!$K$2:$K$376,('Component Masterlist v2'!$A$2:$A$376=$A43)*(TRIM(SUBSTITUTE('Component Masterlist v2'!$K$2:$K$376,CHAR(160),""))&lt;&gt;"")*('Component Masterlist v2'!$K$2:$K$376&lt;&gt;"No PM Coverage")*('Component Masterlist v2'!$K$2:$K$376&lt;&gt;"No PM coverage")))),0)</f>
        <v>0</v>
      </c>
      <c r="F43" s="281" cm="1">
        <f t="array" ref="F43">IFERROR(ROWS(_xlfn.UNIQUE(_xlfn._xlws.FILTER('Component Masterlist v2'!$M$2:$M$376,('Component Masterlist v2'!$A$2:$A$376=$A43)*(TRIM(SUBSTITUTE('Component Masterlist v2'!$M$2:$M$376,CHAR(160),""))&lt;&gt;"")*('Component Masterlist v2'!$M$2:$M$376&lt;&gt;"No PM Coverage")*('Component Masterlist v2'!$M$2:$M$376&lt;&gt;"No PM coverage")))),0)</f>
        <v>1</v>
      </c>
      <c r="G43" s="281" t="str">
        <f t="shared" si="1"/>
        <v>OK</v>
      </c>
      <c r="H43" s="280" t="str" cm="1">
        <f t="array" ref="H43">_xlfn.LET(_xlpm.comp,$A43,_xlpm.c,'Component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3" s="280" t="str" cm="1">
        <f t="array" ref="I43">_xlfn.LET(_xlpm.comp,$A43,_xlpm.c,'Component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43" s="7" t="s">
        <v>190</v>
      </c>
    </row>
    <row r="44" spans="1:10">
      <c r="A44" s="280" t="s">
        <v>45</v>
      </c>
      <c r="B44" s="281">
        <f>COUNTIF('Component Masterlist v2'!$A$2:$A$376,$A44)</f>
        <v>2</v>
      </c>
      <c r="C44" s="282" t="str" cm="1">
        <f t="array" ref="C44">_xlfn.LET(_xlpm.comp,$A44,_xlpm.c,'Component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4" s="282" t="str" cm="1">
        <f t="array" ref="D44">_xlfn.LET(_xlpm.comp,$A44,_xlpm.c,'Component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(2)</v>
      </c>
      <c r="E44" s="281" cm="1">
        <f t="array" ref="E44">IFERROR(ROWS(_xlfn.UNIQUE(_xlfn._xlws.FILTER('Component Masterlist v2'!$K$2:$K$376,('Component Masterlist v2'!$A$2:$A$376=$A44)*(TRIM(SUBSTITUTE('Component Masterlist v2'!$K$2:$K$376,CHAR(160),""))&lt;&gt;"")*('Component Masterlist v2'!$K$2:$K$376&lt;&gt;"No PM Coverage")*('Component Masterlist v2'!$K$2:$K$376&lt;&gt;"No PM coverage")))),0)</f>
        <v>0</v>
      </c>
      <c r="F44" s="281" cm="1">
        <f t="array" ref="F44">IFERROR(ROWS(_xlfn.UNIQUE(_xlfn._xlws.FILTER('Component Masterlist v2'!$M$2:$M$376,('Component Masterlist v2'!$A$2:$A$376=$A44)*(TRIM(SUBSTITUTE('Component Masterlist v2'!$M$2:$M$376,CHAR(160),""))&lt;&gt;"")*('Component Masterlist v2'!$M$2:$M$376&lt;&gt;"No PM Coverage")*('Component Masterlist v2'!$M$2:$M$376&lt;&gt;"No PM coverage")))),0)</f>
        <v>1</v>
      </c>
      <c r="G44" s="281" t="str">
        <f t="shared" si="1"/>
        <v>OK</v>
      </c>
      <c r="H44" s="280" t="str" cm="1">
        <f t="array" ref="H44">_xlfn.LET(_xlpm.comp,$A44,_xlpm.c,'Component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4" s="280" t="str" cm="1">
        <f t="array" ref="I44">_xlfn.LET(_xlpm.comp,$A44,_xlpm.c,'Component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44" s="7" t="s">
        <v>190</v>
      </c>
    </row>
    <row r="45" spans="1:10">
      <c r="A45" s="280" t="s">
        <v>101</v>
      </c>
      <c r="B45" s="281">
        <f>COUNTIF('Component Masterlist v2'!$A$2:$A$376,$A45)</f>
        <v>1</v>
      </c>
      <c r="C45" s="282" t="str" cm="1">
        <f t="array" ref="C45">_xlfn.LET(_xlpm.comp,$A45,_xlpm.c,'Component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5" s="282" t="str" cm="1">
        <f t="array" ref="D45">_xlfn.LET(_xlpm.comp,$A45,_xlpm.c,'Component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45" s="281" cm="1">
        <f t="array" ref="E45">IFERROR(ROWS(_xlfn.UNIQUE(_xlfn._xlws.FILTER('Component Masterlist v2'!$K$2:$K$376,('Component Masterlist v2'!$A$2:$A$376=$A45)*(TRIM(SUBSTITUTE('Component Masterlist v2'!$K$2:$K$376,CHAR(160),""))&lt;&gt;"")*('Component Masterlist v2'!$K$2:$K$376&lt;&gt;"No PM Coverage")*('Component Masterlist v2'!$K$2:$K$376&lt;&gt;"No PM coverage")))),0)</f>
        <v>0</v>
      </c>
      <c r="F45" s="281" cm="1">
        <f t="array" ref="F45">IFERROR(ROWS(_xlfn.UNIQUE(_xlfn._xlws.FILTER('Component Masterlist v2'!$M$2:$M$376,('Component Masterlist v2'!$A$2:$A$376=$A45)*(TRIM(SUBSTITUTE('Component Masterlist v2'!$M$2:$M$376,CHAR(160),""))&lt;&gt;"")*('Component Masterlist v2'!$M$2:$M$376&lt;&gt;"No PM Coverage")*('Component Masterlist v2'!$M$2:$M$376&lt;&gt;"No PM coverage")))),0)</f>
        <v>0</v>
      </c>
      <c r="G45" s="281" t="str">
        <f t="shared" si="1"/>
        <v>OK</v>
      </c>
      <c r="H45" s="280" t="str" cm="1">
        <f t="array" ref="H45">_xlfn.LET(_xlpm.comp,$A45,_xlpm.c,'Component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5" s="280" t="str" cm="1">
        <f t="array" ref="I45">_xlfn.LET(_xlpm.comp,$A45,_xlpm.c,'Component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45" s="7" t="s">
        <v>192</v>
      </c>
    </row>
    <row r="46" spans="1:10">
      <c r="A46" s="280" t="s">
        <v>96</v>
      </c>
      <c r="B46" s="281">
        <f>COUNTIF('Component Masterlist v2'!$A$2:$A$376,$A46)</f>
        <v>1</v>
      </c>
      <c r="C46" s="282" t="str" cm="1">
        <f t="array" ref="C46">_xlfn.LET(_xlpm.comp,$A46,_xlpm.c,'Component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6" s="282" t="str" cm="1">
        <f t="array" ref="D46">_xlfn.LET(_xlpm.comp,$A46,_xlpm.c,'Component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46" s="281" cm="1">
        <f t="array" ref="E46">IFERROR(ROWS(_xlfn.UNIQUE(_xlfn._xlws.FILTER('Component Masterlist v2'!$K$2:$K$376,('Component Masterlist v2'!$A$2:$A$376=$A46)*(TRIM(SUBSTITUTE('Component Masterlist v2'!$K$2:$K$376,CHAR(160),""))&lt;&gt;"")*('Component Masterlist v2'!$K$2:$K$376&lt;&gt;"No PM Coverage")*('Component Masterlist v2'!$K$2:$K$376&lt;&gt;"No PM coverage")))),0)</f>
        <v>0</v>
      </c>
      <c r="F46" s="281" cm="1">
        <f t="array" ref="F46">IFERROR(ROWS(_xlfn.UNIQUE(_xlfn._xlws.FILTER('Component Masterlist v2'!$M$2:$M$376,('Component Masterlist v2'!$A$2:$A$376=$A46)*(TRIM(SUBSTITUTE('Component Masterlist v2'!$M$2:$M$376,CHAR(160),""))&lt;&gt;"")*('Component Masterlist v2'!$M$2:$M$376&lt;&gt;"No PM Coverage")*('Component Masterlist v2'!$M$2:$M$376&lt;&gt;"No PM coverage")))),0)</f>
        <v>0</v>
      </c>
      <c r="G46" s="281" t="str">
        <f t="shared" si="1"/>
        <v>OK</v>
      </c>
      <c r="H46" s="280" t="str" cm="1">
        <f t="array" ref="H46">_xlfn.LET(_xlpm.comp,$A46,_xlpm.c,'Component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6" s="280" t="str" cm="1">
        <f t="array" ref="I46">_xlfn.LET(_xlpm.comp,$A46,_xlpm.c,'Component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46" s="7" t="s">
        <v>192</v>
      </c>
    </row>
    <row r="47" spans="1:10">
      <c r="A47" s="280" t="s">
        <v>72</v>
      </c>
      <c r="B47" s="281">
        <f>COUNTIF('Component Masterlist v2'!$A$2:$A$376,$A47)</f>
        <v>1</v>
      </c>
      <c r="C47" s="282" t="str" cm="1">
        <f t="array" ref="C47">_xlfn.LET(_xlpm.comp,$A47,_xlpm.c,'Component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7" s="282" t="str" cm="1">
        <f t="array" ref="D47">_xlfn.LET(_xlpm.comp,$A47,_xlpm.c,'Component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47" s="281" cm="1">
        <f t="array" ref="E47">IFERROR(ROWS(_xlfn.UNIQUE(_xlfn._xlws.FILTER('Component Masterlist v2'!$K$2:$K$376,('Component Masterlist v2'!$A$2:$A$376=$A47)*(TRIM(SUBSTITUTE('Component Masterlist v2'!$K$2:$K$376,CHAR(160),""))&lt;&gt;"")*('Component Masterlist v2'!$K$2:$K$376&lt;&gt;"No PM Coverage")*('Component Masterlist v2'!$K$2:$K$376&lt;&gt;"No PM coverage")))),0)</f>
        <v>0</v>
      </c>
      <c r="F47" s="281" cm="1">
        <f t="array" ref="F47">IFERROR(ROWS(_xlfn.UNIQUE(_xlfn._xlws.FILTER('Component Masterlist v2'!$M$2:$M$376,('Component Masterlist v2'!$A$2:$A$376=$A47)*(TRIM(SUBSTITUTE('Component Masterlist v2'!$M$2:$M$376,CHAR(160),""))&lt;&gt;"")*('Component Masterlist v2'!$M$2:$M$376&lt;&gt;"No PM Coverage")*('Component Masterlist v2'!$M$2:$M$376&lt;&gt;"No PM coverage")))),0)</f>
        <v>0</v>
      </c>
      <c r="G47" s="281" t="str">
        <f t="shared" si="1"/>
        <v>OK</v>
      </c>
      <c r="H47" s="280" t="str" cm="1">
        <f t="array" ref="H47">_xlfn.LET(_xlpm.comp,$A47,_xlpm.c,'Component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7" s="280" t="str" cm="1">
        <f t="array" ref="I47">_xlfn.LET(_xlpm.comp,$A47,_xlpm.c,'Component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47" s="7" t="s">
        <v>192</v>
      </c>
    </row>
    <row r="48" spans="1:10">
      <c r="A48" s="280" t="s">
        <v>88</v>
      </c>
      <c r="B48" s="281">
        <f>COUNTIF('Component Masterlist v2'!$A$2:$A$376,$A48)</f>
        <v>7</v>
      </c>
      <c r="C48" s="282" t="str" cm="1">
        <f t="array" ref="C48">_xlfn.LET(_xlpm.comp,$A48,_xlpm.c,'Component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Gaurav Gupta (7)</v>
      </c>
      <c r="D48" s="282" t="str" cm="1">
        <f t="array" ref="D48">_xlfn.LET(_xlpm.comp,$A48,_xlpm.c,'Component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(7)</v>
      </c>
      <c r="E48" s="281" cm="1">
        <f t="array" ref="E48">IFERROR(ROWS(_xlfn.UNIQUE(_xlfn._xlws.FILTER('Component Masterlist v2'!$K$2:$K$376,('Component Masterlist v2'!$A$2:$A$376=$A48)*(TRIM(SUBSTITUTE('Component Masterlist v2'!$K$2:$K$376,CHAR(160),""))&lt;&gt;"")*('Component Masterlist v2'!$K$2:$K$376&lt;&gt;"No PM Coverage")*('Component Masterlist v2'!$K$2:$K$376&lt;&gt;"No PM coverage")))),0)</f>
        <v>1</v>
      </c>
      <c r="F48" s="281" cm="1">
        <f t="array" ref="F48">IFERROR(ROWS(_xlfn.UNIQUE(_xlfn._xlws.FILTER('Component Masterlist v2'!$M$2:$M$376,('Component Masterlist v2'!$A$2:$A$376=$A48)*(TRIM(SUBSTITUTE('Component Masterlist v2'!$M$2:$M$376,CHAR(160),""))&lt;&gt;"")*('Component Masterlist v2'!$M$2:$M$376&lt;&gt;"No PM Coverage")*('Component Masterlist v2'!$M$2:$M$376&lt;&gt;"No PM coverage")))),0)</f>
        <v>1</v>
      </c>
      <c r="G48" s="281" t="str">
        <f t="shared" si="1"/>
        <v>OK</v>
      </c>
      <c r="H48" s="280" t="str" cm="1">
        <f t="array" ref="H48">_xlfn.LET(_xlpm.comp,$A48,_xlpm.c,'Component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Gaurav Gupta</v>
      </c>
      <c r="I48" s="280" t="str" cm="1">
        <f t="array" ref="I48">_xlfn.LET(_xlpm.comp,$A48,_xlpm.c,'Component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48" s="7" t="s">
        <v>192</v>
      </c>
    </row>
    <row r="49" spans="1:10">
      <c r="A49" s="280" t="s">
        <v>19</v>
      </c>
      <c r="B49" s="281">
        <f>COUNTIF('Component Masterlist v2'!$A$2:$A$376,$A49)</f>
        <v>5</v>
      </c>
      <c r="C49" s="282" t="str" cm="1">
        <f t="array" ref="C49">_xlfn.LET(_xlpm.comp,$A49,_xlpm.c,'Component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49" s="282" t="str" cm="1">
        <f t="array" ref="D49">_xlfn.LET(_xlpm.comp,$A49,_xlpm.c,'Component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49" s="281" cm="1">
        <f t="array" ref="E49">IFERROR(ROWS(_xlfn.UNIQUE(_xlfn._xlws.FILTER('Component Masterlist v2'!$K$2:$K$376,('Component Masterlist v2'!$A$2:$A$376=$A49)*(TRIM(SUBSTITUTE('Component Masterlist v2'!$K$2:$K$376,CHAR(160),""))&lt;&gt;"")*('Component Masterlist v2'!$K$2:$K$376&lt;&gt;"No PM Coverage")*('Component Masterlist v2'!$K$2:$K$376&lt;&gt;"No PM coverage")))),0)</f>
        <v>0</v>
      </c>
      <c r="F49" s="281" cm="1">
        <f t="array" ref="F49">IFERROR(ROWS(_xlfn.UNIQUE(_xlfn._xlws.FILTER('Component Masterlist v2'!$M$2:$M$376,('Component Masterlist v2'!$A$2:$A$376=$A49)*(TRIM(SUBSTITUTE('Component Masterlist v2'!$M$2:$M$376,CHAR(160),""))&lt;&gt;"")*('Component Masterlist v2'!$M$2:$M$376&lt;&gt;"No PM Coverage")*('Component Masterlist v2'!$M$2:$M$376&lt;&gt;"No PM coverage")))),0)</f>
        <v>0</v>
      </c>
      <c r="G49" s="281" t="str">
        <f t="shared" si="1"/>
        <v>OK</v>
      </c>
      <c r="H49" s="280" t="str" cm="1">
        <f t="array" ref="H49">_xlfn.LET(_xlpm.comp,$A49,_xlpm.c,'Component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49" s="280" t="str" cm="1">
        <f t="array" ref="I49">_xlfn.LET(_xlpm.comp,$A49,_xlpm.c,'Component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49" s="7" t="s">
        <v>192</v>
      </c>
    </row>
    <row r="50" spans="1:10" ht="27.75">
      <c r="A50" s="280" t="s">
        <v>54</v>
      </c>
      <c r="B50" s="281">
        <f>COUNTIF('Component Masterlist v2'!$A$2:$A$376,$A50)</f>
        <v>15</v>
      </c>
      <c r="C50" s="282" t="str" cm="1">
        <f t="array" ref="C50">_xlfn.LET(_xlpm.comp,$A50,_xlpm.c,'Component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Alok Joshi (12), Vijayakumar B (2)</v>
      </c>
      <c r="D50" s="282" t="str" cm="1">
        <f t="array" ref="D50">_xlfn.LET(_xlpm.comp,$A50,_xlpm.c,'Component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Satyavrat Mudgil (12), Shiva Somasundaram (2)</v>
      </c>
      <c r="E50" s="281" cm="1">
        <f t="array" ref="E50">IFERROR(ROWS(_xlfn.UNIQUE(_xlfn._xlws.FILTER('Component Masterlist v2'!$K$2:$K$376,('Component Masterlist v2'!$A$2:$A$376=$A50)*(TRIM(SUBSTITUTE('Component Masterlist v2'!$K$2:$K$376,CHAR(160),""))&lt;&gt;"")*('Component Masterlist v2'!$K$2:$K$376&lt;&gt;"No PM Coverage")*('Component Masterlist v2'!$K$2:$K$376&lt;&gt;"No PM coverage")))),0)</f>
        <v>2</v>
      </c>
      <c r="F50" s="281" cm="1">
        <f t="array" ref="F50">IFERROR(ROWS(_xlfn.UNIQUE(_xlfn._xlws.FILTER('Component Masterlist v2'!$M$2:$M$376,('Component Masterlist v2'!$A$2:$A$376=$A50)*(TRIM(SUBSTITUTE('Component Masterlist v2'!$M$2:$M$376,CHAR(160),""))&lt;&gt;"")*('Component Masterlist v2'!$M$2:$M$376&lt;&gt;"No PM Coverage")*('Component Masterlist v2'!$M$2:$M$376&lt;&gt;"No PM coverage")))),0)</f>
        <v>2</v>
      </c>
      <c r="G50" s="281" t="str">
        <f t="shared" si="1"/>
        <v>⚠ Multiple</v>
      </c>
      <c r="H50" s="280" t="str" cm="1">
        <f t="array" ref="H50">_xlfn.LET(_xlpm.comp,$A50,_xlpm.c,'Component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Alok Joshi</v>
      </c>
      <c r="I50" s="280" t="str" cm="1">
        <f t="array" ref="I50">_xlfn.LET(_xlpm.comp,$A50,_xlpm.c,'Component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Satyavrat Mudgil</v>
      </c>
      <c r="J50" s="7" t="s">
        <v>192</v>
      </c>
    </row>
    <row r="51" spans="1:10">
      <c r="A51" s="280" t="s">
        <v>99</v>
      </c>
      <c r="B51" s="281">
        <f>COUNTIF('Component Masterlist v2'!$A$2:$A$376,$A51)</f>
        <v>4</v>
      </c>
      <c r="C51" s="282" t="str" cm="1">
        <f t="array" ref="C51">_xlfn.LET(_xlpm.comp,$A51,_xlpm.c,'Component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Tom Jude Ammanthurutil (4)</v>
      </c>
      <c r="D51" s="282" t="str" cm="1">
        <f t="array" ref="D51">_xlfn.LET(_xlpm.comp,$A51,_xlpm.c,'Component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Turker Coskun (4)</v>
      </c>
      <c r="E51" s="281" cm="1">
        <f t="array" ref="E51">IFERROR(ROWS(_xlfn.UNIQUE(_xlfn._xlws.FILTER('Component Masterlist v2'!$K$2:$K$376,('Component Masterlist v2'!$A$2:$A$376=$A51)*(TRIM(SUBSTITUTE('Component Masterlist v2'!$K$2:$K$376,CHAR(160),""))&lt;&gt;"")*('Component Masterlist v2'!$K$2:$K$376&lt;&gt;"No PM Coverage")*('Component Masterlist v2'!$K$2:$K$376&lt;&gt;"No PM coverage")))),0)</f>
        <v>1</v>
      </c>
      <c r="F51" s="281" cm="1">
        <f t="array" ref="F51">IFERROR(ROWS(_xlfn.UNIQUE(_xlfn._xlws.FILTER('Component Masterlist v2'!$M$2:$M$376,('Component Masterlist v2'!$A$2:$A$376=$A51)*(TRIM(SUBSTITUTE('Component Masterlist v2'!$M$2:$M$376,CHAR(160),""))&lt;&gt;"")*('Component Masterlist v2'!$M$2:$M$376&lt;&gt;"No PM Coverage")*('Component Masterlist v2'!$M$2:$M$376&lt;&gt;"No PM coverage")))),0)</f>
        <v>1</v>
      </c>
      <c r="G51" s="281" t="str">
        <f t="shared" si="1"/>
        <v>OK</v>
      </c>
      <c r="H51" s="280" t="str" cm="1">
        <f t="array" ref="H51">_xlfn.LET(_xlpm.comp,$A51,_xlpm.c,'Component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Tom Jude Ammanthurutil</v>
      </c>
      <c r="I51" s="280" t="str" cm="1">
        <f t="array" ref="I51">_xlfn.LET(_xlpm.comp,$A51,_xlpm.c,'Component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Turker Coskun</v>
      </c>
      <c r="J51" s="7" t="s">
        <v>192</v>
      </c>
    </row>
    <row r="52" spans="1:10">
      <c r="A52" s="280" t="s">
        <v>26</v>
      </c>
      <c r="B52" s="281">
        <f>COUNTIF('Component Masterlist v2'!$A$2:$A$376,$A52)</f>
        <v>3</v>
      </c>
      <c r="C52" s="282" t="str" cm="1">
        <f t="array" ref="C52">_xlfn.LET(_xlpm.comp,$A52,_xlpm.c,'Component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Ashish Kalya (3)</v>
      </c>
      <c r="D52" s="282" t="str" cm="1">
        <f t="array" ref="D52">_xlfn.LET(_xlpm.comp,$A52,_xlpm.c,'Component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(3)</v>
      </c>
      <c r="E52" s="281" cm="1">
        <f t="array" ref="E52">IFERROR(ROWS(_xlfn.UNIQUE(_xlfn._xlws.FILTER('Component Masterlist v2'!$K$2:$K$376,('Component Masterlist v2'!$A$2:$A$376=$A52)*(TRIM(SUBSTITUTE('Component Masterlist v2'!$K$2:$K$376,CHAR(160),""))&lt;&gt;"")*('Component Masterlist v2'!$K$2:$K$376&lt;&gt;"No PM Coverage")*('Component Masterlist v2'!$K$2:$K$376&lt;&gt;"No PM coverage")))),0)</f>
        <v>1</v>
      </c>
      <c r="F52" s="281" cm="1">
        <f t="array" ref="F52">IFERROR(ROWS(_xlfn.UNIQUE(_xlfn._xlws.FILTER('Component Masterlist v2'!$M$2:$M$376,('Component Masterlist v2'!$A$2:$A$376=$A52)*(TRIM(SUBSTITUTE('Component Masterlist v2'!$M$2:$M$376,CHAR(160),""))&lt;&gt;"")*('Component Masterlist v2'!$M$2:$M$376&lt;&gt;"No PM Coverage")*('Component Masterlist v2'!$M$2:$M$376&lt;&gt;"No PM coverage")))),0)</f>
        <v>1</v>
      </c>
      <c r="G52" s="281" t="str">
        <f t="shared" si="1"/>
        <v>OK</v>
      </c>
      <c r="H52" s="280" t="str" cm="1">
        <f t="array" ref="H52">_xlfn.LET(_xlpm.comp,$A52,_xlpm.c,'Component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Ashish Kalya</v>
      </c>
      <c r="I52" s="280" t="str" cm="1">
        <f t="array" ref="I52">_xlfn.LET(_xlpm.comp,$A52,_xlpm.c,'Component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52" s="7" t="s">
        <v>192</v>
      </c>
    </row>
    <row r="53" spans="1:10">
      <c r="A53" s="280" t="s">
        <v>86</v>
      </c>
      <c r="B53" s="281">
        <f>COUNTIF('Component Masterlist v2'!$A$2:$A$376,$A53)</f>
        <v>1</v>
      </c>
      <c r="C53" s="282" t="str" cm="1">
        <f t="array" ref="C53">_xlfn.LET(_xlpm.comp,$A53,_xlpm.c,'Component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Tom Jude Ammanthurutil (1)</v>
      </c>
      <c r="D53" s="282" t="str" cm="1">
        <f t="array" ref="D53">_xlfn.LET(_xlpm.comp,$A53,_xlpm.c,'Component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Turker Coskun (1)</v>
      </c>
      <c r="E53" s="281" cm="1">
        <f t="array" ref="E53">IFERROR(ROWS(_xlfn.UNIQUE(_xlfn._xlws.FILTER('Component Masterlist v2'!$K$2:$K$376,('Component Masterlist v2'!$A$2:$A$376=$A53)*(TRIM(SUBSTITUTE('Component Masterlist v2'!$K$2:$K$376,CHAR(160),""))&lt;&gt;"")*('Component Masterlist v2'!$K$2:$K$376&lt;&gt;"No PM Coverage")*('Component Masterlist v2'!$K$2:$K$376&lt;&gt;"No PM coverage")))),0)</f>
        <v>1</v>
      </c>
      <c r="F53" s="281" cm="1">
        <f t="array" ref="F53">IFERROR(ROWS(_xlfn.UNIQUE(_xlfn._xlws.FILTER('Component Masterlist v2'!$M$2:$M$376,('Component Masterlist v2'!$A$2:$A$376=$A53)*(TRIM(SUBSTITUTE('Component Masterlist v2'!$M$2:$M$376,CHAR(160),""))&lt;&gt;"")*('Component Masterlist v2'!$M$2:$M$376&lt;&gt;"No PM Coverage")*('Component Masterlist v2'!$M$2:$M$376&lt;&gt;"No PM coverage")))),0)</f>
        <v>1</v>
      </c>
      <c r="G53" s="281" t="str">
        <f t="shared" si="1"/>
        <v>OK</v>
      </c>
      <c r="H53" s="280" t="str" cm="1">
        <f t="array" ref="H53">_xlfn.LET(_xlpm.comp,$A53,_xlpm.c,'Component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Tom Jude Ammanthurutil</v>
      </c>
      <c r="I53" s="280" t="str" cm="1">
        <f t="array" ref="I53">_xlfn.LET(_xlpm.comp,$A53,_xlpm.c,'Component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Turker Coskun</v>
      </c>
      <c r="J53" s="7" t="s">
        <v>192</v>
      </c>
    </row>
    <row r="54" spans="1:10">
      <c r="A54" s="280" t="s">
        <v>78</v>
      </c>
      <c r="B54" s="281">
        <f>COUNTIF('Component Masterlist v2'!$A$2:$A$376,$A54)</f>
        <v>22</v>
      </c>
      <c r="C54" s="282" t="str" cm="1">
        <f t="array" ref="C54">_xlfn.LET(_xlpm.comp,$A54,_xlpm.c,'Component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Srinivas Lingutla (6), Venkat Yennam (2)</v>
      </c>
      <c r="D54" s="282" t="str" cm="1">
        <f t="array" ref="D54">_xlfn.LET(_xlpm.comp,$A54,_xlpm.c,'Component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Venugopal Malyala (22)</v>
      </c>
      <c r="E54" s="281" cm="1">
        <f t="array" ref="E54">IFERROR(ROWS(_xlfn.UNIQUE(_xlfn._xlws.FILTER('Component Masterlist v2'!$K$2:$K$376,('Component Masterlist v2'!$A$2:$A$376=$A54)*(TRIM(SUBSTITUTE('Component Masterlist v2'!$K$2:$K$376,CHAR(160),""))&lt;&gt;"")*('Component Masterlist v2'!$K$2:$K$376&lt;&gt;"No PM Coverage")*('Component Masterlist v2'!$K$2:$K$376&lt;&gt;"No PM coverage")))),0)</f>
        <v>2</v>
      </c>
      <c r="F54" s="281" cm="1">
        <f t="array" ref="F54">IFERROR(ROWS(_xlfn.UNIQUE(_xlfn._xlws.FILTER('Component Masterlist v2'!$M$2:$M$376,('Component Masterlist v2'!$A$2:$A$376=$A54)*(TRIM(SUBSTITUTE('Component Masterlist v2'!$M$2:$M$376,CHAR(160),""))&lt;&gt;"")*('Component Masterlist v2'!$M$2:$M$376&lt;&gt;"No PM Coverage")*('Component Masterlist v2'!$M$2:$M$376&lt;&gt;"No PM coverage")))),0)</f>
        <v>1</v>
      </c>
      <c r="G54" s="281" t="str">
        <f t="shared" si="1"/>
        <v>⚠ Multiple</v>
      </c>
      <c r="H54" s="280" t="str" cm="1">
        <f t="array" ref="H54">_xlfn.LET(_xlpm.comp,$A54,_xlpm.c,'Component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Srinivas Lingutla</v>
      </c>
      <c r="I54" s="280" t="str" cm="1">
        <f t="array" ref="I54">_xlfn.LET(_xlpm.comp,$A54,_xlpm.c,'Component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Venugopal Malyala</v>
      </c>
      <c r="J54" s="7" t="s">
        <v>192</v>
      </c>
    </row>
    <row r="55" spans="1:10">
      <c r="A55" s="280" t="s">
        <v>75</v>
      </c>
      <c r="B55" s="281">
        <f>COUNTIF('Component Masterlist v2'!$A$2:$A$376,$A55)</f>
        <v>7</v>
      </c>
      <c r="C55" s="282" t="str" cm="1">
        <f t="array" ref="C55">_xlfn.LET(_xlpm.comp,$A55,_xlpm.c,'Component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Srinivas Lingutla (3), Ramesh Sarabu (2)</v>
      </c>
      <c r="D55" s="282" t="str" cm="1">
        <f t="array" ref="D55">_xlfn.LET(_xlpm.comp,$A55,_xlpm.c,'Component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Venugopal Malyala (7)</v>
      </c>
      <c r="E55" s="281" cm="1">
        <f t="array" ref="E55">IFERROR(ROWS(_xlfn.UNIQUE(_xlfn._xlws.FILTER('Component Masterlist v2'!$K$2:$K$376,('Component Masterlist v2'!$A$2:$A$376=$A55)*(TRIM(SUBSTITUTE('Component Masterlist v2'!$K$2:$K$376,CHAR(160),""))&lt;&gt;"")*('Component Masterlist v2'!$K$2:$K$376&lt;&gt;"No PM Coverage")*('Component Masterlist v2'!$K$2:$K$376&lt;&gt;"No PM coverage")))),0)</f>
        <v>2</v>
      </c>
      <c r="F55" s="281" cm="1">
        <f t="array" ref="F55">IFERROR(ROWS(_xlfn.UNIQUE(_xlfn._xlws.FILTER('Component Masterlist v2'!$M$2:$M$376,('Component Masterlist v2'!$A$2:$A$376=$A55)*(TRIM(SUBSTITUTE('Component Masterlist v2'!$M$2:$M$376,CHAR(160),""))&lt;&gt;"")*('Component Masterlist v2'!$M$2:$M$376&lt;&gt;"No PM Coverage")*('Component Masterlist v2'!$M$2:$M$376&lt;&gt;"No PM coverage")))),0)</f>
        <v>1</v>
      </c>
      <c r="G55" s="281" t="str">
        <f t="shared" si="1"/>
        <v>⚠ Multiple</v>
      </c>
      <c r="H55" s="280" t="str" cm="1">
        <f t="array" ref="H55">_xlfn.LET(_xlpm.comp,$A55,_xlpm.c,'Component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Srinivas Lingutla</v>
      </c>
      <c r="I55" s="280" t="str" cm="1">
        <f t="array" ref="I55">_xlfn.LET(_xlpm.comp,$A55,_xlpm.c,'Component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Venugopal Malyala</v>
      </c>
      <c r="J55" s="7" t="s">
        <v>192</v>
      </c>
    </row>
    <row r="56" spans="1:10">
      <c r="A56" s="280" t="s">
        <v>22</v>
      </c>
      <c r="B56" s="281">
        <f>COUNTIF('Component Masterlist v2'!$A$2:$A$376,$A56)</f>
        <v>1</v>
      </c>
      <c r="C56" s="282" t="str" cm="1">
        <f t="array" ref="C56">_xlfn.LET(_xlpm.comp,$A56,_xlpm.c,'Component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56" s="282" t="str" cm="1">
        <f t="array" ref="D56">_xlfn.LET(_xlpm.comp,$A56,_xlpm.c,'Component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
      </c>
      <c r="E56" s="281" cm="1">
        <f t="array" ref="E56">IFERROR(ROWS(_xlfn.UNIQUE(_xlfn._xlws.FILTER('Component Masterlist v2'!$K$2:$K$376,('Component Masterlist v2'!$A$2:$A$376=$A56)*(TRIM(SUBSTITUTE('Component Masterlist v2'!$K$2:$K$376,CHAR(160),""))&lt;&gt;"")*('Component Masterlist v2'!$K$2:$K$376&lt;&gt;"No PM Coverage")*('Component Masterlist v2'!$K$2:$K$376&lt;&gt;"No PM coverage")))),0)</f>
        <v>0</v>
      </c>
      <c r="F56" s="281" cm="1">
        <f t="array" ref="F56">IFERROR(ROWS(_xlfn.UNIQUE(_xlfn._xlws.FILTER('Component Masterlist v2'!$M$2:$M$376,('Component Masterlist v2'!$A$2:$A$376=$A56)*(TRIM(SUBSTITUTE('Component Masterlist v2'!$M$2:$M$376,CHAR(160),""))&lt;&gt;"")*('Component Masterlist v2'!$M$2:$M$376&lt;&gt;"No PM Coverage")*('Component Masterlist v2'!$M$2:$M$376&lt;&gt;"No PM coverage")))),0)</f>
        <v>0</v>
      </c>
      <c r="G56" s="281" t="str">
        <f t="shared" si="1"/>
        <v>OK</v>
      </c>
      <c r="H56" s="280" t="str" cm="1">
        <f t="array" ref="H56">_xlfn.LET(_xlpm.comp,$A56,_xlpm.c,'Component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56" s="280" t="str" cm="1">
        <f t="array" ref="I56">_xlfn.LET(_xlpm.comp,$A56,_xlpm.c,'Component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J56" s="7" t="s">
        <v>192</v>
      </c>
    </row>
    <row r="57" spans="1:10">
      <c r="A57" s="280" t="s">
        <v>16</v>
      </c>
      <c r="B57" s="281">
        <f>COUNTIF('Component Masterlist v2'!$A$2:$A$376,$A57)</f>
        <v>3</v>
      </c>
      <c r="C57" s="282" t="str" cm="1">
        <f t="array" ref="C57">_xlfn.LET(_xlpm.comp,$A57,_xlpm.c,'Component Masterlist v2'!$A$2:$A$376,_xlpm.p,'Component Masterlist v2'!$K$2:$K$376,_xlpm.v,(_xlpm.c=_xlpm.comp)*(TRIM(SUBSTITUTE(_xlpm.p,CHAR(160),""))&lt;&gt;"")*(_xlpm.p&lt;&gt;"No PM Coverage")*(_xlpm.p&lt;&gt;"No PM coverage"),_xlpm.n,_xlfn.UNIQUE(_xlfn._xlws.FILTER(_xlpm.p,_xlpm.v,"")),IF(INDEX(_xlpm.n,1)="","",_xlfn.TEXTJOIN(", ",TRUE,_xlfn.MAP(_xlpm.n,_xlfn.LAMBDA(_xlpm.x,_xlpm.x&amp;" ("&amp;SUM((_xlpm.c=_xlpm.comp)*(_xlpm.p=_xlpm.x))&amp;")")))))</f>
        <v/>
      </c>
      <c r="D57" s="282" t="str" cm="1">
        <f t="array" ref="D57">_xlfn.LET(_xlpm.comp,$A57,_xlpm.c,'Component Masterlist v2'!$A$2:$A$376,_xlpm.p,'Component Masterlist v2'!$M$2:$M$376,_xlpm.v,(_xlpm.c=_xlpm.comp)*(TRIM(SUBSTITUTE(_xlpm.p,CHAR(160),""))&lt;&gt;"")*(_xlpm.p&lt;&gt;"No PM Coverage")*(_xlpm.p&lt;&gt;"No PM coverage"),_xlpm.n,_xlfn.UNIQUE(_xlfn._xlws.FILTER(_xlpm.p,_xlpm.v,"")),IF(INDEX(_xlpm.n,1)="","",_xlfn.TEXTJOIN(", ",TRUE,_xlfn.MAP(_xlpm.n,_xlfn.LAMBDA(_xlpm.x,_xlpm.x&amp;" ("&amp;SUM((_xlpm.c=_xlpm.comp)*(_xlpm.p=_xlpm.x))&amp;")")))))</f>
        <v>Shiva Somasundaram (3)</v>
      </c>
      <c r="E57" s="281" cm="1">
        <f t="array" ref="E57">IFERROR(ROWS(_xlfn.UNIQUE(_xlfn._xlws.FILTER('Component Masterlist v2'!$K$2:$K$376,('Component Masterlist v2'!$A$2:$A$376=$A57)*(TRIM(SUBSTITUTE('Component Masterlist v2'!$K$2:$K$376,CHAR(160),""))&lt;&gt;"")*('Component Masterlist v2'!$K$2:$K$376&lt;&gt;"No PM Coverage")*('Component Masterlist v2'!$K$2:$K$376&lt;&gt;"No PM coverage")))),0)</f>
        <v>0</v>
      </c>
      <c r="F57" s="281" cm="1">
        <f t="array" ref="F57">IFERROR(ROWS(_xlfn.UNIQUE(_xlfn._xlws.FILTER('Component Masterlist v2'!$M$2:$M$376,('Component Masterlist v2'!$A$2:$A$376=$A57)*(TRIM(SUBSTITUTE('Component Masterlist v2'!$M$2:$M$376,CHAR(160),""))&lt;&gt;"")*('Component Masterlist v2'!$M$2:$M$376&lt;&gt;"No PM Coverage")*('Component Masterlist v2'!$M$2:$M$376&lt;&gt;"No PM coverage")))),0)</f>
        <v>1</v>
      </c>
      <c r="G57" s="281" t="str">
        <f t="shared" si="1"/>
        <v>OK</v>
      </c>
      <c r="H57" s="280" t="str" cm="1">
        <f t="array" ref="H57">_xlfn.LET(_xlpm.comp,$A57,_xlpm.c,'Component Masterlist v2'!$A$2:$A$376,_xlpm.p,'Component Masterlist v2'!$K$2:$K$376,_xlpm.v,(_xlpm.c=_xlpm.comp)*(TRIM(SUBSTITUTE(_xlpm.p,CHAR(160),""))&lt;&gt;"")*(_xlpm.p&lt;&gt;"No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
      </c>
      <c r="I57" s="280" t="str" cm="1">
        <f t="array" ref="I57">_xlfn.LET(_xlpm.comp,$A57,_xlpm.c,'Component Masterlist v2'!$A$2:$A$376,_xlpm.p,'Component Masterlist v2'!$M$2:$M$376,_xlpm.v,(_xlpm.c=_xlpm.comp)*(TRIM(SUBSTITUTE(_xlpm.p,CHAR(160),""))&lt;&gt;"")*(_xlpm.p&lt;&gt;"No PM Coverage")*(_xlpm.p&lt;&gt;"No PM coverage"),_xlpm.n,_xlfn.UNIQUE(_xlfn._xlws.FILTER(_xlpm.p,_xlpm.v,"")),IF(INDEX(_xlpm.n,1)="","",_xlfn.LET(_xlpm.k,_xlfn.MAP(_xlpm.n,_xlfn.LAMBDA(_xlpm.x,SUM((_xlpm.c=_xlpm.comp)*(_xlpm.p=_xlpm.x)))),_xlpm.mx,MAX(_xlpm.k),IF(SUM(--(_xlpm.k=_xlpm.mx))&gt;1,"",INDEX(_xlpm.n,MATCH(_xlpm.mx,_xlpm.k,0))))))</f>
        <v>Shiva Somasundaram</v>
      </c>
      <c r="J57" s="7" t="s">
        <v>192</v>
      </c>
    </row>
    <row r="60" spans="1:10" ht="16.5">
      <c r="A60" s="283" t="s">
        <v>3126</v>
      </c>
    </row>
    <row r="61" spans="1:10">
      <c r="A61" s="284" t="s">
        <v>3127</v>
      </c>
    </row>
    <row r="62" spans="1:10">
      <c r="A62" s="25" t="s">
        <v>3128</v>
      </c>
    </row>
    <row r="63" spans="1:10">
      <c r="A63" s="25" t="s">
        <v>3129</v>
      </c>
    </row>
    <row r="64" spans="1:10">
      <c r="A64" s="25" t="s">
        <v>3130</v>
      </c>
    </row>
    <row r="65" spans="1:1">
      <c r="A65" s="25" t="s">
        <v>3131</v>
      </c>
    </row>
    <row r="67" spans="1:1">
      <c r="A67" s="285" t="s">
        <v>3132</v>
      </c>
    </row>
  </sheetData>
  <autoFilter ref="A4:J57" xr:uid="{C7D7599A-E211-4519-A3B6-863063EBF6BA}"/>
  <conditionalFormatting sqref="A5:I57">
    <cfRule type="expression" dxfId="25" priority="6">
      <formula>AND(ISNUMBER(SEARCH("Multiple",$G5)),NOT(OR(AND($E5&gt;1,$H5=""),AND($F5&gt;1,$I5=""))))</formula>
    </cfRule>
  </conditionalFormatting>
  <conditionalFormatting sqref="H5:H57">
    <cfRule type="expression" dxfId="24" priority="1">
      <formula>AND($E5=0,$F5&gt;0)</formula>
    </cfRule>
    <cfRule type="expression" dxfId="23" priority="7">
      <formula>AND($E5&gt;1,$H5="")</formula>
    </cfRule>
  </conditionalFormatting>
  <conditionalFormatting sqref="H5:I57">
    <cfRule type="expression" dxfId="22" priority="3">
      <formula>AND($E5=0,$F5=0)</formula>
    </cfRule>
  </conditionalFormatting>
  <conditionalFormatting sqref="I5:I57">
    <cfRule type="expression" dxfId="21" priority="2">
      <formula>AND($F5&gt;1,$I5="")</formula>
    </cfRule>
    <cfRule type="expression" dxfId="20" priority="5">
      <formula>AND($F5=0,$E5&gt;0)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5425E-A39A-4CCB-BA9D-A34D724CA005}">
  <sheetPr>
    <tabColor rgb="FF0070C0"/>
  </sheetPr>
  <dimension ref="A1:D61"/>
  <sheetViews>
    <sheetView workbookViewId="0">
      <selection activeCell="G6" sqref="G6"/>
    </sheetView>
  </sheetViews>
  <sheetFormatPr defaultColWidth="8.85546875" defaultRowHeight="15"/>
  <cols>
    <col min="1" max="1" width="22.140625" customWidth="1"/>
    <col min="3" max="3" width="22.140625" customWidth="1"/>
  </cols>
  <sheetData>
    <row r="1" spans="1:4">
      <c r="A1" s="45" t="s">
        <v>3133</v>
      </c>
      <c r="C1" s="45" t="s">
        <v>3134</v>
      </c>
    </row>
    <row r="2" spans="1:4">
      <c r="A2" t="s">
        <v>3135</v>
      </c>
      <c r="B2" t="s">
        <v>3136</v>
      </c>
      <c r="C2" t="s">
        <v>3137</v>
      </c>
      <c r="D2" t="s">
        <v>3136</v>
      </c>
    </row>
    <row r="3" spans="1:4">
      <c r="A3" t="s">
        <v>3138</v>
      </c>
      <c r="B3" t="s">
        <v>3136</v>
      </c>
      <c r="C3" t="s">
        <v>3139</v>
      </c>
      <c r="D3" t="s">
        <v>3136</v>
      </c>
    </row>
    <row r="4" spans="1:4">
      <c r="A4" t="s">
        <v>3140</v>
      </c>
      <c r="B4" t="s">
        <v>3136</v>
      </c>
      <c r="C4" t="s">
        <v>3141</v>
      </c>
      <c r="D4" t="s">
        <v>3136</v>
      </c>
    </row>
    <row r="5" spans="1:4">
      <c r="A5" t="s">
        <v>3142</v>
      </c>
      <c r="B5" t="s">
        <v>3136</v>
      </c>
      <c r="C5" t="s">
        <v>3143</v>
      </c>
      <c r="D5" t="s">
        <v>3136</v>
      </c>
    </row>
    <row r="6" spans="1:4">
      <c r="A6" t="s">
        <v>3144</v>
      </c>
      <c r="B6" t="s">
        <v>3136</v>
      </c>
      <c r="C6" t="s">
        <v>3145</v>
      </c>
      <c r="D6" t="s">
        <v>3136</v>
      </c>
    </row>
    <row r="7" spans="1:4">
      <c r="A7" t="s">
        <v>3146</v>
      </c>
      <c r="B7" t="s">
        <v>3136</v>
      </c>
      <c r="C7" t="s">
        <v>3147</v>
      </c>
      <c r="D7" t="s">
        <v>3136</v>
      </c>
    </row>
    <row r="8" spans="1:4">
      <c r="A8" t="s">
        <v>3148</v>
      </c>
      <c r="B8" t="s">
        <v>3136</v>
      </c>
      <c r="C8" t="s">
        <v>3149</v>
      </c>
      <c r="D8" t="s">
        <v>3136</v>
      </c>
    </row>
    <row r="9" spans="1:4">
      <c r="A9" t="s">
        <v>3150</v>
      </c>
      <c r="B9" t="s">
        <v>3136</v>
      </c>
      <c r="C9" t="s">
        <v>3151</v>
      </c>
      <c r="D9" t="s">
        <v>3136</v>
      </c>
    </row>
    <row r="10" spans="1:4">
      <c r="A10" t="s">
        <v>3152</v>
      </c>
      <c r="B10" t="s">
        <v>3136</v>
      </c>
      <c r="C10" t="s">
        <v>3153</v>
      </c>
      <c r="D10" t="s">
        <v>3136</v>
      </c>
    </row>
    <row r="11" spans="1:4">
      <c r="A11" t="s">
        <v>3154</v>
      </c>
      <c r="B11" t="s">
        <v>3136</v>
      </c>
      <c r="C11" t="s">
        <v>3155</v>
      </c>
      <c r="D11" t="s">
        <v>3136</v>
      </c>
    </row>
    <row r="12" spans="1:4">
      <c r="A12" t="s">
        <v>3156</v>
      </c>
      <c r="B12" t="s">
        <v>3136</v>
      </c>
      <c r="C12" t="s">
        <v>3157</v>
      </c>
      <c r="D12" t="s">
        <v>3136</v>
      </c>
    </row>
    <row r="13" spans="1:4">
      <c r="A13" t="s">
        <v>3158</v>
      </c>
      <c r="B13" t="s">
        <v>3136</v>
      </c>
      <c r="C13" t="s">
        <v>3159</v>
      </c>
      <c r="D13" t="s">
        <v>3136</v>
      </c>
    </row>
    <row r="14" spans="1:4">
      <c r="A14" t="s">
        <v>3160</v>
      </c>
      <c r="B14" t="s">
        <v>3136</v>
      </c>
      <c r="C14" t="s">
        <v>3161</v>
      </c>
      <c r="D14" t="s">
        <v>3136</v>
      </c>
    </row>
    <row r="15" spans="1:4">
      <c r="A15" t="s">
        <v>3162</v>
      </c>
      <c r="B15" t="s">
        <v>3136</v>
      </c>
      <c r="C15" t="s">
        <v>3163</v>
      </c>
      <c r="D15" t="s">
        <v>3136</v>
      </c>
    </row>
    <row r="16" spans="1:4">
      <c r="A16" t="s">
        <v>3164</v>
      </c>
      <c r="B16" t="s">
        <v>3136</v>
      </c>
      <c r="C16" t="s">
        <v>3165</v>
      </c>
      <c r="D16" t="s">
        <v>3136</v>
      </c>
    </row>
    <row r="17" spans="1:4">
      <c r="A17" t="s">
        <v>3166</v>
      </c>
      <c r="B17" t="s">
        <v>3136</v>
      </c>
      <c r="C17" t="s">
        <v>3167</v>
      </c>
      <c r="D17" t="s">
        <v>3136</v>
      </c>
    </row>
    <row r="18" spans="1:4">
      <c r="A18" t="s">
        <v>3168</v>
      </c>
      <c r="B18" t="s">
        <v>3136</v>
      </c>
      <c r="C18" t="s">
        <v>3169</v>
      </c>
      <c r="D18" t="s">
        <v>3136</v>
      </c>
    </row>
    <row r="19" spans="1:4">
      <c r="A19" t="s">
        <v>3170</v>
      </c>
      <c r="B19" t="s">
        <v>3136</v>
      </c>
      <c r="C19" t="s">
        <v>3171</v>
      </c>
      <c r="D19" t="s">
        <v>3136</v>
      </c>
    </row>
    <row r="20" spans="1:4">
      <c r="A20" t="s">
        <v>3172</v>
      </c>
      <c r="B20" t="s">
        <v>3136</v>
      </c>
      <c r="C20" t="s">
        <v>3173</v>
      </c>
      <c r="D20" t="s">
        <v>3136</v>
      </c>
    </row>
    <row r="21" spans="1:4">
      <c r="A21" t="s">
        <v>3174</v>
      </c>
      <c r="B21" t="s">
        <v>3136</v>
      </c>
      <c r="C21" t="s">
        <v>3175</v>
      </c>
      <c r="D21" t="s">
        <v>3136</v>
      </c>
    </row>
    <row r="22" spans="1:4">
      <c r="A22" t="s">
        <v>3176</v>
      </c>
      <c r="B22" t="s">
        <v>3136</v>
      </c>
      <c r="C22" t="s">
        <v>3177</v>
      </c>
      <c r="D22" t="s">
        <v>3136</v>
      </c>
    </row>
    <row r="23" spans="1:4">
      <c r="A23" t="s">
        <v>3178</v>
      </c>
      <c r="B23" t="s">
        <v>3136</v>
      </c>
      <c r="C23" t="s">
        <v>3179</v>
      </c>
      <c r="D23" t="s">
        <v>3136</v>
      </c>
    </row>
    <row r="24" spans="1:4">
      <c r="A24" t="s">
        <v>3180</v>
      </c>
      <c r="B24" t="s">
        <v>3136</v>
      </c>
      <c r="C24" t="s">
        <v>3181</v>
      </c>
      <c r="D24" t="s">
        <v>3136</v>
      </c>
    </row>
    <row r="25" spans="1:4">
      <c r="A25" t="s">
        <v>3182</v>
      </c>
      <c r="B25" t="s">
        <v>3136</v>
      </c>
      <c r="C25" t="s">
        <v>3183</v>
      </c>
      <c r="D25" t="s">
        <v>3136</v>
      </c>
    </row>
    <row r="26" spans="1:4">
      <c r="A26" t="s">
        <v>3184</v>
      </c>
      <c r="B26" t="s">
        <v>3136</v>
      </c>
      <c r="C26" t="s">
        <v>3185</v>
      </c>
      <c r="D26" t="s">
        <v>3136</v>
      </c>
    </row>
    <row r="27" spans="1:4">
      <c r="A27" t="s">
        <v>3186</v>
      </c>
      <c r="B27" t="s">
        <v>3136</v>
      </c>
      <c r="C27" t="s">
        <v>3187</v>
      </c>
      <c r="D27" t="s">
        <v>3136</v>
      </c>
    </row>
    <row r="28" spans="1:4">
      <c r="A28" t="s">
        <v>3188</v>
      </c>
      <c r="B28" t="s">
        <v>3136</v>
      </c>
      <c r="C28" t="s">
        <v>3189</v>
      </c>
      <c r="D28" t="s">
        <v>3136</v>
      </c>
    </row>
    <row r="29" spans="1:4">
      <c r="A29" t="s">
        <v>3190</v>
      </c>
      <c r="B29" t="s">
        <v>3136</v>
      </c>
      <c r="C29" t="s">
        <v>3191</v>
      </c>
      <c r="D29" t="s">
        <v>3136</v>
      </c>
    </row>
    <row r="30" spans="1:4">
      <c r="A30" t="s">
        <v>3192</v>
      </c>
      <c r="B30" t="s">
        <v>3136</v>
      </c>
      <c r="C30" t="s">
        <v>3193</v>
      </c>
      <c r="D30" t="s">
        <v>3136</v>
      </c>
    </row>
    <row r="31" spans="1:4">
      <c r="A31" t="s">
        <v>3194</v>
      </c>
      <c r="B31" t="s">
        <v>3136</v>
      </c>
      <c r="C31" t="s">
        <v>3195</v>
      </c>
      <c r="D31" t="s">
        <v>3136</v>
      </c>
    </row>
    <row r="32" spans="1:4">
      <c r="A32" t="s">
        <v>3196</v>
      </c>
      <c r="B32" t="s">
        <v>3136</v>
      </c>
      <c r="C32" t="s">
        <v>3197</v>
      </c>
      <c r="D32" t="s">
        <v>3136</v>
      </c>
    </row>
    <row r="33" spans="1:4">
      <c r="A33" t="s">
        <v>3198</v>
      </c>
      <c r="B33" t="s">
        <v>3136</v>
      </c>
      <c r="C33" t="s">
        <v>3199</v>
      </c>
      <c r="D33" t="s">
        <v>3136</v>
      </c>
    </row>
    <row r="34" spans="1:4">
      <c r="A34" t="s">
        <v>3200</v>
      </c>
      <c r="B34" t="s">
        <v>3136</v>
      </c>
      <c r="C34" t="s">
        <v>3201</v>
      </c>
      <c r="D34" t="s">
        <v>3136</v>
      </c>
    </row>
    <row r="35" spans="1:4">
      <c r="A35" t="s">
        <v>3202</v>
      </c>
      <c r="B35" t="s">
        <v>3136</v>
      </c>
      <c r="C35" t="s">
        <v>3203</v>
      </c>
      <c r="D35" t="s">
        <v>3136</v>
      </c>
    </row>
    <row r="36" spans="1:4">
      <c r="A36" t="s">
        <v>3204</v>
      </c>
      <c r="B36" t="s">
        <v>3136</v>
      </c>
      <c r="C36" t="s">
        <v>3205</v>
      </c>
      <c r="D36" t="s">
        <v>3136</v>
      </c>
    </row>
    <row r="37" spans="1:4">
      <c r="A37" t="s">
        <v>3206</v>
      </c>
      <c r="B37" t="s">
        <v>3136</v>
      </c>
      <c r="C37" t="s">
        <v>3207</v>
      </c>
      <c r="D37" t="s">
        <v>3136</v>
      </c>
    </row>
    <row r="38" spans="1:4">
      <c r="A38" t="s">
        <v>3208</v>
      </c>
      <c r="B38" t="s">
        <v>3136</v>
      </c>
      <c r="C38" t="s">
        <v>3209</v>
      </c>
      <c r="D38" t="s">
        <v>3136</v>
      </c>
    </row>
    <row r="39" spans="1:4">
      <c r="A39" t="s">
        <v>3210</v>
      </c>
      <c r="B39" t="s">
        <v>3136</v>
      </c>
      <c r="C39" t="s">
        <v>3211</v>
      </c>
      <c r="D39" t="s">
        <v>3136</v>
      </c>
    </row>
    <row r="40" spans="1:4">
      <c r="A40" t="s">
        <v>3212</v>
      </c>
      <c r="B40" t="s">
        <v>3136</v>
      </c>
      <c r="C40" t="s">
        <v>3213</v>
      </c>
      <c r="D40" t="s">
        <v>3136</v>
      </c>
    </row>
    <row r="41" spans="1:4">
      <c r="A41" t="s">
        <v>3214</v>
      </c>
      <c r="B41" t="s">
        <v>3136</v>
      </c>
      <c r="C41" t="s">
        <v>3215</v>
      </c>
      <c r="D41" t="s">
        <v>3136</v>
      </c>
    </row>
    <row r="42" spans="1:4">
      <c r="A42" t="s">
        <v>3216</v>
      </c>
      <c r="B42" t="s">
        <v>3136</v>
      </c>
      <c r="C42" t="s">
        <v>3217</v>
      </c>
      <c r="D42" t="s">
        <v>3136</v>
      </c>
    </row>
    <row r="43" spans="1:4">
      <c r="A43" t="s">
        <v>3218</v>
      </c>
      <c r="B43" t="s">
        <v>3136</v>
      </c>
      <c r="C43" t="s">
        <v>3219</v>
      </c>
      <c r="D43" t="s">
        <v>3136</v>
      </c>
    </row>
    <row r="44" spans="1:4">
      <c r="A44" t="s">
        <v>3220</v>
      </c>
      <c r="B44" t="s">
        <v>3136</v>
      </c>
      <c r="C44" t="s">
        <v>3221</v>
      </c>
      <c r="D44" t="s">
        <v>3136</v>
      </c>
    </row>
    <row r="45" spans="1:4">
      <c r="A45" t="s">
        <v>3222</v>
      </c>
      <c r="B45" t="s">
        <v>3136</v>
      </c>
      <c r="C45" t="s">
        <v>3223</v>
      </c>
      <c r="D45" t="s">
        <v>3136</v>
      </c>
    </row>
    <row r="46" spans="1:4">
      <c r="A46" t="s">
        <v>3224</v>
      </c>
      <c r="B46" t="s">
        <v>3136</v>
      </c>
      <c r="C46" t="s">
        <v>3225</v>
      </c>
      <c r="D46" t="s">
        <v>3136</v>
      </c>
    </row>
    <row r="47" spans="1:4">
      <c r="A47" t="s">
        <v>3226</v>
      </c>
      <c r="B47" t="s">
        <v>3136</v>
      </c>
      <c r="C47" t="s">
        <v>3227</v>
      </c>
      <c r="D47" t="s">
        <v>3136</v>
      </c>
    </row>
    <row r="48" spans="1:4">
      <c r="A48" t="s">
        <v>3228</v>
      </c>
      <c r="B48" t="s">
        <v>3136</v>
      </c>
      <c r="C48" t="s">
        <v>3229</v>
      </c>
      <c r="D48" t="s">
        <v>3136</v>
      </c>
    </row>
    <row r="49" spans="1:4">
      <c r="A49" t="s">
        <v>3230</v>
      </c>
      <c r="B49" t="s">
        <v>3136</v>
      </c>
      <c r="C49" t="s">
        <v>3231</v>
      </c>
      <c r="D49" t="s">
        <v>3136</v>
      </c>
    </row>
    <row r="50" spans="1:4">
      <c r="A50" t="s">
        <v>3232</v>
      </c>
      <c r="B50" t="s">
        <v>3136</v>
      </c>
      <c r="C50" t="s">
        <v>3233</v>
      </c>
      <c r="D50" t="s">
        <v>3136</v>
      </c>
    </row>
    <row r="51" spans="1:4">
      <c r="A51" t="s">
        <v>3234</v>
      </c>
      <c r="B51" t="s">
        <v>3136</v>
      </c>
      <c r="C51" t="s">
        <v>3235</v>
      </c>
      <c r="D51" t="s">
        <v>3136</v>
      </c>
    </row>
    <row r="52" spans="1:4">
      <c r="A52" t="s">
        <v>3236</v>
      </c>
      <c r="B52" t="s">
        <v>3136</v>
      </c>
      <c r="C52" t="s">
        <v>3237</v>
      </c>
      <c r="D52" t="s">
        <v>3136</v>
      </c>
    </row>
    <row r="53" spans="1:4">
      <c r="A53" t="s">
        <v>3238</v>
      </c>
      <c r="B53" t="s">
        <v>3136</v>
      </c>
      <c r="C53" t="s">
        <v>3239</v>
      </c>
      <c r="D53" t="s">
        <v>3136</v>
      </c>
    </row>
    <row r="54" spans="1:4">
      <c r="A54" t="s">
        <v>3240</v>
      </c>
      <c r="B54" t="s">
        <v>3136</v>
      </c>
      <c r="C54" t="s">
        <v>3241</v>
      </c>
      <c r="D54" t="s">
        <v>3136</v>
      </c>
    </row>
    <row r="55" spans="1:4">
      <c r="A55" t="s">
        <v>3242</v>
      </c>
      <c r="B55" t="s">
        <v>3136</v>
      </c>
      <c r="C55" t="s">
        <v>3243</v>
      </c>
      <c r="D55" t="s">
        <v>3136</v>
      </c>
    </row>
    <row r="56" spans="1:4">
      <c r="A56" t="s">
        <v>3244</v>
      </c>
      <c r="B56" t="s">
        <v>3136</v>
      </c>
      <c r="C56" t="s">
        <v>3245</v>
      </c>
      <c r="D56" t="s">
        <v>3136</v>
      </c>
    </row>
    <row r="57" spans="1:4">
      <c r="A57" t="s">
        <v>3246</v>
      </c>
      <c r="B57" t="s">
        <v>3136</v>
      </c>
      <c r="C57" t="s">
        <v>3247</v>
      </c>
      <c r="D57" t="s">
        <v>3136</v>
      </c>
    </row>
    <row r="58" spans="1:4">
      <c r="A58" t="s">
        <v>3248</v>
      </c>
      <c r="B58" t="s">
        <v>3136</v>
      </c>
      <c r="C58" t="s">
        <v>3249</v>
      </c>
      <c r="D58" t="s">
        <v>3136</v>
      </c>
    </row>
    <row r="59" spans="1:4">
      <c r="A59" t="s">
        <v>3250</v>
      </c>
      <c r="B59" t="s">
        <v>3136</v>
      </c>
      <c r="C59" t="s">
        <v>3251</v>
      </c>
      <c r="D59" t="s">
        <v>3136</v>
      </c>
    </row>
    <row r="60" spans="1:4">
      <c r="A60" t="s">
        <v>3252</v>
      </c>
      <c r="B60" t="s">
        <v>3136</v>
      </c>
      <c r="C60" t="s">
        <v>3253</v>
      </c>
      <c r="D60" t="s">
        <v>3136</v>
      </c>
    </row>
    <row r="61" spans="1:4">
      <c r="A61" t="s">
        <v>3254</v>
      </c>
      <c r="B61" t="s">
        <v>3136</v>
      </c>
      <c r="C61" t="s">
        <v>3255</v>
      </c>
      <c r="D61" t="s">
        <v>3136</v>
      </c>
    </row>
  </sheetData>
  <sheetProtection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B4FD-4E82-4BA2-BD71-CE947A5076D0}">
  <dimension ref="A1:H371"/>
  <sheetViews>
    <sheetView workbookViewId="0">
      <pane ySplit="1" topLeftCell="A347" activePane="bottomLeft" state="frozen"/>
      <selection pane="bottomLeft" activeCell="A357" sqref="A357"/>
    </sheetView>
  </sheetViews>
  <sheetFormatPr defaultColWidth="8.85546875" defaultRowHeight="15"/>
  <cols>
    <col min="1" max="1" width="17" customWidth="1"/>
    <col min="2" max="2" width="29.42578125" customWidth="1"/>
    <col min="3" max="3" width="18.42578125" customWidth="1"/>
    <col min="4" max="5" width="24.140625" customWidth="1"/>
    <col min="6" max="6" width="17" style="4" customWidth="1"/>
  </cols>
  <sheetData>
    <row r="1" spans="1:8" ht="32.25" customHeight="1">
      <c r="A1" s="1" t="s">
        <v>3</v>
      </c>
      <c r="B1" s="1" t="s">
        <v>205</v>
      </c>
      <c r="C1" s="36" t="s">
        <v>215</v>
      </c>
      <c r="D1" s="113" t="s">
        <v>2092</v>
      </c>
      <c r="E1" s="65" t="s">
        <v>961</v>
      </c>
      <c r="F1" s="164" t="s">
        <v>216</v>
      </c>
      <c r="H1" t="s">
        <v>3256</v>
      </c>
    </row>
    <row r="2" spans="1:8">
      <c r="A2" s="3" t="s">
        <v>82</v>
      </c>
      <c r="B2" s="18" t="s">
        <v>219</v>
      </c>
      <c r="C2" s="37" t="str">
        <f>_xlfn.XLOOKUP(B2, 'Component Masterlist v2'!B:B, 'Component Masterlist v2'!O:O, "Not found")</f>
        <v>Wolverine</v>
      </c>
      <c r="D2" s="114" t="str">
        <f>_xlfn.XLOOKUP(B2, 'Component Masterlist v2'!B:B, 'Component Masterlist v2'!G:G, "Not found")</f>
        <v>Ved Singh</v>
      </c>
      <c r="E2" s="112" t="str">
        <f>_xlfn.XLOOKUP(B2, 'Component Masterlist v2'!B:B, 'Component Masterlist v2'!E:E, "Not found")</f>
        <v>Arun Gangadhar</v>
      </c>
      <c r="F2" s="165" t="str">
        <f>_xlfn.XLOOKUP(B2, 'Component Masterlist v2'!B:B, 'Component Masterlist v2'!P:P, "Not found")</f>
        <v>CRM</v>
      </c>
    </row>
    <row r="3" spans="1:8">
      <c r="A3" s="3" t="s">
        <v>82</v>
      </c>
      <c r="B3" s="18" t="s">
        <v>228</v>
      </c>
      <c r="C3" s="37" t="str">
        <f>_xlfn.XLOOKUP(B3, 'Component Masterlist v2'!B:B, 'Component Masterlist v2'!O:O, "Not found")</f>
        <v>Wolverine</v>
      </c>
      <c r="D3" s="114" t="str">
        <f>_xlfn.XLOOKUP(B3, 'Component Masterlist v2'!B:B, 'Component Masterlist v2'!G:G, "Not found")</f>
        <v>Ved Singh</v>
      </c>
      <c r="E3" s="112" t="str">
        <f>_xlfn.XLOOKUP(B3, 'Component Masterlist v2'!B:B, 'Component Masterlist v2'!E:E, "Not found")</f>
        <v>Arun Gangadhar</v>
      </c>
      <c r="F3" s="165" t="str">
        <f>_xlfn.XLOOKUP(B3, 'Component Masterlist v2'!B:B, 'Component Masterlist v2'!P:P, "Not found")</f>
        <v>CRM</v>
      </c>
    </row>
    <row r="4" spans="1:8">
      <c r="A4" s="3" t="s">
        <v>82</v>
      </c>
      <c r="B4" s="18" t="s">
        <v>230</v>
      </c>
      <c r="C4" s="37" t="str">
        <f>_xlfn.XLOOKUP(B4, 'Component Masterlist v2'!B:B, 'Component Masterlist v2'!O:O, "Not found")</f>
        <v>Gambit</v>
      </c>
      <c r="D4" s="114" t="str">
        <f>_xlfn.XLOOKUP(B4, 'Component Masterlist v2'!B:B, 'Component Masterlist v2'!G:G, "Not found")</f>
        <v>Ved Singh</v>
      </c>
      <c r="E4" s="112" t="str">
        <f>_xlfn.XLOOKUP(B4, 'Component Masterlist v2'!B:B, 'Component Masterlist v2'!E:E, "Not found")</f>
        <v>Arun Gangadhar</v>
      </c>
      <c r="F4" s="165" t="str">
        <f>_xlfn.XLOOKUP(B4, 'Component Masterlist v2'!B:B, 'Component Masterlist v2'!P:P, "Not found")</f>
        <v>CRM</v>
      </c>
    </row>
    <row r="5" spans="1:8">
      <c r="A5" s="3" t="s">
        <v>82</v>
      </c>
      <c r="B5" s="18" t="s">
        <v>232</v>
      </c>
      <c r="C5" s="37" t="str">
        <f>_xlfn.XLOOKUP(B5, 'Component Masterlist v2'!B:B, 'Component Masterlist v2'!O:O, "Not found")</f>
        <v>Mystique</v>
      </c>
      <c r="D5" s="114" t="str">
        <f>_xlfn.XLOOKUP(B5, 'Component Masterlist v2'!B:B, 'Component Masterlist v2'!G:G, "Not found")</f>
        <v>Ved Singh</v>
      </c>
      <c r="E5" s="112" t="str">
        <f>_xlfn.XLOOKUP(B5, 'Component Masterlist v2'!B:B, 'Component Masterlist v2'!E:E, "Not found")</f>
        <v>Arun Gangadhar</v>
      </c>
      <c r="F5" s="165" t="str">
        <f>_xlfn.XLOOKUP(B5, 'Component Masterlist v2'!B:B, 'Component Masterlist v2'!P:P, "Not found")</f>
        <v>CRM</v>
      </c>
    </row>
    <row r="6" spans="1:8">
      <c r="A6" s="3" t="s">
        <v>82</v>
      </c>
      <c r="B6" s="18" t="s">
        <v>233</v>
      </c>
      <c r="C6" s="37" t="str">
        <f>_xlfn.XLOOKUP(B6, 'Component Masterlist v2'!B:B, 'Component Masterlist v2'!O:O, "Not found")</f>
        <v>Storm</v>
      </c>
      <c r="D6" s="114" t="str">
        <f>_xlfn.XLOOKUP(B6, 'Component Masterlist v2'!B:B, 'Component Masterlist v2'!G:G, "Not found")</f>
        <v>Ved Singh</v>
      </c>
      <c r="E6" s="112" t="str">
        <f>_xlfn.XLOOKUP(B6, 'Component Masterlist v2'!B:B, 'Component Masterlist v2'!E:E, "Not found")</f>
        <v>Arun Gangadhar</v>
      </c>
      <c r="F6" s="165" t="str">
        <f>_xlfn.XLOOKUP(B6, 'Component Masterlist v2'!B:B, 'Component Masterlist v2'!P:P, "Not found")</f>
        <v>CRM</v>
      </c>
    </row>
    <row r="7" spans="1:8">
      <c r="A7" s="3" t="s">
        <v>82</v>
      </c>
      <c r="B7" s="18" t="s">
        <v>235</v>
      </c>
      <c r="C7" s="37" t="str">
        <f>_xlfn.XLOOKUP(B7, 'Component Masterlist v2'!B:B, 'Component Masterlist v2'!O:O, "Not found")</f>
        <v>Storm</v>
      </c>
      <c r="D7" s="114" t="str">
        <f>_xlfn.XLOOKUP(B7, 'Component Masterlist v2'!B:B, 'Component Masterlist v2'!G:G, "Not found")</f>
        <v>Ved Singh</v>
      </c>
      <c r="E7" s="112" t="str">
        <f>_xlfn.XLOOKUP(B7, 'Component Masterlist v2'!B:B, 'Component Masterlist v2'!E:E, "Not found")</f>
        <v>Arun Gangadhar</v>
      </c>
      <c r="F7" s="165" t="str">
        <f>_xlfn.XLOOKUP(B7, 'Component Masterlist v2'!B:B, 'Component Masterlist v2'!P:P, "Not found")</f>
        <v>CRM</v>
      </c>
    </row>
    <row r="8" spans="1:8">
      <c r="A8" s="3" t="s">
        <v>82</v>
      </c>
      <c r="B8" s="18" t="s">
        <v>236</v>
      </c>
      <c r="C8" s="37" t="str">
        <f>_xlfn.XLOOKUP(B8, 'Component Masterlist v2'!B:B, 'Component Masterlist v2'!O:O, "Not found")</f>
        <v>Bishop</v>
      </c>
      <c r="D8" s="114" t="str">
        <f>_xlfn.XLOOKUP(B8, 'Component Masterlist v2'!B:B, 'Component Masterlist v2'!G:G, "Not found")</f>
        <v>Ved Singh</v>
      </c>
      <c r="E8" s="112" t="str">
        <f>_xlfn.XLOOKUP(B8, 'Component Masterlist v2'!B:B, 'Component Masterlist v2'!E:E, "Not found")</f>
        <v>Arun Gangadhar</v>
      </c>
      <c r="F8" s="165" t="str">
        <f>_xlfn.XLOOKUP(B8, 'Component Masterlist v2'!B:B, 'Component Masterlist v2'!P:P, "Not found")</f>
        <v>CRM</v>
      </c>
    </row>
    <row r="9" spans="1:8">
      <c r="A9" s="3" t="s">
        <v>82</v>
      </c>
      <c r="B9" s="18" t="s">
        <v>238</v>
      </c>
      <c r="C9" s="37" t="str">
        <f>_xlfn.XLOOKUP(B9, 'Component Masterlist v2'!B:B, 'Component Masterlist v2'!O:O, "Not found")</f>
        <v>Bishop</v>
      </c>
      <c r="D9" s="114" t="str">
        <f>_xlfn.XLOOKUP(B9, 'Component Masterlist v2'!B:B, 'Component Masterlist v2'!G:G, "Not found")</f>
        <v>Ved Singh</v>
      </c>
      <c r="E9" s="112" t="str">
        <f>_xlfn.XLOOKUP(B9, 'Component Masterlist v2'!B:B, 'Component Masterlist v2'!E:E, "Not found")</f>
        <v>Arun Gangadhar</v>
      </c>
      <c r="F9" s="165" t="str">
        <f>_xlfn.XLOOKUP(B9, 'Component Masterlist v2'!B:B, 'Component Masterlist v2'!P:P, "Not found")</f>
        <v>CRM</v>
      </c>
    </row>
    <row r="10" spans="1:8">
      <c r="A10" s="3" t="s">
        <v>82</v>
      </c>
      <c r="B10" s="22" t="s">
        <v>239</v>
      </c>
      <c r="C10" s="37" t="str">
        <f>_xlfn.XLOOKUP(B10, 'Component Masterlist v2'!B:B, 'Component Masterlist v2'!O:O, "Not found")</f>
        <v>Mystique</v>
      </c>
      <c r="D10" s="114" t="str">
        <f>_xlfn.XLOOKUP(B10, 'Component Masterlist v2'!B:B, 'Component Masterlist v2'!G:G, "Not found")</f>
        <v>Ved Singh</v>
      </c>
      <c r="E10" s="112" t="str">
        <f>_xlfn.XLOOKUP(B10, 'Component Masterlist v2'!B:B, 'Component Masterlist v2'!E:E, "Not found")</f>
        <v>Arun Gangadhar</v>
      </c>
      <c r="F10" s="165" t="str">
        <f>_xlfn.XLOOKUP(B10, 'Component Masterlist v2'!B:B, 'Component Masterlist v2'!P:P, "Not found")</f>
        <v>CRM</v>
      </c>
    </row>
    <row r="11" spans="1:8">
      <c r="A11" s="3" t="s">
        <v>82</v>
      </c>
      <c r="B11" s="22" t="s">
        <v>240</v>
      </c>
      <c r="C11" s="37" t="str">
        <f>_xlfn.XLOOKUP(B11, 'Component Masterlist v2'!B:B, 'Component Masterlist v2'!O:O, "Not found")</f>
        <v>Mystique</v>
      </c>
      <c r="D11" s="114" t="str">
        <f>_xlfn.XLOOKUP(B11, 'Component Masterlist v2'!B:B, 'Component Masterlist v2'!G:G, "Not found")</f>
        <v>Ved Singh</v>
      </c>
      <c r="E11" s="112" t="str">
        <f>_xlfn.XLOOKUP(B11, 'Component Masterlist v2'!B:B, 'Component Masterlist v2'!E:E, "Not found")</f>
        <v>Arun Gangadhar</v>
      </c>
      <c r="F11" s="165" t="str">
        <f>_xlfn.XLOOKUP(B11, 'Component Masterlist v2'!B:B, 'Component Masterlist v2'!P:P, "Not found")</f>
        <v>CRM</v>
      </c>
    </row>
    <row r="12" spans="1:8">
      <c r="A12" s="3" t="s">
        <v>82</v>
      </c>
      <c r="B12" s="18" t="s">
        <v>243</v>
      </c>
      <c r="C12" s="37" t="str">
        <f>_xlfn.XLOOKUP(B12, 'Component Masterlist v2'!B:B, 'Component Masterlist v2'!O:O, "Not found")</f>
        <v>Mystique</v>
      </c>
      <c r="D12" s="114" t="str">
        <f>_xlfn.XLOOKUP(B12, 'Component Masterlist v2'!B:B, 'Component Masterlist v2'!G:G, "Not found")</f>
        <v>Ved Singh</v>
      </c>
      <c r="E12" s="112" t="str">
        <f>_xlfn.XLOOKUP(B12, 'Component Masterlist v2'!B:B, 'Component Masterlist v2'!E:E, "Not found")</f>
        <v>Arun Gangadhar</v>
      </c>
      <c r="F12" s="165" t="str">
        <f>_xlfn.XLOOKUP(B12, 'Component Masterlist v2'!B:B, 'Component Masterlist v2'!P:P, "Not found")</f>
        <v>CRM</v>
      </c>
    </row>
    <row r="13" spans="1:8">
      <c r="A13" s="3" t="s">
        <v>82</v>
      </c>
      <c r="B13" s="18" t="s">
        <v>245</v>
      </c>
      <c r="C13" s="37" t="str">
        <f>_xlfn.XLOOKUP(B13, 'Component Masterlist v2'!B:B, 'Component Masterlist v2'!O:O, "Not found")</f>
        <v>Mystique</v>
      </c>
      <c r="D13" s="114" t="str">
        <f>_xlfn.XLOOKUP(B13, 'Component Masterlist v2'!B:B, 'Component Masterlist v2'!G:G, "Not found")</f>
        <v>Ved Singh</v>
      </c>
      <c r="E13" s="112" t="str">
        <f>_xlfn.XLOOKUP(B13, 'Component Masterlist v2'!B:B, 'Component Masterlist v2'!E:E, "Not found")</f>
        <v>Arun Gangadhar</v>
      </c>
      <c r="F13" s="165" t="str">
        <f>_xlfn.XLOOKUP(B13, 'Component Masterlist v2'!B:B, 'Component Masterlist v2'!P:P, "Not found")</f>
        <v>CRM</v>
      </c>
    </row>
    <row r="14" spans="1:8">
      <c r="A14" s="3" t="s">
        <v>82</v>
      </c>
      <c r="B14" s="22" t="s">
        <v>246</v>
      </c>
      <c r="C14" s="37" t="str">
        <f>_xlfn.XLOOKUP(B14, 'Component Masterlist v2'!B:B, 'Component Masterlist v2'!O:O, "Not found")</f>
        <v>Storm</v>
      </c>
      <c r="D14" s="114" t="str">
        <f>_xlfn.XLOOKUP(B14, 'Component Masterlist v2'!B:B, 'Component Masterlist v2'!G:G, "Not found")</f>
        <v>Ved Singh</v>
      </c>
      <c r="E14" s="112" t="str">
        <f>_xlfn.XLOOKUP(B14, 'Component Masterlist v2'!B:B, 'Component Masterlist v2'!E:E, "Not found")</f>
        <v>Arun Gangadhar</v>
      </c>
      <c r="F14" s="165" t="str">
        <f>_xlfn.XLOOKUP(B14, 'Component Masterlist v2'!B:B, 'Component Masterlist v2'!P:P, "Not found")</f>
        <v>CRM</v>
      </c>
    </row>
    <row r="15" spans="1:8">
      <c r="A15" s="3" t="s">
        <v>81</v>
      </c>
      <c r="B15" s="18" t="s">
        <v>255</v>
      </c>
      <c r="C15" s="37" t="str">
        <f>_xlfn.XLOOKUP(B15, 'Component Masterlist v2'!B:B, 'Component Masterlist v2'!O:O, "Not found")</f>
        <v>Bishop</v>
      </c>
      <c r="D15" s="114" t="str">
        <f>_xlfn.XLOOKUP(B15, 'Component Masterlist v2'!B:B, 'Component Masterlist v2'!G:G, "Not found")</f>
        <v>Ved Singh</v>
      </c>
      <c r="E15" s="112" t="str">
        <f>_xlfn.XLOOKUP(B15, 'Component Masterlist v2'!B:B, 'Component Masterlist v2'!E:E, "Not found")</f>
        <v>Arun Gangadhar</v>
      </c>
      <c r="F15" s="165" t="str">
        <f>_xlfn.XLOOKUP(B15, 'Component Masterlist v2'!B:B, 'Component Masterlist v2'!P:P, "Not found")</f>
        <v>CRM</v>
      </c>
    </row>
    <row r="16" spans="1:8">
      <c r="A16" s="3" t="s">
        <v>91</v>
      </c>
      <c r="B16" s="22" t="s">
        <v>257</v>
      </c>
      <c r="C16" s="37" t="str">
        <f>_xlfn.XLOOKUP(B16, 'Component Masterlist v2'!B:B, 'Component Masterlist v2'!O:O, "Not found")</f>
        <v>Not found</v>
      </c>
      <c r="D16" s="114" t="str">
        <f>_xlfn.XLOOKUP(B16, 'Component Masterlist v2'!B:B, 'Component Masterlist v2'!G:G, "Not found")</f>
        <v>Ved Singh</v>
      </c>
      <c r="E16" s="112" t="str">
        <f>_xlfn.XLOOKUP(B16, 'Component Masterlist v2'!B:B, 'Component Masterlist v2'!E:E, "Not found")</f>
        <v>Ketan Dikshit</v>
      </c>
      <c r="F16" s="165" t="str">
        <f>_xlfn.XLOOKUP(B16, 'Component Masterlist v2'!B:B, 'Component Masterlist v2'!P:P, "Not found")</f>
        <v>COMM</v>
      </c>
    </row>
    <row r="17" spans="1:6">
      <c r="A17" s="3" t="s">
        <v>91</v>
      </c>
      <c r="B17" s="22" t="s">
        <v>262</v>
      </c>
      <c r="C17" s="37" t="str">
        <f>_xlfn.XLOOKUP(B17, 'Component Masterlist v2'!B:B, 'Component Masterlist v2'!O:O, "Not found")</f>
        <v>Not found</v>
      </c>
      <c r="D17" s="114" t="str">
        <f>_xlfn.XLOOKUP(B17, 'Component Masterlist v2'!B:B, 'Component Masterlist v2'!G:G, "Not found")</f>
        <v>Ved Singh</v>
      </c>
      <c r="E17" s="112" t="str">
        <f>_xlfn.XLOOKUP(B17, 'Component Masterlist v2'!B:B, 'Component Masterlist v2'!E:E, "Not found")</f>
        <v>Ketan Dikshit</v>
      </c>
      <c r="F17" s="165" t="str">
        <f>_xlfn.XLOOKUP(B17, 'Component Masterlist v2'!B:B, 'Component Masterlist v2'!P:P, "Not found")</f>
        <v>COMM</v>
      </c>
    </row>
    <row r="18" spans="1:6">
      <c r="A18" s="3" t="s">
        <v>91</v>
      </c>
      <c r="B18" s="22" t="s">
        <v>263</v>
      </c>
      <c r="C18" s="37" t="str">
        <f>_xlfn.XLOOKUP(B18, 'Component Masterlist v2'!B:B, 'Component Masterlist v2'!O:O, "Not found")</f>
        <v>Not found</v>
      </c>
      <c r="D18" s="114" t="str">
        <f>_xlfn.XLOOKUP(B18, 'Component Masterlist v2'!B:B, 'Component Masterlist v2'!G:G, "Not found")</f>
        <v>Ved Singh</v>
      </c>
      <c r="E18" s="112" t="str">
        <f>_xlfn.XLOOKUP(B18, 'Component Masterlist v2'!B:B, 'Component Masterlist v2'!E:E, "Not found")</f>
        <v>Ketan Dikshit</v>
      </c>
      <c r="F18" s="165" t="str">
        <f>_xlfn.XLOOKUP(B18, 'Component Masterlist v2'!B:B, 'Component Masterlist v2'!P:P, "Not found")</f>
        <v>COMM</v>
      </c>
    </row>
    <row r="19" spans="1:6">
      <c r="A19" s="3" t="s">
        <v>91</v>
      </c>
      <c r="B19" s="18" t="s">
        <v>265</v>
      </c>
      <c r="C19" s="37" t="str">
        <f>_xlfn.XLOOKUP(B19, 'Component Masterlist v2'!B:B, 'Component Masterlist v2'!O:O, "Not found")</f>
        <v>Not found</v>
      </c>
      <c r="D19" s="114" t="str">
        <f>_xlfn.XLOOKUP(B19, 'Component Masterlist v2'!B:B, 'Component Masterlist v2'!G:G, "Not found")</f>
        <v>Ved Singh</v>
      </c>
      <c r="E19" s="112" t="str">
        <f>_xlfn.XLOOKUP(B19, 'Component Masterlist v2'!B:B, 'Component Masterlist v2'!E:E, "Not found")</f>
        <v>Ketan Dikshit</v>
      </c>
      <c r="F19" s="165" t="str">
        <f>_xlfn.XLOOKUP(B19, 'Component Masterlist v2'!B:B, 'Component Masterlist v2'!P:P, "Not found")</f>
        <v>COMM</v>
      </c>
    </row>
    <row r="20" spans="1:6">
      <c r="A20" s="3" t="s">
        <v>91</v>
      </c>
      <c r="B20" s="18" t="s">
        <v>266</v>
      </c>
      <c r="C20" s="37" t="str">
        <f>_xlfn.XLOOKUP(B20, 'Component Masterlist v2'!B:B, 'Component Masterlist v2'!O:O, "Not found")</f>
        <v>Not found</v>
      </c>
      <c r="D20" s="114" t="str">
        <f>_xlfn.XLOOKUP(B20, 'Component Masterlist v2'!B:B, 'Component Masterlist v2'!G:G, "Not found")</f>
        <v>Ved Singh</v>
      </c>
      <c r="E20" s="112" t="str">
        <f>_xlfn.XLOOKUP(B20, 'Component Masterlist v2'!B:B, 'Component Masterlist v2'!E:E, "Not found")</f>
        <v>Ketan Dikshit</v>
      </c>
      <c r="F20" s="165" t="str">
        <f>_xlfn.XLOOKUP(B20, 'Component Masterlist v2'!B:B, 'Component Masterlist v2'!P:P, "Not found")</f>
        <v>COMM</v>
      </c>
    </row>
    <row r="21" spans="1:6">
      <c r="A21" s="3" t="s">
        <v>13</v>
      </c>
      <c r="B21" s="18" t="s">
        <v>268</v>
      </c>
      <c r="C21" s="37" t="str">
        <f>_xlfn.XLOOKUP(B21, 'Component Masterlist v2'!B:B, 'Component Masterlist v2'!O:O, "Not found")</f>
        <v>Compliance</v>
      </c>
      <c r="D21" s="114" t="str">
        <f>_xlfn.XLOOKUP(B21, 'Component Masterlist v2'!B:B, 'Component Masterlist v2'!G:G, "Not found")</f>
        <v>Keith Wiseman</v>
      </c>
      <c r="E21" s="112" t="str">
        <f>_xlfn.XLOOKUP(B21, 'Component Masterlist v2'!B:B, 'Component Masterlist v2'!E:E, "Not found")</f>
        <v>Vaibhav Saini</v>
      </c>
      <c r="F21" s="165" t="str">
        <f>_xlfn.XLOOKUP(B21, 'Component Masterlist v2'!B:B, 'Component Masterlist v2'!P:P, "Not found")</f>
        <v>APLT</v>
      </c>
    </row>
    <row r="22" spans="1:6">
      <c r="A22" s="3" t="s">
        <v>13</v>
      </c>
      <c r="B22" s="22" t="s">
        <v>277</v>
      </c>
      <c r="C22" s="37" t="str">
        <f>_xlfn.XLOOKUP(B22, 'Component Masterlist v2'!B:B, 'Component Masterlist v2'!O:O, "Not found")</f>
        <v>Not found</v>
      </c>
      <c r="D22" s="114" t="str">
        <f>_xlfn.XLOOKUP(B22, 'Component Masterlist v2'!B:B, 'Component Masterlist v2'!G:G, "Not found")</f>
        <v>Keith Wiseman</v>
      </c>
      <c r="E22" s="112" t="str">
        <f>_xlfn.XLOOKUP(B22, 'Component Masterlist v2'!B:B, 'Component Masterlist v2'!E:E, "Not found")</f>
        <v>Vaibhav Saini</v>
      </c>
      <c r="F22" s="165" t="str">
        <f>_xlfn.XLOOKUP(B22, 'Component Masterlist v2'!B:B, 'Component Masterlist v2'!P:P, "Not found")</f>
        <v>APLT</v>
      </c>
    </row>
    <row r="23" spans="1:6">
      <c r="A23" s="3" t="s">
        <v>13</v>
      </c>
      <c r="B23" s="18" t="s">
        <v>280</v>
      </c>
      <c r="C23" s="37" t="str">
        <f>_xlfn.XLOOKUP(B23, 'Component Masterlist v2'!B:B, 'Component Masterlist v2'!O:O, "Not found")</f>
        <v>Enterprise</v>
      </c>
      <c r="D23" s="114" t="str">
        <f>_xlfn.XLOOKUP(B23, 'Component Masterlist v2'!B:B, 'Component Masterlist v2'!G:G, "Not found")</f>
        <v>Keith Wiseman</v>
      </c>
      <c r="E23" s="112" t="str">
        <f>_xlfn.XLOOKUP(B23, 'Component Masterlist v2'!B:B, 'Component Masterlist v2'!E:E, "Not found")</f>
        <v>Vaibhav Saini</v>
      </c>
      <c r="F23" s="165" t="str">
        <f>_xlfn.XLOOKUP(B23, 'Component Masterlist v2'!B:B, 'Component Masterlist v2'!P:P, "Not found")</f>
        <v>APLT</v>
      </c>
    </row>
    <row r="24" spans="1:6">
      <c r="A24" s="3" t="s">
        <v>13</v>
      </c>
      <c r="B24" s="18" t="s">
        <v>284</v>
      </c>
      <c r="C24" s="37" t="str">
        <f>_xlfn.XLOOKUP(B24, 'Component Masterlist v2'!B:B, 'Component Masterlist v2'!O:O, "Not found")</f>
        <v>Configuration Studio</v>
      </c>
      <c r="D24" s="114" t="str">
        <f>_xlfn.XLOOKUP(B24, 'Component Masterlist v2'!B:B, 'Component Masterlist v2'!G:G, "Not found")</f>
        <v>Keith Wiseman</v>
      </c>
      <c r="E24" s="112" t="str">
        <f>_xlfn.XLOOKUP(B24, 'Component Masterlist v2'!B:B, 'Component Masterlist v2'!E:E, "Not found")</f>
        <v>Vaibhav Saini</v>
      </c>
      <c r="F24" s="165" t="str">
        <f>_xlfn.XLOOKUP(B24, 'Component Masterlist v2'!B:B, 'Component Masterlist v2'!P:P, "Not found")</f>
        <v>APLT</v>
      </c>
    </row>
    <row r="25" spans="1:6">
      <c r="A25" s="3" t="s">
        <v>13</v>
      </c>
      <c r="B25" s="18" t="s">
        <v>287</v>
      </c>
      <c r="C25" s="37" t="str">
        <f>_xlfn.XLOOKUP(B25, 'Component Masterlist v2'!B:B, 'Component Masterlist v2'!O:O, "Not found")</f>
        <v>Workflow Engine</v>
      </c>
      <c r="D25" s="114" t="str">
        <f>_xlfn.XLOOKUP(B25, 'Component Masterlist v2'!B:B, 'Component Masterlist v2'!G:G, "Not found")</f>
        <v>Keith Wiseman</v>
      </c>
      <c r="E25" s="112" t="str">
        <f>_xlfn.XLOOKUP(B25, 'Component Masterlist v2'!B:B, 'Component Masterlist v2'!E:E, "Not found")</f>
        <v>Vaibhav Saini</v>
      </c>
      <c r="F25" s="165" t="str">
        <f>_xlfn.XLOOKUP(B25, 'Component Masterlist v2'!B:B, 'Component Masterlist v2'!P:P, "Not found")</f>
        <v>APLT</v>
      </c>
    </row>
    <row r="26" spans="1:6">
      <c r="A26" s="3" t="s">
        <v>13</v>
      </c>
      <c r="B26" s="18" t="s">
        <v>290</v>
      </c>
      <c r="C26" s="37" t="str">
        <f>_xlfn.XLOOKUP(B26, 'Component Masterlist v2'!B:B, 'Component Masterlist v2'!O:O, "Not found")</f>
        <v>Identity Management</v>
      </c>
      <c r="D26" s="114" t="str">
        <f>_xlfn.XLOOKUP(B26, 'Component Masterlist v2'!B:B, 'Component Masterlist v2'!G:G, "Not found")</f>
        <v>Keith Wiseman</v>
      </c>
      <c r="E26" s="112" t="str">
        <f>_xlfn.XLOOKUP(B26, 'Component Masterlist v2'!B:B, 'Component Masterlist v2'!E:E, "Not found")</f>
        <v>Vaibhav Saini</v>
      </c>
      <c r="F26" s="165" t="str">
        <f>_xlfn.XLOOKUP(B26, 'Component Masterlist v2'!B:B, 'Component Masterlist v2'!P:P, "Not found")</f>
        <v>APLT</v>
      </c>
    </row>
    <row r="27" spans="1:6">
      <c r="A27" s="3" t="s">
        <v>13</v>
      </c>
      <c r="B27" s="18" t="s">
        <v>293</v>
      </c>
      <c r="C27" s="37" t="str">
        <f>_xlfn.XLOOKUP(B27, 'Component Masterlist v2'!B:B, 'Component Masterlist v2'!O:O, "Not found")</f>
        <v>Audit &amp; Approval</v>
      </c>
      <c r="D27" s="114" t="str">
        <f>_xlfn.XLOOKUP(B27, 'Component Masterlist v2'!B:B, 'Component Masterlist v2'!G:G, "Not found")</f>
        <v>Keith Wiseman</v>
      </c>
      <c r="E27" s="112" t="str">
        <f>_xlfn.XLOOKUP(B27, 'Component Masterlist v2'!B:B, 'Component Masterlist v2'!E:E, "Not found")</f>
        <v>Vaibhav Saini</v>
      </c>
      <c r="F27" s="165" t="str">
        <f>_xlfn.XLOOKUP(B27, 'Component Masterlist v2'!B:B, 'Component Masterlist v2'!P:P, "Not found")</f>
        <v>APLT</v>
      </c>
    </row>
    <row r="28" spans="1:6">
      <c r="A28" s="3" t="s">
        <v>13</v>
      </c>
      <c r="B28" s="18" t="s">
        <v>3257</v>
      </c>
      <c r="C28" s="37" t="str">
        <f>_xlfn.XLOOKUP(B28, 'Component Masterlist v2'!B:B, 'Component Masterlist v2'!O:O, "Not found")</f>
        <v>Not found</v>
      </c>
      <c r="D28" s="114" t="str">
        <f>_xlfn.XLOOKUP(B28, 'Component Masterlist v2'!B:B, 'Component Masterlist v2'!G:G, "Not found")</f>
        <v>Not found</v>
      </c>
      <c r="E28" s="112" t="str">
        <f>_xlfn.XLOOKUP(B28, 'Component Masterlist v2'!B:B, 'Component Masterlist v2'!E:E, "Not found")</f>
        <v>Not found</v>
      </c>
      <c r="F28" s="165" t="str">
        <f>_xlfn.XLOOKUP(B28, 'Component Masterlist v2'!B:B, 'Component Masterlist v2'!P:P, "Not found")</f>
        <v>Not found</v>
      </c>
    </row>
    <row r="29" spans="1:6">
      <c r="A29" s="3" t="s">
        <v>13</v>
      </c>
      <c r="B29" s="22" t="s">
        <v>3258</v>
      </c>
      <c r="C29" s="37" t="str">
        <f>_xlfn.XLOOKUP(B29, 'Component Masterlist v2'!B:B, 'Component Masterlist v2'!O:O, "Not found")</f>
        <v>Not found</v>
      </c>
      <c r="D29" s="114" t="str">
        <f>_xlfn.XLOOKUP(B29, 'Component Masterlist v2'!B:B, 'Component Masterlist v2'!G:G, "Not found")</f>
        <v>Not found</v>
      </c>
      <c r="E29" s="112" t="str">
        <f>_xlfn.XLOOKUP(B29, 'Component Masterlist v2'!B:B, 'Component Masterlist v2'!E:E, "Not found")</f>
        <v>Not found</v>
      </c>
      <c r="F29" s="165" t="str">
        <f>_xlfn.XLOOKUP(B29, 'Component Masterlist v2'!B:B, 'Component Masterlist v2'!P:P, "Not found")</f>
        <v>Not found</v>
      </c>
    </row>
    <row r="30" spans="1:6">
      <c r="A30" s="3" t="s">
        <v>13</v>
      </c>
      <c r="B30" s="22" t="s">
        <v>3259</v>
      </c>
      <c r="C30" s="37" t="str">
        <f>_xlfn.XLOOKUP(B30, 'Component Masterlist v2'!B:B, 'Component Masterlist v2'!O:O, "Not found")</f>
        <v>Not found</v>
      </c>
      <c r="D30" s="114" t="str">
        <f>_xlfn.XLOOKUP(B30, 'Component Masterlist v2'!B:B, 'Component Masterlist v2'!G:G, "Not found")</f>
        <v>Not found</v>
      </c>
      <c r="E30" s="112" t="str">
        <f>_xlfn.XLOOKUP(B30, 'Component Masterlist v2'!B:B, 'Component Masterlist v2'!E:E, "Not found")</f>
        <v>Not found</v>
      </c>
      <c r="F30" s="165" t="str">
        <f>_xlfn.XLOOKUP(B30, 'Component Masterlist v2'!B:B, 'Component Masterlist v2'!P:P, "Not found")</f>
        <v>Not found</v>
      </c>
    </row>
    <row r="31" spans="1:6">
      <c r="A31" s="3" t="s">
        <v>16</v>
      </c>
      <c r="B31" s="22" t="s">
        <v>294</v>
      </c>
      <c r="C31" s="37" t="str">
        <f>_xlfn.XLOOKUP(B31, 'Component Masterlist v2'!B:B, 'Component Masterlist v2'!O:O, "Not found")</f>
        <v>Zebra</v>
      </c>
      <c r="D31" s="114" t="str">
        <f>_xlfn.XLOOKUP(B31, 'Component Masterlist v2'!B:B, 'Component Masterlist v2'!G:G, "Not found")</f>
        <v>Keith Wiseman</v>
      </c>
      <c r="E31" s="112" t="str">
        <f>_xlfn.XLOOKUP(B31, 'Component Masterlist v2'!B:B, 'Component Masterlist v2'!E:E, "Not found")</f>
        <v>Bobby Alexander</v>
      </c>
      <c r="F31" s="165" t="str">
        <f>_xlfn.XLOOKUP(B31, 'Component Masterlist v2'!B:B, 'Component Masterlist v2'!P:P, "Not found")</f>
        <v>ZEB</v>
      </c>
    </row>
    <row r="32" spans="1:6">
      <c r="A32" s="3" t="s">
        <v>16</v>
      </c>
      <c r="B32" s="22" t="s">
        <v>298</v>
      </c>
      <c r="C32" s="37" t="str">
        <f>_xlfn.XLOOKUP(B32, 'Component Masterlist v2'!B:B, 'Component Masterlist v2'!O:O, "Not found")</f>
        <v>Zebra</v>
      </c>
      <c r="D32" s="114" t="str">
        <f>_xlfn.XLOOKUP(B32, 'Component Masterlist v2'!B:B, 'Component Masterlist v2'!G:G, "Not found")</f>
        <v>Keith Wiseman</v>
      </c>
      <c r="E32" s="112" t="str">
        <f>_xlfn.XLOOKUP(B32, 'Component Masterlist v2'!B:B, 'Component Masterlist v2'!E:E, "Not found")</f>
        <v>Bobby Alexander</v>
      </c>
      <c r="F32" s="165" t="str">
        <f>_xlfn.XLOOKUP(B32, 'Component Masterlist v2'!B:B, 'Component Masterlist v2'!P:P, "Not found")</f>
        <v>ZEB</v>
      </c>
    </row>
    <row r="33" spans="1:6">
      <c r="A33" s="3" t="s">
        <v>16</v>
      </c>
      <c r="B33" s="22" t="s">
        <v>299</v>
      </c>
      <c r="C33" s="37" t="str">
        <f>_xlfn.XLOOKUP(B33, 'Component Masterlist v2'!B:B, 'Component Masterlist v2'!O:O, "Not found")</f>
        <v>Not found</v>
      </c>
      <c r="D33" s="114" t="str">
        <f>_xlfn.XLOOKUP(B33, 'Component Masterlist v2'!B:B, 'Component Masterlist v2'!G:G, "Not found")</f>
        <v>Keith Wiseman</v>
      </c>
      <c r="E33" s="112" t="str">
        <f>_xlfn.XLOOKUP(B33, 'Component Masterlist v2'!B:B, 'Component Masterlist v2'!E:E, "Not found")</f>
        <v>Bobby Alexander</v>
      </c>
      <c r="F33" s="165" t="str">
        <f>_xlfn.XLOOKUP(B33, 'Component Masterlist v2'!B:B, 'Component Masterlist v2'!P:P, "Not found")</f>
        <v>ZEB</v>
      </c>
    </row>
    <row r="34" spans="1:6">
      <c r="A34" s="3" t="s">
        <v>61</v>
      </c>
      <c r="B34" s="22" t="s">
        <v>301</v>
      </c>
      <c r="C34" s="37" t="str">
        <f>_xlfn.XLOOKUP(B34, 'Component Masterlist v2'!B:B, 'Component Masterlist v2'!O:O, "Not found")</f>
        <v>Credit &amp; FNI Integrations</v>
      </c>
      <c r="D34" s="114" t="str">
        <f>_xlfn.XLOOKUP(B34, 'Component Masterlist v2'!B:B, 'Component Masterlist v2'!G:G, "Not found")</f>
        <v>Turker Coskun</v>
      </c>
      <c r="E34" s="112" t="str">
        <f>_xlfn.XLOOKUP(B34, 'Component Masterlist v2'!B:B, 'Component Masterlist v2'!E:E, "Not found")</f>
        <v>Prakash Mohan</v>
      </c>
      <c r="F34" s="165" t="str">
        <f>_xlfn.XLOOKUP(B34, 'Component Masterlist v2'!B:B, 'Component Masterlist v2'!P:P, "Not found")</f>
        <v>INTG</v>
      </c>
    </row>
    <row r="35" spans="1:6">
      <c r="A35" s="3" t="s">
        <v>61</v>
      </c>
      <c r="B35" s="22" t="s">
        <v>308</v>
      </c>
      <c r="C35" s="37" t="str">
        <f>_xlfn.XLOOKUP(B35, 'Component Masterlist v2'!B:B, 'Component Masterlist v2'!O:O, "Not found")</f>
        <v>Credit &amp; FNI Integrations</v>
      </c>
      <c r="D35" s="114" t="str">
        <f>_xlfn.XLOOKUP(B35, 'Component Masterlist v2'!B:B, 'Component Masterlist v2'!G:G, "Not found")</f>
        <v>Turker Coskun</v>
      </c>
      <c r="E35" s="112" t="str">
        <f>_xlfn.XLOOKUP(B35, 'Component Masterlist v2'!B:B, 'Component Masterlist v2'!E:E, "Not found")</f>
        <v>Prakash Mohan</v>
      </c>
      <c r="F35" s="165" t="str">
        <f>_xlfn.XLOOKUP(B35, 'Component Masterlist v2'!B:B, 'Component Masterlist v2'!P:P, "Not found")</f>
        <v>INTG</v>
      </c>
    </row>
    <row r="36" spans="1:6">
      <c r="A36" s="3" t="s">
        <v>61</v>
      </c>
      <c r="B36" s="22" t="s">
        <v>310</v>
      </c>
      <c r="C36" s="37" t="str">
        <f>_xlfn.XLOOKUP(B36, 'Component Masterlist v2'!B:B, 'Component Masterlist v2'!O:O, "Not found")</f>
        <v>Credit &amp; FNI Integrations</v>
      </c>
      <c r="D36" s="114" t="str">
        <f>_xlfn.XLOOKUP(B36, 'Component Masterlist v2'!B:B, 'Component Masterlist v2'!G:G, "Not found")</f>
        <v>Turker Coskun</v>
      </c>
      <c r="E36" s="112" t="str">
        <f>_xlfn.XLOOKUP(B36, 'Component Masterlist v2'!B:B, 'Component Masterlist v2'!E:E, "Not found")</f>
        <v>Prakash Mohan</v>
      </c>
      <c r="F36" s="165" t="str">
        <f>_xlfn.XLOOKUP(B36, 'Component Masterlist v2'!B:B, 'Component Masterlist v2'!P:P, "Not found")</f>
        <v>INTG</v>
      </c>
    </row>
    <row r="37" spans="1:6">
      <c r="A37" s="3" t="s">
        <v>61</v>
      </c>
      <c r="B37" s="22" t="s">
        <v>314</v>
      </c>
      <c r="C37" s="37" t="str">
        <f>_xlfn.XLOOKUP(B37, 'Component Masterlist v2'!B:B, 'Component Masterlist v2'!O:O, "Not found")</f>
        <v>Retail Integration 2</v>
      </c>
      <c r="D37" s="114" t="str">
        <f>_xlfn.XLOOKUP(B37, 'Component Masterlist v2'!B:B, 'Component Masterlist v2'!G:G, "Not found")</f>
        <v>Turker Coskun</v>
      </c>
      <c r="E37" s="112" t="str">
        <f>_xlfn.XLOOKUP(B37, 'Component Masterlist v2'!B:B, 'Component Masterlist v2'!E:E, "Not found")</f>
        <v>Prakash Mohan</v>
      </c>
      <c r="F37" s="165" t="str">
        <f>_xlfn.XLOOKUP(B37, 'Component Masterlist v2'!B:B, 'Component Masterlist v2'!P:P, "Not found")</f>
        <v>INTG</v>
      </c>
    </row>
    <row r="38" spans="1:6">
      <c r="A38" s="3" t="s">
        <v>61</v>
      </c>
      <c r="B38" s="22" t="s">
        <v>316</v>
      </c>
      <c r="C38" s="37" t="str">
        <f>_xlfn.XLOOKUP(B38, 'Component Masterlist v2'!B:B, 'Component Masterlist v2'!O:O, "Not found")</f>
        <v>Retail Integration 2</v>
      </c>
      <c r="D38" s="114" t="str">
        <f>_xlfn.XLOOKUP(B38, 'Component Masterlist v2'!B:B, 'Component Masterlist v2'!G:G, "Not found")</f>
        <v>Turker Coskun</v>
      </c>
      <c r="E38" s="112" t="str">
        <f>_xlfn.XLOOKUP(B38, 'Component Masterlist v2'!B:B, 'Component Masterlist v2'!E:E, "Not found")</f>
        <v>Prakash Mohan</v>
      </c>
      <c r="F38" s="165" t="str">
        <f>_xlfn.XLOOKUP(B38, 'Component Masterlist v2'!B:B, 'Component Masterlist v2'!P:P, "Not found")</f>
        <v>INTG</v>
      </c>
    </row>
    <row r="39" spans="1:6">
      <c r="A39" s="3" t="s">
        <v>61</v>
      </c>
      <c r="B39" s="22" t="s">
        <v>319</v>
      </c>
      <c r="C39" s="37" t="str">
        <f>_xlfn.XLOOKUP(B39, 'Component Masterlist v2'!B:B, 'Component Masterlist v2'!O:O, "Not found")</f>
        <v>Credit &amp; FNI Integrations</v>
      </c>
      <c r="D39" s="114" t="str">
        <f>_xlfn.XLOOKUP(B39, 'Component Masterlist v2'!B:B, 'Component Masterlist v2'!G:G, "Not found")</f>
        <v>Turker Coskun</v>
      </c>
      <c r="E39" s="112" t="str">
        <f>_xlfn.XLOOKUP(B39, 'Component Masterlist v2'!B:B, 'Component Masterlist v2'!E:E, "Not found")</f>
        <v>Prakash Mohan</v>
      </c>
      <c r="F39" s="165" t="str">
        <f>_xlfn.XLOOKUP(B39, 'Component Masterlist v2'!B:B, 'Component Masterlist v2'!P:P, "Not found")</f>
        <v>INTG</v>
      </c>
    </row>
    <row r="40" spans="1:6">
      <c r="A40" s="3" t="s">
        <v>61</v>
      </c>
      <c r="B40" s="22" t="s">
        <v>321</v>
      </c>
      <c r="C40" s="37" t="str">
        <f>_xlfn.XLOOKUP(B40, 'Component Masterlist v2'!B:B, 'Component Masterlist v2'!O:O, "Not found")</f>
        <v>FixedOps Integration 3</v>
      </c>
      <c r="D40" s="114" t="str">
        <f>_xlfn.XLOOKUP(B40, 'Component Masterlist v2'!B:B, 'Component Masterlist v2'!G:G, "Not found")</f>
        <v>Turker Coskun</v>
      </c>
      <c r="E40" s="112" t="str">
        <f>_xlfn.XLOOKUP(B40, 'Component Masterlist v2'!B:B, 'Component Masterlist v2'!E:E, "Not found")</f>
        <v>Prakash Mohan</v>
      </c>
      <c r="F40" s="165" t="str">
        <f>_xlfn.XLOOKUP(B40, 'Component Masterlist v2'!B:B, 'Component Masterlist v2'!P:P, "Not found")</f>
        <v>INTG</v>
      </c>
    </row>
    <row r="41" spans="1:6">
      <c r="A41" s="3" t="s">
        <v>61</v>
      </c>
      <c r="B41" s="22" t="s">
        <v>325</v>
      </c>
      <c r="C41" s="37" t="str">
        <f>_xlfn.XLOOKUP(B41, 'Component Masterlist v2'!B:B, 'Component Masterlist v2'!O:O, "Not found")</f>
        <v>Platform Integrations</v>
      </c>
      <c r="D41" s="114" t="str">
        <f>_xlfn.XLOOKUP(B41, 'Component Masterlist v2'!B:B, 'Component Masterlist v2'!G:G, "Not found")</f>
        <v>Turker Coskun</v>
      </c>
      <c r="E41" s="112" t="str">
        <f>_xlfn.XLOOKUP(B41, 'Component Masterlist v2'!B:B, 'Component Masterlist v2'!E:E, "Not found")</f>
        <v>Prakash Mohan</v>
      </c>
      <c r="F41" s="165" t="str">
        <f>_xlfn.XLOOKUP(B41, 'Component Masterlist v2'!B:B, 'Component Masterlist v2'!P:P, "Not found")</f>
        <v>INTG</v>
      </c>
    </row>
    <row r="42" spans="1:6">
      <c r="A42" s="3" t="s">
        <v>61</v>
      </c>
      <c r="B42" s="22" t="s">
        <v>328</v>
      </c>
      <c r="C42" s="37" t="str">
        <f>_xlfn.XLOOKUP(B42, 'Component Masterlist v2'!B:B, 'Component Masterlist v2'!O:O, "Not found")</f>
        <v>Retail Integration 1</v>
      </c>
      <c r="D42" s="114" t="str">
        <f>_xlfn.XLOOKUP(B42, 'Component Masterlist v2'!B:B, 'Component Masterlist v2'!G:G, "Not found")</f>
        <v>Turker Coskun</v>
      </c>
      <c r="E42" s="112" t="str">
        <f>_xlfn.XLOOKUP(B42, 'Component Masterlist v2'!B:B, 'Component Masterlist v2'!E:E, "Not found")</f>
        <v>Prakash Mohan</v>
      </c>
      <c r="F42" s="165" t="str">
        <f>_xlfn.XLOOKUP(B42, 'Component Masterlist v2'!B:B, 'Component Masterlist v2'!P:P, "Not found")</f>
        <v>INTG</v>
      </c>
    </row>
    <row r="43" spans="1:6">
      <c r="A43" s="3" t="s">
        <v>61</v>
      </c>
      <c r="B43" s="22" t="s">
        <v>330</v>
      </c>
      <c r="C43" s="37" t="str">
        <f>_xlfn.XLOOKUP(B43, 'Component Masterlist v2'!B:B, 'Component Masterlist v2'!O:O, "Not found")</f>
        <v>FixedOps Integration 1</v>
      </c>
      <c r="D43" s="114" t="str">
        <f>_xlfn.XLOOKUP(B43, 'Component Masterlist v2'!B:B, 'Component Masterlist v2'!G:G, "Not found")</f>
        <v>Turker Coskun</v>
      </c>
      <c r="E43" s="112" t="str">
        <f>_xlfn.XLOOKUP(B43, 'Component Masterlist v2'!B:B, 'Component Masterlist v2'!E:E, "Not found")</f>
        <v>Prakash Mohan</v>
      </c>
      <c r="F43" s="165" t="str">
        <f>_xlfn.XLOOKUP(B43, 'Component Masterlist v2'!B:B, 'Component Masterlist v2'!P:P, "Not found")</f>
        <v>INTG</v>
      </c>
    </row>
    <row r="44" spans="1:6">
      <c r="A44" s="3" t="s">
        <v>61</v>
      </c>
      <c r="B44" s="22" t="s">
        <v>331</v>
      </c>
      <c r="C44" s="37" t="str">
        <f>_xlfn.XLOOKUP(B44, 'Component Masterlist v2'!B:B, 'Component Masterlist v2'!O:O, "Not found")</f>
        <v>Not found</v>
      </c>
      <c r="D44" s="114" t="str">
        <f>_xlfn.XLOOKUP(B44, 'Component Masterlist v2'!B:B, 'Component Masterlist v2'!G:G, "Not found")</f>
        <v>Turker Coskun</v>
      </c>
      <c r="E44" s="112" t="str">
        <f>_xlfn.XLOOKUP(B44, 'Component Masterlist v2'!B:B, 'Component Masterlist v2'!E:E, "Not found")</f>
        <v>Prakash Mohan</v>
      </c>
      <c r="F44" s="165" t="str">
        <f>_xlfn.XLOOKUP(B44, 'Component Masterlist v2'!B:B, 'Component Masterlist v2'!P:P, "Not found")</f>
        <v>INTG</v>
      </c>
    </row>
    <row r="45" spans="1:6">
      <c r="A45" s="3" t="s">
        <v>61</v>
      </c>
      <c r="B45" s="18" t="s">
        <v>332</v>
      </c>
      <c r="C45" s="37" t="str">
        <f>_xlfn.XLOOKUP(B45, 'Component Masterlist v2'!B:B, 'Component Masterlist v2'!O:O, "Not found")</f>
        <v>Credit &amp; FNI Integrations</v>
      </c>
      <c r="D45" s="114" t="str">
        <f>_xlfn.XLOOKUP(B45, 'Component Masterlist v2'!B:B, 'Component Masterlist v2'!G:G, "Not found")</f>
        <v>Turker Coskun</v>
      </c>
      <c r="E45" s="112" t="str">
        <f>_xlfn.XLOOKUP(B45, 'Component Masterlist v2'!B:B, 'Component Masterlist v2'!E:E, "Not found")</f>
        <v>Prakash Mohan</v>
      </c>
      <c r="F45" s="165" t="str">
        <f>_xlfn.XLOOKUP(B45, 'Component Masterlist v2'!B:B, 'Component Masterlist v2'!P:P, "Not found")</f>
        <v>INTG</v>
      </c>
    </row>
    <row r="46" spans="1:6">
      <c r="A46" s="3" t="s">
        <v>61</v>
      </c>
      <c r="B46" s="22" t="s">
        <v>335</v>
      </c>
      <c r="C46" s="37" t="str">
        <f>_xlfn.XLOOKUP(B46, 'Component Masterlist v2'!B:B, 'Component Masterlist v2'!O:O, "Not found")</f>
        <v>Retail Integration 2</v>
      </c>
      <c r="D46" s="114" t="str">
        <f>_xlfn.XLOOKUP(B46, 'Component Masterlist v2'!B:B, 'Component Masterlist v2'!G:G, "Not found")</f>
        <v>Turker Coskun</v>
      </c>
      <c r="E46" s="112" t="str">
        <f>_xlfn.XLOOKUP(B46, 'Component Masterlist v2'!B:B, 'Component Masterlist v2'!E:E, "Not found")</f>
        <v>Prakash Mohan</v>
      </c>
      <c r="F46" s="165" t="str">
        <f>_xlfn.XLOOKUP(B46, 'Component Masterlist v2'!B:B, 'Component Masterlist v2'!P:P, "Not found")</f>
        <v>INTG</v>
      </c>
    </row>
    <row r="47" spans="1:6">
      <c r="A47" s="3" t="s">
        <v>85</v>
      </c>
      <c r="B47" s="22" t="s">
        <v>336</v>
      </c>
      <c r="C47" s="37" t="str">
        <f>_xlfn.XLOOKUP(B47, 'Component Masterlist v2'!B:B, 'Component Masterlist v2'!O:O, "Not found")</f>
        <v>Kaveri</v>
      </c>
      <c r="D47" s="114" t="str">
        <f>_xlfn.XLOOKUP(B47, 'Component Masterlist v2'!B:B, 'Component Masterlist v2'!G:G, "Not found")</f>
        <v>Ved Singh</v>
      </c>
      <c r="E47" s="112" t="str">
        <f>_xlfn.XLOOKUP(B47, 'Component Masterlist v2'!B:B, 'Component Masterlist v2'!E:E, "Not found")</f>
        <v>Damodara Reddy</v>
      </c>
      <c r="F47" s="165" t="str">
        <f>_xlfn.XLOOKUP(B47, 'Component Masterlist v2'!B:B, 'Component Masterlist v2'!P:P, "Not found")</f>
        <v>GAL</v>
      </c>
    </row>
    <row r="48" spans="1:6">
      <c r="A48" s="3" t="s">
        <v>85</v>
      </c>
      <c r="B48" s="22" t="s">
        <v>340</v>
      </c>
      <c r="C48" s="37" t="str">
        <f>_xlfn.XLOOKUP(B48, 'Component Masterlist v2'!B:B, 'Component Masterlist v2'!O:O, "Not found")</f>
        <v>Kaveri</v>
      </c>
      <c r="D48" s="114" t="str">
        <f>_xlfn.XLOOKUP(B48, 'Component Masterlist v2'!B:B, 'Component Masterlist v2'!G:G, "Not found")</f>
        <v>Ved Singh</v>
      </c>
      <c r="E48" s="112" t="str">
        <f>_xlfn.XLOOKUP(B48, 'Component Masterlist v2'!B:B, 'Component Masterlist v2'!E:E, "Not found")</f>
        <v>Damodara Reddy</v>
      </c>
      <c r="F48" s="165" t="str">
        <f>_xlfn.XLOOKUP(B48, 'Component Masterlist v2'!B:B, 'Component Masterlist v2'!P:P, "Not found")</f>
        <v>GAL</v>
      </c>
    </row>
    <row r="49" spans="1:6">
      <c r="A49" s="3" t="s">
        <v>85</v>
      </c>
      <c r="B49" s="22" t="s">
        <v>342</v>
      </c>
      <c r="C49" s="37" t="str">
        <f>_xlfn.XLOOKUP(B49, 'Component Masterlist v2'!B:B, 'Component Masterlist v2'!O:O, "Not found")</f>
        <v>Kaveri</v>
      </c>
      <c r="D49" s="114" t="str">
        <f>_xlfn.XLOOKUP(B49, 'Component Masterlist v2'!B:B, 'Component Masterlist v2'!G:G, "Not found")</f>
        <v>Ved Singh</v>
      </c>
      <c r="E49" s="112" t="str">
        <f>_xlfn.XLOOKUP(B49, 'Component Masterlist v2'!B:B, 'Component Masterlist v2'!E:E, "Not found")</f>
        <v>Damodara Reddy</v>
      </c>
      <c r="F49" s="165" t="str">
        <f>_xlfn.XLOOKUP(B49, 'Component Masterlist v2'!B:B, 'Component Masterlist v2'!P:P, "Not found")</f>
        <v>GAL</v>
      </c>
    </row>
    <row r="50" spans="1:6">
      <c r="A50" s="3" t="s">
        <v>85</v>
      </c>
      <c r="B50" s="22" t="s">
        <v>343</v>
      </c>
      <c r="C50" s="37" t="str">
        <f>_xlfn.XLOOKUP(B50, 'Component Masterlist v2'!B:B, 'Component Masterlist v2'!O:O, "Not found")</f>
        <v>Kaveri</v>
      </c>
      <c r="D50" s="114" t="str">
        <f>_xlfn.XLOOKUP(B50, 'Component Masterlist v2'!B:B, 'Component Masterlist v2'!G:G, "Not found")</f>
        <v>Ved Singh</v>
      </c>
      <c r="E50" s="112" t="str">
        <f>_xlfn.XLOOKUP(B50, 'Component Masterlist v2'!B:B, 'Component Masterlist v2'!E:E, "Not found")</f>
        <v>Damodara Reddy</v>
      </c>
      <c r="F50" s="165" t="str">
        <f>_xlfn.XLOOKUP(B50, 'Component Masterlist v2'!B:B, 'Component Masterlist v2'!P:P, "Not found")</f>
        <v>GAL</v>
      </c>
    </row>
    <row r="51" spans="1:6">
      <c r="A51" s="3" t="s">
        <v>85</v>
      </c>
      <c r="B51" s="18" t="s">
        <v>344</v>
      </c>
      <c r="C51" s="37" t="str">
        <f>_xlfn.XLOOKUP(B51, 'Component Masterlist v2'!B:B, 'Component Masterlist v2'!O:O, "Not found")</f>
        <v>Kaveri</v>
      </c>
      <c r="D51" s="114" t="str">
        <f>_xlfn.XLOOKUP(B51, 'Component Masterlist v2'!B:B, 'Component Masterlist v2'!G:G, "Not found")</f>
        <v>Ved Singh</v>
      </c>
      <c r="E51" s="112" t="str">
        <f>_xlfn.XLOOKUP(B51, 'Component Masterlist v2'!B:B, 'Component Masterlist v2'!E:E, "Not found")</f>
        <v>Damodara Reddy</v>
      </c>
      <c r="F51" s="165" t="str">
        <f>_xlfn.XLOOKUP(B51, 'Component Masterlist v2'!B:B, 'Component Masterlist v2'!P:P, "Not found")</f>
        <v>GAL</v>
      </c>
    </row>
    <row r="52" spans="1:6">
      <c r="A52" s="3" t="s">
        <v>85</v>
      </c>
      <c r="B52" s="18" t="s">
        <v>345</v>
      </c>
      <c r="C52" s="37" t="str">
        <f>_xlfn.XLOOKUP(B52, 'Component Masterlist v2'!B:B, 'Component Masterlist v2'!O:O, "Not found")</f>
        <v>Kaveri</v>
      </c>
      <c r="D52" s="114" t="str">
        <f>_xlfn.XLOOKUP(B52, 'Component Masterlist v2'!B:B, 'Component Masterlist v2'!G:G, "Not found")</f>
        <v>Ved Singh</v>
      </c>
      <c r="E52" s="112" t="str">
        <f>_xlfn.XLOOKUP(B52, 'Component Masterlist v2'!B:B, 'Component Masterlist v2'!E:E, "Not found")</f>
        <v>Damodara Reddy</v>
      </c>
      <c r="F52" s="165" t="str">
        <f>_xlfn.XLOOKUP(B52, 'Component Masterlist v2'!B:B, 'Component Masterlist v2'!P:P, "Not found")</f>
        <v>GAL</v>
      </c>
    </row>
    <row r="53" spans="1:6">
      <c r="A53" s="3" t="s">
        <v>86</v>
      </c>
      <c r="B53" s="18" t="s">
        <v>347</v>
      </c>
      <c r="C53" s="37" t="str">
        <f>_xlfn.XLOOKUP(B53, 'Component Masterlist v2'!B:B, 'Component Masterlist v2'!O:O, "Not found")</f>
        <v>Not found</v>
      </c>
      <c r="D53" s="114" t="str">
        <f>_xlfn.XLOOKUP(B53, 'Component Masterlist v2'!B:B, 'Component Masterlist v2'!G:G, "Not found")</f>
        <v>Ved Singh</v>
      </c>
      <c r="E53" s="112" t="str">
        <f>_xlfn.XLOOKUP(B53, 'Component Masterlist v2'!B:B, 'Component Masterlist v2'!E:E, "Not found")</f>
        <v>Damodara Reddy</v>
      </c>
      <c r="F53" s="165">
        <f>_xlfn.XLOOKUP(B53, 'Component Masterlist v2'!B:B, 'Component Masterlist v2'!P:P, "Not found")</f>
        <v>0</v>
      </c>
    </row>
    <row r="54" spans="1:6">
      <c r="A54" s="3" t="s">
        <v>88</v>
      </c>
      <c r="B54" s="18" t="s">
        <v>349</v>
      </c>
      <c r="C54" s="37" t="str">
        <f>_xlfn.XLOOKUP(B54, 'Component Masterlist v2'!B:B, 'Component Masterlist v2'!O:O, "Not found")</f>
        <v>Desking</v>
      </c>
      <c r="D54" s="114" t="str">
        <f>_xlfn.XLOOKUP(B54, 'Component Masterlist v2'!B:B, 'Component Masterlist v2'!G:G, "Not found")</f>
        <v>Ved Singh</v>
      </c>
      <c r="E54" s="112" t="str">
        <f>_xlfn.XLOOKUP(B54, 'Component Masterlist v2'!B:B, 'Component Masterlist v2'!E:E, "Not found")</f>
        <v>Karan Jeet Singh</v>
      </c>
      <c r="F54" s="165" t="str">
        <f>_xlfn.XLOOKUP(B54, 'Component Masterlist v2'!B:B, 'Component Masterlist v2'!P:P, "Not found")</f>
        <v>RETL</v>
      </c>
    </row>
    <row r="55" spans="1:6">
      <c r="A55" s="3" t="s">
        <v>88</v>
      </c>
      <c r="B55" s="18" t="s">
        <v>353</v>
      </c>
      <c r="C55" s="37" t="str">
        <f>_xlfn.XLOOKUP(B55, 'Component Masterlist v2'!B:B, 'Component Masterlist v2'!O:O, "Not found")</f>
        <v>Deals</v>
      </c>
      <c r="D55" s="114" t="str">
        <f>_xlfn.XLOOKUP(B55, 'Component Masterlist v2'!B:B, 'Component Masterlist v2'!G:G, "Not found")</f>
        <v>Ved Singh</v>
      </c>
      <c r="E55" s="112" t="str">
        <f>_xlfn.XLOOKUP(B55, 'Component Masterlist v2'!B:B, 'Component Masterlist v2'!E:E, "Not found")</f>
        <v>Karan Jeet Singh</v>
      </c>
      <c r="F55" s="165" t="str">
        <f>_xlfn.XLOOKUP(B55, 'Component Masterlist v2'!B:B, 'Component Masterlist v2'!P:P, "Not found")</f>
        <v>RETL</v>
      </c>
    </row>
    <row r="56" spans="1:6">
      <c r="A56" s="3" t="s">
        <v>88</v>
      </c>
      <c r="B56" s="18" t="s">
        <v>357</v>
      </c>
      <c r="C56" s="37" t="str">
        <f>_xlfn.XLOOKUP(B56, 'Component Masterlist v2'!B:B, 'Component Masterlist v2'!O:O, "Not found")</f>
        <v>VI</v>
      </c>
      <c r="D56" s="114" t="str">
        <f>_xlfn.XLOOKUP(B56, 'Component Masterlist v2'!B:B, 'Component Masterlist v2'!G:G, "Not found")</f>
        <v>Ved Singh</v>
      </c>
      <c r="E56" s="112" t="str">
        <f>_xlfn.XLOOKUP(B56, 'Component Masterlist v2'!B:B, 'Component Masterlist v2'!E:E, "Not found")</f>
        <v>Karan Jeet Singh</v>
      </c>
      <c r="F56" s="165" t="str">
        <f>_xlfn.XLOOKUP(B56, 'Component Masterlist v2'!B:B, 'Component Masterlist v2'!P:P, "Not found")</f>
        <v>RETL</v>
      </c>
    </row>
    <row r="57" spans="1:6">
      <c r="A57" s="3" t="s">
        <v>88</v>
      </c>
      <c r="B57" s="18" t="s">
        <v>360</v>
      </c>
      <c r="C57" s="37" t="str">
        <f>_xlfn.XLOOKUP(B57, 'Component Masterlist v2'!B:B, 'Component Masterlist v2'!O:O, "Not found")</f>
        <v xml:space="preserve">Pricing </v>
      </c>
      <c r="D57" s="114" t="str">
        <f>_xlfn.XLOOKUP(B57, 'Component Masterlist v2'!B:B, 'Component Masterlist v2'!G:G, "Not found")</f>
        <v>Ved Singh</v>
      </c>
      <c r="E57" s="112" t="str">
        <f>_xlfn.XLOOKUP(B57, 'Component Masterlist v2'!B:B, 'Component Masterlist v2'!E:E, "Not found")</f>
        <v>Karan Jeet Singh</v>
      </c>
      <c r="F57" s="165" t="str">
        <f>_xlfn.XLOOKUP(B57, 'Component Masterlist v2'!B:B, 'Component Masterlist v2'!P:P, "Not found")</f>
        <v>RETL</v>
      </c>
    </row>
    <row r="58" spans="1:6">
      <c r="A58" s="3" t="s">
        <v>88</v>
      </c>
      <c r="B58" s="18" t="s">
        <v>363</v>
      </c>
      <c r="C58" s="37" t="str">
        <f>_xlfn.XLOOKUP(B58, 'Component Masterlist v2'!B:B, 'Component Masterlist v2'!O:O, "Not found")</f>
        <v>IMS</v>
      </c>
      <c r="D58" s="114" t="str">
        <f>_xlfn.XLOOKUP(B58, 'Component Masterlist v2'!B:B, 'Component Masterlist v2'!G:G, "Not found")</f>
        <v>Ved Singh</v>
      </c>
      <c r="E58" s="112" t="str">
        <f>_xlfn.XLOOKUP(B58, 'Component Masterlist v2'!B:B, 'Component Masterlist v2'!E:E, "Not found")</f>
        <v>Karan Jeet Singh</v>
      </c>
      <c r="F58" s="165" t="str">
        <f>_xlfn.XLOOKUP(B58, 'Component Masterlist v2'!B:B, 'Component Masterlist v2'!P:P, "Not found")</f>
        <v>RETL</v>
      </c>
    </row>
    <row r="59" spans="1:6">
      <c r="A59" s="3" t="s">
        <v>88</v>
      </c>
      <c r="B59" s="18" t="s">
        <v>366</v>
      </c>
      <c r="C59" s="37" t="str">
        <f>_xlfn.XLOOKUP(B59, 'Component Masterlist v2'!B:B, 'Component Masterlist v2'!O:O, "Not found")</f>
        <v>CAVIAR</v>
      </c>
      <c r="D59" s="114" t="str">
        <f>_xlfn.XLOOKUP(B59, 'Component Masterlist v2'!B:B, 'Component Masterlist v2'!G:G, "Not found")</f>
        <v>Ved Singh</v>
      </c>
      <c r="E59" s="112" t="str">
        <f>_xlfn.XLOOKUP(B59, 'Component Masterlist v2'!B:B, 'Component Masterlist v2'!E:E, "Not found")</f>
        <v>Karan Jeet Singh</v>
      </c>
      <c r="F59" s="165" t="str">
        <f>_xlfn.XLOOKUP(B59, 'Component Masterlist v2'!B:B, 'Component Masterlist v2'!P:P, "Not found")</f>
        <v>RETL</v>
      </c>
    </row>
    <row r="60" spans="1:6">
      <c r="A60" s="3" t="s">
        <v>88</v>
      </c>
      <c r="B60" s="18" t="s">
        <v>368</v>
      </c>
      <c r="C60" s="37" t="str">
        <f>_xlfn.XLOOKUP(B60, 'Component Masterlist v2'!B:B, 'Component Masterlist v2'!O:O, "Not found")</f>
        <v>VI</v>
      </c>
      <c r="D60" s="114" t="str">
        <f>_xlfn.XLOOKUP(B60, 'Component Masterlist v2'!B:B, 'Component Masterlist v2'!G:G, "Not found")</f>
        <v>Ved Singh</v>
      </c>
      <c r="E60" s="112" t="str">
        <f>_xlfn.XLOOKUP(B60, 'Component Masterlist v2'!B:B, 'Component Masterlist v2'!E:E, "Not found")</f>
        <v>Karan Jeet Singh</v>
      </c>
      <c r="F60" s="165" t="str">
        <f>_xlfn.XLOOKUP(B60, 'Component Masterlist v2'!B:B, 'Component Masterlist v2'!P:P, "Not found")</f>
        <v>RETL</v>
      </c>
    </row>
    <row r="61" spans="1:6">
      <c r="A61" s="3" t="s">
        <v>49</v>
      </c>
      <c r="B61" s="18" t="s">
        <v>369</v>
      </c>
      <c r="C61" s="37" t="str">
        <f>_xlfn.XLOOKUP(B61, 'Component Masterlist v2'!B:B, 'Component Masterlist v2'!O:O, "Not found")</f>
        <v>Hydrogen</v>
      </c>
      <c r="D61" s="114" t="str">
        <f>_xlfn.XLOOKUP(B61, 'Component Masterlist v2'!B:B, 'Component Masterlist v2'!G:G, "Not found")</f>
        <v>Sanyam Agrawal</v>
      </c>
      <c r="E61" s="112" t="str">
        <f>_xlfn.XLOOKUP(B61, 'Component Masterlist v2'!B:B, 'Component Masterlist v2'!E:E, "Not found")</f>
        <v>Fahad Tasleem</v>
      </c>
      <c r="F61" s="165" t="str">
        <f>_xlfn.XLOOKUP(B61, 'Component Masterlist v2'!B:B, 'Component Masterlist v2'!P:P, "Not found")</f>
        <v>ACCT</v>
      </c>
    </row>
    <row r="62" spans="1:6">
      <c r="A62" s="3" t="s">
        <v>49</v>
      </c>
      <c r="B62" s="18" t="s">
        <v>374</v>
      </c>
      <c r="C62" s="37" t="str">
        <f>_xlfn.XLOOKUP(B62, 'Component Masterlist v2'!B:B, 'Component Masterlist v2'!O:O, "Not found")</f>
        <v>Gold</v>
      </c>
      <c r="D62" s="114" t="str">
        <f>_xlfn.XLOOKUP(B62, 'Component Masterlist v2'!B:B, 'Component Masterlist v2'!G:G, "Not found")</f>
        <v>Sanyam Agrawal</v>
      </c>
      <c r="E62" s="112" t="str">
        <f>_xlfn.XLOOKUP(B62, 'Component Masterlist v2'!B:B, 'Component Masterlist v2'!E:E, "Not found")</f>
        <v>Fahad Tasleem</v>
      </c>
      <c r="F62" s="165" t="str">
        <f>_xlfn.XLOOKUP(B62, 'Component Masterlist v2'!B:B, 'Component Masterlist v2'!P:P, "Not found")</f>
        <v>ACCT</v>
      </c>
    </row>
    <row r="63" spans="1:6">
      <c r="A63" s="3" t="s">
        <v>49</v>
      </c>
      <c r="B63" s="18" t="s">
        <v>377</v>
      </c>
      <c r="C63" s="37" t="str">
        <f>_xlfn.XLOOKUP(B63, 'Component Masterlist v2'!B:B, 'Component Masterlist v2'!O:O, "Not found")</f>
        <v>Platinum</v>
      </c>
      <c r="D63" s="114" t="str">
        <f>_xlfn.XLOOKUP(B63, 'Component Masterlist v2'!B:B, 'Component Masterlist v2'!G:G, "Not found")</f>
        <v>Sanyam Agrawal</v>
      </c>
      <c r="E63" s="112" t="str">
        <f>_xlfn.XLOOKUP(B63, 'Component Masterlist v2'!B:B, 'Component Masterlist v2'!E:E, "Not found")</f>
        <v>Fahad Tasleem</v>
      </c>
      <c r="F63" s="165" t="str">
        <f>_xlfn.XLOOKUP(B63, 'Component Masterlist v2'!B:B, 'Component Masterlist v2'!P:P, "Not found")</f>
        <v>ACCT</v>
      </c>
    </row>
    <row r="64" spans="1:6">
      <c r="A64" s="3" t="s">
        <v>49</v>
      </c>
      <c r="B64" s="18" t="s">
        <v>380</v>
      </c>
      <c r="C64" s="37" t="str">
        <f>_xlfn.XLOOKUP(B64, 'Component Masterlist v2'!B:B, 'Component Masterlist v2'!O:O, "Not found")</f>
        <v>Helium</v>
      </c>
      <c r="D64" s="114" t="str">
        <f>_xlfn.XLOOKUP(B64, 'Component Masterlist v2'!B:B, 'Component Masterlist v2'!G:G, "Not found")</f>
        <v>Sanyam Agrawal</v>
      </c>
      <c r="E64" s="112" t="str">
        <f>_xlfn.XLOOKUP(B64, 'Component Masterlist v2'!B:B, 'Component Masterlist v2'!E:E, "Not found")</f>
        <v>Fahad Tasleem</v>
      </c>
      <c r="F64" s="165" t="str">
        <f>_xlfn.XLOOKUP(B64, 'Component Masterlist v2'!B:B, 'Component Masterlist v2'!P:P, "Not found")</f>
        <v>ACCT</v>
      </c>
    </row>
    <row r="65" spans="1:6">
      <c r="A65" s="3" t="s">
        <v>49</v>
      </c>
      <c r="B65" s="18" t="s">
        <v>382</v>
      </c>
      <c r="C65" s="37" t="str">
        <f>_xlfn.XLOOKUP(B65, 'Component Masterlist v2'!B:B, 'Component Masterlist v2'!O:O, "Not found")</f>
        <v>Helium</v>
      </c>
      <c r="D65" s="114" t="str">
        <f>_xlfn.XLOOKUP(B65, 'Component Masterlist v2'!B:B, 'Component Masterlist v2'!G:G, "Not found")</f>
        <v>Sanyam Agrawal</v>
      </c>
      <c r="E65" s="112" t="str">
        <f>_xlfn.XLOOKUP(B65, 'Component Masterlist v2'!B:B, 'Component Masterlist v2'!E:E, "Not found")</f>
        <v>Fahad Tasleem</v>
      </c>
      <c r="F65" s="165" t="str">
        <f>_xlfn.XLOOKUP(B65, 'Component Masterlist v2'!B:B, 'Component Masterlist v2'!P:P, "Not found")</f>
        <v>ACCT</v>
      </c>
    </row>
    <row r="66" spans="1:6">
      <c r="A66" s="3" t="s">
        <v>49</v>
      </c>
      <c r="B66" s="22" t="s">
        <v>383</v>
      </c>
      <c r="C66" s="37" t="str">
        <f>_xlfn.XLOOKUP(B66, 'Component Masterlist v2'!B:B, 'Component Masterlist v2'!O:O, "Not found")</f>
        <v>Oxygen</v>
      </c>
      <c r="D66" s="114" t="str">
        <f>_xlfn.XLOOKUP(B66, 'Component Masterlist v2'!B:B, 'Component Masterlist v2'!G:G, "Not found")</f>
        <v>Sanyam Agrawal</v>
      </c>
      <c r="E66" s="112" t="str">
        <f>_xlfn.XLOOKUP(B66, 'Component Masterlist v2'!B:B, 'Component Masterlist v2'!E:E, "Not found")</f>
        <v>Fahad Tasleem</v>
      </c>
      <c r="F66" s="165" t="str">
        <f>_xlfn.XLOOKUP(B66, 'Component Masterlist v2'!B:B, 'Component Masterlist v2'!P:P, "Not found")</f>
        <v>ACCT</v>
      </c>
    </row>
    <row r="67" spans="1:6">
      <c r="A67" s="3" t="s">
        <v>49</v>
      </c>
      <c r="B67" s="18" t="s">
        <v>384</v>
      </c>
      <c r="C67" s="37" t="str">
        <f>_xlfn.XLOOKUP(B67, 'Component Masterlist v2'!B:B, 'Component Masterlist v2'!O:O, "Not found")</f>
        <v>Gold</v>
      </c>
      <c r="D67" s="114" t="str">
        <f>_xlfn.XLOOKUP(B67, 'Component Masterlist v2'!B:B, 'Component Masterlist v2'!G:G, "Not found")</f>
        <v>Sanyam Agrawal</v>
      </c>
      <c r="E67" s="112" t="str">
        <f>_xlfn.XLOOKUP(B67, 'Component Masterlist v2'!B:B, 'Component Masterlist v2'!E:E, "Not found")</f>
        <v>Fahad Tasleem</v>
      </c>
      <c r="F67" s="165" t="str">
        <f>_xlfn.XLOOKUP(B67, 'Component Masterlist v2'!B:B, 'Component Masterlist v2'!P:P, "Not found")</f>
        <v>ACCT</v>
      </c>
    </row>
    <row r="68" spans="1:6">
      <c r="A68" s="3" t="s">
        <v>49</v>
      </c>
      <c r="B68" s="18" t="s">
        <v>385</v>
      </c>
      <c r="C68" s="37" t="str">
        <f>_xlfn.XLOOKUP(B68, 'Component Masterlist v2'!B:B, 'Component Masterlist v2'!O:O, "Not found")</f>
        <v>Aurum</v>
      </c>
      <c r="D68" s="114" t="str">
        <f>_xlfn.XLOOKUP(B68, 'Component Masterlist v2'!B:B, 'Component Masterlist v2'!G:G, "Not found")</f>
        <v>Sanyam Agrawal</v>
      </c>
      <c r="E68" s="112" t="str">
        <f>_xlfn.XLOOKUP(B68, 'Component Masterlist v2'!B:B, 'Component Masterlist v2'!E:E, "Not found")</f>
        <v>Fahad Tasleem</v>
      </c>
      <c r="F68" s="165" t="str">
        <f>_xlfn.XLOOKUP(B68, 'Component Masterlist v2'!B:B, 'Component Masterlist v2'!P:P, "Not found")</f>
        <v>ACCT</v>
      </c>
    </row>
    <row r="69" spans="1:6">
      <c r="A69" s="3" t="s">
        <v>52</v>
      </c>
      <c r="B69" s="18" t="s">
        <v>388</v>
      </c>
      <c r="C69" s="37" t="str">
        <f>_xlfn.XLOOKUP(B69, 'Component Masterlist v2'!B:B, 'Component Masterlist v2'!O:O, "Not found")</f>
        <v>Earth</v>
      </c>
      <c r="D69" s="114" t="str">
        <f>_xlfn.XLOOKUP(B69, 'Component Masterlist v2'!B:B, 'Component Masterlist v2'!G:G, "Not found")</f>
        <v>Sanyam Agrawal</v>
      </c>
      <c r="E69" s="112" t="str">
        <f>_xlfn.XLOOKUP(B69, 'Component Masterlist v2'!B:B, 'Component Masterlist v2'!E:E, "Not found")</f>
        <v>Fahad Tasleem</v>
      </c>
      <c r="F69" s="165" t="str">
        <f>_xlfn.XLOOKUP(B69, 'Component Masterlist v2'!B:B, 'Component Masterlist v2'!P:P, "Not found")</f>
        <v>PYRL</v>
      </c>
    </row>
    <row r="70" spans="1:6">
      <c r="A70" s="3" t="s">
        <v>52</v>
      </c>
      <c r="B70" s="18" t="s">
        <v>392</v>
      </c>
      <c r="C70" s="37" t="str">
        <f>_xlfn.XLOOKUP(B70, 'Component Masterlist v2'!B:B, 'Component Masterlist v2'!O:O, "Not found")</f>
        <v>Earth</v>
      </c>
      <c r="D70" s="114" t="str">
        <f>_xlfn.XLOOKUP(B70, 'Component Masterlist v2'!B:B, 'Component Masterlist v2'!G:G, "Not found")</f>
        <v>Sanyam Agrawal</v>
      </c>
      <c r="E70" s="112" t="str">
        <f>_xlfn.XLOOKUP(B70, 'Component Masterlist v2'!B:B, 'Component Masterlist v2'!E:E, "Not found")</f>
        <v>Fahad Tasleem</v>
      </c>
      <c r="F70" s="165" t="str">
        <f>_xlfn.XLOOKUP(B70, 'Component Masterlist v2'!B:B, 'Component Masterlist v2'!P:P, "Not found")</f>
        <v>PYRL</v>
      </c>
    </row>
    <row r="71" spans="1:6">
      <c r="A71" s="3" t="s">
        <v>52</v>
      </c>
      <c r="B71" s="18" t="s">
        <v>394</v>
      </c>
      <c r="C71" s="37" t="str">
        <f>_xlfn.XLOOKUP(B71, 'Component Masterlist v2'!B:B, 'Component Masterlist v2'!O:O, "Not found")</f>
        <v>Mars</v>
      </c>
      <c r="D71" s="114" t="str">
        <f>_xlfn.XLOOKUP(B71, 'Component Masterlist v2'!B:B, 'Component Masterlist v2'!G:G, "Not found")</f>
        <v>Sanyam Agrawal</v>
      </c>
      <c r="E71" s="112" t="str">
        <f>_xlfn.XLOOKUP(B71, 'Component Masterlist v2'!B:B, 'Component Masterlist v2'!E:E, "Not found")</f>
        <v>Fahad Tasleem</v>
      </c>
      <c r="F71" s="165" t="str">
        <f>_xlfn.XLOOKUP(B71, 'Component Masterlist v2'!B:B, 'Component Masterlist v2'!P:P, "Not found")</f>
        <v>PYRL</v>
      </c>
    </row>
    <row r="72" spans="1:6">
      <c r="A72" s="3" t="s">
        <v>52</v>
      </c>
      <c r="B72" s="18" t="s">
        <v>396</v>
      </c>
      <c r="C72" s="37" t="str">
        <f>_xlfn.XLOOKUP(B72, 'Component Masterlist v2'!B:B, 'Component Masterlist v2'!O:O, "Not found")</f>
        <v>Mars</v>
      </c>
      <c r="D72" s="114" t="str">
        <f>_xlfn.XLOOKUP(B72, 'Component Masterlist v2'!B:B, 'Component Masterlist v2'!G:G, "Not found")</f>
        <v>Sanyam Agrawal</v>
      </c>
      <c r="E72" s="112" t="str">
        <f>_xlfn.XLOOKUP(B72, 'Component Masterlist v2'!B:B, 'Component Masterlist v2'!E:E, "Not found")</f>
        <v>Fahad Tasleem</v>
      </c>
      <c r="F72" s="165" t="str">
        <f>_xlfn.XLOOKUP(B72, 'Component Masterlist v2'!B:B, 'Component Masterlist v2'!P:P, "Not found")</f>
        <v>PYRL</v>
      </c>
    </row>
    <row r="73" spans="1:6">
      <c r="A73" s="3" t="s">
        <v>51</v>
      </c>
      <c r="B73" s="18" t="s">
        <v>51</v>
      </c>
      <c r="C73" s="37" t="str">
        <f>_xlfn.XLOOKUP(B73, 'Component Masterlist v2'!B:B, 'Component Masterlist v2'!O:O, "Not found")</f>
        <v>eSign_Platform</v>
      </c>
      <c r="D73" s="114" t="str">
        <f>_xlfn.XLOOKUP(B73, 'Component Masterlist v2'!B:B, 'Component Masterlist v2'!G:G, "Not found")</f>
        <v>Sanyam Agrawal</v>
      </c>
      <c r="E73" s="112" t="str">
        <f>_xlfn.XLOOKUP(B73, 'Component Masterlist v2'!B:B, 'Component Masterlist v2'!E:E, "Not found")</f>
        <v>Fahad Tasleem</v>
      </c>
      <c r="F73" s="165" t="str">
        <f>_xlfn.XLOOKUP(B73, 'Component Masterlist v2'!B:B, 'Component Masterlist v2'!P:P, "Not found")</f>
        <v>ESGN</v>
      </c>
    </row>
    <row r="74" spans="1:6">
      <c r="A74" s="3" t="s">
        <v>50</v>
      </c>
      <c r="B74" s="18" t="s">
        <v>50</v>
      </c>
      <c r="C74" s="37" t="str">
        <f>_xlfn.XLOOKUP(B74, 'Component Masterlist v2'!B:B, 'Component Masterlist v2'!O:O, "Not found")</f>
        <v>Cashiering</v>
      </c>
      <c r="D74" s="114" t="str">
        <f>_xlfn.XLOOKUP(B74, 'Component Masterlist v2'!B:B, 'Component Masterlist v2'!G:G, "Not found")</f>
        <v>Sanyam Agrawal</v>
      </c>
      <c r="E74" s="112" t="str">
        <f>_xlfn.XLOOKUP(B74, 'Component Masterlist v2'!B:B, 'Component Masterlist v2'!E:E, "Not found")</f>
        <v>Fahad Tasleem</v>
      </c>
      <c r="F74" s="165" t="str">
        <f>_xlfn.XLOOKUP(B74, 'Component Masterlist v2'!B:B, 'Component Masterlist v2'!P:P, "Not found")</f>
        <v>CASH</v>
      </c>
    </row>
    <row r="75" spans="1:6">
      <c r="A75" s="3" t="s">
        <v>54</v>
      </c>
      <c r="B75" s="18" t="s">
        <v>403</v>
      </c>
      <c r="C75" s="37" t="str">
        <f>_xlfn.XLOOKUP(B75, 'Component Masterlist v2'!B:B, 'Component Masterlist v2'!O:O, "Not found")</f>
        <v>RO-Core</v>
      </c>
      <c r="D75" s="114" t="str">
        <f>_xlfn.XLOOKUP(B75, 'Component Masterlist v2'!B:B, 'Component Masterlist v2'!G:G, "Not found")</f>
        <v>Sanyam Agrawal</v>
      </c>
      <c r="E75" s="112" t="str">
        <f>_xlfn.XLOOKUP(B75, 'Component Masterlist v2'!B:B, 'Component Masterlist v2'!E:E, "Not found")</f>
        <v>Prashant Gupta, Vraj Solanki</v>
      </c>
      <c r="F75" s="165" t="str">
        <f>_xlfn.XLOOKUP(B75, 'Component Masterlist v2'!B:B, 'Component Masterlist v2'!P:P, "Not found")</f>
        <v>SERV</v>
      </c>
    </row>
    <row r="76" spans="1:6">
      <c r="A76" s="3" t="s">
        <v>54</v>
      </c>
      <c r="B76" s="18" t="s">
        <v>409</v>
      </c>
      <c r="C76" s="37" t="str">
        <f>_xlfn.XLOOKUP(B76, 'Component Masterlist v2'!B:B, 'Component Masterlist v2'!O:O, "Not found")</f>
        <v>RO-Core</v>
      </c>
      <c r="D76" s="114" t="str">
        <f>_xlfn.XLOOKUP(B76, 'Component Masterlist v2'!B:B, 'Component Masterlist v2'!G:G, "Not found")</f>
        <v>Sanyam Agrawal</v>
      </c>
      <c r="E76" s="112" t="str">
        <f>_xlfn.XLOOKUP(B76, 'Component Masterlist v2'!B:B, 'Component Masterlist v2'!E:E, "Not found")</f>
        <v>Prashant Gupta, Vraj Solanki</v>
      </c>
      <c r="F76" s="165" t="str">
        <f>_xlfn.XLOOKUP(B76, 'Component Masterlist v2'!B:B, 'Component Masterlist v2'!P:P, "Not found")</f>
        <v>SERV</v>
      </c>
    </row>
    <row r="77" spans="1:6">
      <c r="A77" s="3" t="s">
        <v>54</v>
      </c>
      <c r="B77" s="18" t="s">
        <v>410</v>
      </c>
      <c r="C77" s="37" t="str">
        <f>_xlfn.XLOOKUP(B77, 'Component Masterlist v2'!B:B, 'Component Masterlist v2'!O:O, "Not found")</f>
        <v>Platform</v>
      </c>
      <c r="D77" s="114" t="str">
        <f>_xlfn.XLOOKUP(B77, 'Component Masterlist v2'!B:B, 'Component Masterlist v2'!G:G, "Not found")</f>
        <v>Sanyam Agrawal</v>
      </c>
      <c r="E77" s="112" t="str">
        <f>_xlfn.XLOOKUP(B77, 'Component Masterlist v2'!B:B, 'Component Masterlist v2'!E:E, "Not found")</f>
        <v>Prashant Gupta, Vraj Solanki</v>
      </c>
      <c r="F77" s="165" t="str">
        <f>_xlfn.XLOOKUP(B77, 'Component Masterlist v2'!B:B, 'Component Masterlist v2'!P:P, "Not found")</f>
        <v>SERV</v>
      </c>
    </row>
    <row r="78" spans="1:6">
      <c r="A78" s="3" t="s">
        <v>54</v>
      </c>
      <c r="B78" s="18" t="s">
        <v>414</v>
      </c>
      <c r="C78" s="37" t="str">
        <f>_xlfn.XLOOKUP(B78, 'Component Masterlist v2'!B:B, 'Component Masterlist v2'!O:O, "Not found")</f>
        <v>Scheduling</v>
      </c>
      <c r="D78" s="114" t="str">
        <f>_xlfn.XLOOKUP(B78, 'Component Masterlist v2'!B:B, 'Component Masterlist v2'!G:G, "Not found")</f>
        <v>Sanyam Agrawal</v>
      </c>
      <c r="E78" s="112" t="str">
        <f>_xlfn.XLOOKUP(B78, 'Component Masterlist v2'!B:B, 'Component Masterlist v2'!E:E, "Not found")</f>
        <v>Prashant Gupta, Vraj Solanki</v>
      </c>
      <c r="F78" s="165" t="str">
        <f>_xlfn.XLOOKUP(B78, 'Component Masterlist v2'!B:B, 'Component Masterlist v2'!P:P, "Not found")</f>
        <v>SERV</v>
      </c>
    </row>
    <row r="79" spans="1:6">
      <c r="A79" s="3" t="s">
        <v>54</v>
      </c>
      <c r="B79" s="18" t="s">
        <v>417</v>
      </c>
      <c r="C79" s="37" t="str">
        <f>_xlfn.XLOOKUP(B79, 'Component Masterlist v2'!B:B, 'Component Masterlist v2'!O:O, "Not found")</f>
        <v>Scheduling</v>
      </c>
      <c r="D79" s="114" t="str">
        <f>_xlfn.XLOOKUP(B79, 'Component Masterlist v2'!B:B, 'Component Masterlist v2'!G:G, "Not found")</f>
        <v>Sanyam Agrawal</v>
      </c>
      <c r="E79" s="112" t="str">
        <f>_xlfn.XLOOKUP(B79, 'Component Masterlist v2'!B:B, 'Component Masterlist v2'!E:E, "Not found")</f>
        <v>Prashant Gupta, Vraj Solanki</v>
      </c>
      <c r="F79" s="165" t="str">
        <f>_xlfn.XLOOKUP(B79, 'Component Masterlist v2'!B:B, 'Component Masterlist v2'!P:P, "Not found")</f>
        <v>SERV</v>
      </c>
    </row>
    <row r="80" spans="1:6">
      <c r="A80" s="3" t="s">
        <v>54</v>
      </c>
      <c r="B80" s="18" t="s">
        <v>419</v>
      </c>
      <c r="C80" s="37" t="str">
        <f>_xlfn.XLOOKUP(B80, 'Component Masterlist v2'!B:B, 'Component Masterlist v2'!O:O, "Not found")</f>
        <v>Platform</v>
      </c>
      <c r="D80" s="114" t="str">
        <f>_xlfn.XLOOKUP(B80, 'Component Masterlist v2'!B:B, 'Component Masterlist v2'!G:G, "Not found")</f>
        <v>Sanyam Agrawal</v>
      </c>
      <c r="E80" s="112" t="str">
        <f>_xlfn.XLOOKUP(B80, 'Component Masterlist v2'!B:B, 'Component Masterlist v2'!E:E, "Not found")</f>
        <v>Prashant Gupta, Vraj Solanki</v>
      </c>
      <c r="F80" s="165" t="str">
        <f>_xlfn.XLOOKUP(B80, 'Component Masterlist v2'!B:B, 'Component Masterlist v2'!P:P, "Not found")</f>
        <v>SERV</v>
      </c>
    </row>
    <row r="81" spans="1:6">
      <c r="A81" s="3" t="s">
        <v>54</v>
      </c>
      <c r="B81" s="18" t="s">
        <v>421</v>
      </c>
      <c r="C81" s="37" t="str">
        <f>_xlfn.XLOOKUP(B81, 'Component Masterlist v2'!B:B, 'Component Masterlist v2'!O:O, "Not found")</f>
        <v>Platform</v>
      </c>
      <c r="D81" s="114" t="str">
        <f>_xlfn.XLOOKUP(B81, 'Component Masterlist v2'!B:B, 'Component Masterlist v2'!G:G, "Not found")</f>
        <v>Sanyam Agrawal</v>
      </c>
      <c r="E81" s="112" t="str">
        <f>_xlfn.XLOOKUP(B81, 'Component Masterlist v2'!B:B, 'Component Masterlist v2'!E:E, "Not found")</f>
        <v>Prashant Gupta, Vraj Solanki</v>
      </c>
      <c r="F81" s="165" t="str">
        <f>_xlfn.XLOOKUP(B81, 'Component Masterlist v2'!B:B, 'Component Masterlist v2'!P:P, "Not found")</f>
        <v>SERV</v>
      </c>
    </row>
    <row r="82" spans="1:6">
      <c r="A82" s="3" t="s">
        <v>54</v>
      </c>
      <c r="B82" s="18" t="s">
        <v>422</v>
      </c>
      <c r="C82" s="37" t="str">
        <f>_xlfn.XLOOKUP(B82, 'Component Masterlist v2'!B:B, 'Component Masterlist v2'!O:O, "Not found")</f>
        <v>Dealer-Apps</v>
      </c>
      <c r="D82" s="114" t="str">
        <f>_xlfn.XLOOKUP(B82, 'Component Masterlist v2'!B:B, 'Component Masterlist v2'!G:G, "Not found")</f>
        <v>Sanyam Agrawal</v>
      </c>
      <c r="E82" s="112" t="str">
        <f>_xlfn.XLOOKUP(B82, 'Component Masterlist v2'!B:B, 'Component Masterlist v2'!E:E, "Not found")</f>
        <v>Prashant Gupta, Vraj Solanki</v>
      </c>
      <c r="F82" s="165" t="str">
        <f>_xlfn.XLOOKUP(B82, 'Component Masterlist v2'!B:B, 'Component Masterlist v2'!P:P, "Not found")</f>
        <v>SERV</v>
      </c>
    </row>
    <row r="83" spans="1:6">
      <c r="A83" s="3" t="s">
        <v>54</v>
      </c>
      <c r="B83" s="18" t="s">
        <v>425</v>
      </c>
      <c r="C83" s="37" t="str">
        <f>_xlfn.XLOOKUP(B83, 'Component Masterlist v2'!B:B, 'Component Masterlist v2'!O:O, "Not found")</f>
        <v>Consumer</v>
      </c>
      <c r="D83" s="114" t="str">
        <f>_xlfn.XLOOKUP(B83, 'Component Masterlist v2'!B:B, 'Component Masterlist v2'!G:G, "Not found")</f>
        <v>Sanyam Agrawal</v>
      </c>
      <c r="E83" s="112" t="str">
        <f>_xlfn.XLOOKUP(B83, 'Component Masterlist v2'!B:B, 'Component Masterlist v2'!E:E, "Not found")</f>
        <v>Prashant Gupta, Vraj Solanki</v>
      </c>
      <c r="F83" s="165" t="str">
        <f>_xlfn.XLOOKUP(B83, 'Component Masterlist v2'!B:B, 'Component Masterlist v2'!P:P, "Not found")</f>
        <v>SERV</v>
      </c>
    </row>
    <row r="84" spans="1:6">
      <c r="A84" s="3" t="s">
        <v>54</v>
      </c>
      <c r="B84" s="18" t="s">
        <v>428</v>
      </c>
      <c r="C84" s="37" t="str">
        <f>_xlfn.XLOOKUP(B84, 'Component Masterlist v2'!B:B, 'Component Masterlist v2'!O:O, "Not found")</f>
        <v>Platform</v>
      </c>
      <c r="D84" s="114" t="str">
        <f>_xlfn.XLOOKUP(B84, 'Component Masterlist v2'!B:B, 'Component Masterlist v2'!G:G, "Not found")</f>
        <v>Sanyam Agrawal</v>
      </c>
      <c r="E84" s="112" t="str">
        <f>_xlfn.XLOOKUP(B84, 'Component Masterlist v2'!B:B, 'Component Masterlist v2'!E:E, "Not found")</f>
        <v>Prashant Gupta, Vraj Solanki</v>
      </c>
      <c r="F84" s="165" t="str">
        <f>_xlfn.XLOOKUP(B84, 'Component Masterlist v2'!B:B, 'Component Masterlist v2'!P:P, "Not found")</f>
        <v>SERV</v>
      </c>
    </row>
    <row r="85" spans="1:6">
      <c r="A85" s="3" t="s">
        <v>54</v>
      </c>
      <c r="B85" s="18" t="s">
        <v>429</v>
      </c>
      <c r="C85" s="37" t="str">
        <f>_xlfn.XLOOKUP(B85, 'Component Masterlist v2'!B:B, 'Component Masterlist v2'!O:O, "Not found")</f>
        <v>ServiceMobile</v>
      </c>
      <c r="D85" s="114" t="str">
        <f>_xlfn.XLOOKUP(B85, 'Component Masterlist v2'!B:B, 'Component Masterlist v2'!G:G, "Not found")</f>
        <v>Sanyam Agrawal</v>
      </c>
      <c r="E85" s="112" t="str">
        <f>_xlfn.XLOOKUP(B85, 'Component Masterlist v2'!B:B, 'Component Masterlist v2'!E:E, "Not found")</f>
        <v>Prashant Gupta, Vraj Solanki</v>
      </c>
      <c r="F85" s="165" t="str">
        <f>_xlfn.XLOOKUP(B85, 'Component Masterlist v2'!B:B, 'Component Masterlist v2'!P:P, "Not found")</f>
        <v>SERV</v>
      </c>
    </row>
    <row r="86" spans="1:6">
      <c r="A86" s="3" t="s">
        <v>54</v>
      </c>
      <c r="B86" s="18" t="s">
        <v>430</v>
      </c>
      <c r="C86" s="37" t="str">
        <f>_xlfn.XLOOKUP(B86, 'Component Masterlist v2'!B:B, 'Component Masterlist v2'!O:O, "Not found")</f>
        <v>ServiceMobile</v>
      </c>
      <c r="D86" s="114" t="str">
        <f>_xlfn.XLOOKUP(B86, 'Component Masterlist v2'!B:B, 'Component Masterlist v2'!G:G, "Not found")</f>
        <v>Sanyam Agrawal</v>
      </c>
      <c r="E86" s="112" t="str">
        <f>_xlfn.XLOOKUP(B86, 'Component Masterlist v2'!B:B, 'Component Masterlist v2'!E:E, "Not found")</f>
        <v>Prashant Gupta, Vraj Solanki</v>
      </c>
      <c r="F86" s="165" t="str">
        <f>_xlfn.XLOOKUP(B86, 'Component Masterlist v2'!B:B, 'Component Masterlist v2'!P:P, "Not found")</f>
        <v>SERV</v>
      </c>
    </row>
    <row r="87" spans="1:6">
      <c r="A87" s="3" t="s">
        <v>54</v>
      </c>
      <c r="B87" s="18" t="s">
        <v>431</v>
      </c>
      <c r="C87" s="37" t="str">
        <f>_xlfn.XLOOKUP(B87, 'Component Masterlist v2'!B:B, 'Component Masterlist v2'!O:O, "Not found")</f>
        <v>ServiceMobile</v>
      </c>
      <c r="D87" s="114" t="str">
        <f>_xlfn.XLOOKUP(B87, 'Component Masterlist v2'!B:B, 'Component Masterlist v2'!G:G, "Not found")</f>
        <v>Sanyam Agrawal</v>
      </c>
      <c r="E87" s="112" t="str">
        <f>_xlfn.XLOOKUP(B87, 'Component Masterlist v2'!B:B, 'Component Masterlist v2'!E:E, "Not found")</f>
        <v>Prashant Gupta, Vraj Solanki</v>
      </c>
      <c r="F87" s="165" t="str">
        <f>_xlfn.XLOOKUP(B87, 'Component Masterlist v2'!B:B, 'Component Masterlist v2'!P:P, "Not found")</f>
        <v>SERV</v>
      </c>
    </row>
    <row r="88" spans="1:6">
      <c r="A88" s="3" t="s">
        <v>54</v>
      </c>
      <c r="B88" s="18" t="s">
        <v>433</v>
      </c>
      <c r="C88" s="37" t="str">
        <f>_xlfn.XLOOKUP(B88, 'Component Masterlist v2'!B:B, 'Component Masterlist v2'!O:O, "Not found")</f>
        <v>ServiceMobile</v>
      </c>
      <c r="D88" s="114" t="str">
        <f>_xlfn.XLOOKUP(B88, 'Component Masterlist v2'!B:B, 'Component Masterlist v2'!G:G, "Not found")</f>
        <v>Sanyam Agrawal</v>
      </c>
      <c r="E88" s="112" t="str">
        <f>_xlfn.XLOOKUP(B88, 'Component Masterlist v2'!B:B, 'Component Masterlist v2'!E:E, "Not found")</f>
        <v>Prashant Gupta, Vraj Solanki</v>
      </c>
      <c r="F88" s="165" t="str">
        <f>_xlfn.XLOOKUP(B88, 'Component Masterlist v2'!B:B, 'Component Masterlist v2'!P:P, "Not found")</f>
        <v>SERV</v>
      </c>
    </row>
    <row r="89" spans="1:6">
      <c r="A89" s="3" t="s">
        <v>54</v>
      </c>
      <c r="B89" s="18" t="s">
        <v>434</v>
      </c>
      <c r="C89" s="37" t="str">
        <f>_xlfn.XLOOKUP(B89, 'Component Masterlist v2'!B:B, 'Component Masterlist v2'!O:O, "Not found")</f>
        <v>Not found</v>
      </c>
      <c r="D89" s="114" t="str">
        <f>_xlfn.XLOOKUP(B89, 'Component Masterlist v2'!B:B, 'Component Masterlist v2'!G:G, "Not found")</f>
        <v>Sanyam Agrawal</v>
      </c>
      <c r="E89" s="112" t="str">
        <f>_xlfn.XLOOKUP(B89, 'Component Masterlist v2'!B:B, 'Component Masterlist v2'!E:E, "Not found")</f>
        <v>Prashant Gupta, Vraj Solanki</v>
      </c>
      <c r="F89" s="165" t="str">
        <f>_xlfn.XLOOKUP(B89, 'Component Masterlist v2'!B:B, 'Component Masterlist v2'!P:P, "Not found")</f>
        <v>SERV</v>
      </c>
    </row>
    <row r="90" spans="1:6">
      <c r="A90" s="3" t="s">
        <v>47</v>
      </c>
      <c r="B90" s="18" t="s">
        <v>435</v>
      </c>
      <c r="C90" s="37" t="str">
        <f>_xlfn.XLOOKUP(B90, 'Component Masterlist v2'!B:B, 'Component Masterlist v2'!O:O, "Not found")</f>
        <v>Inventory Guardians</v>
      </c>
      <c r="D90" s="114" t="str">
        <f>_xlfn.XLOOKUP(B90, 'Component Masterlist v2'!B:B, 'Component Masterlist v2'!G:G, "Not found")</f>
        <v>Sanyam Agrawal</v>
      </c>
      <c r="E90" s="112" t="str">
        <f>_xlfn.XLOOKUP(B90, 'Component Masterlist v2'!B:B, 'Component Masterlist v2'!E:E, "Not found")</f>
        <v>Anirudh Agarwal</v>
      </c>
      <c r="F90" s="165" t="str">
        <f>_xlfn.XLOOKUP(B90, 'Component Masterlist v2'!B:B, 'Component Masterlist v2'!P:P, "Not found")</f>
        <v>PART</v>
      </c>
    </row>
    <row r="91" spans="1:6">
      <c r="A91" s="3" t="s">
        <v>47</v>
      </c>
      <c r="B91" s="18" t="s">
        <v>441</v>
      </c>
      <c r="C91" s="37" t="str">
        <f>_xlfn.XLOOKUP(B91, 'Component Masterlist v2'!B:B, 'Component Masterlist v2'!O:O, "Not found")</f>
        <v>Inventory Guardians</v>
      </c>
      <c r="D91" s="114" t="str">
        <f>_xlfn.XLOOKUP(B91, 'Component Masterlist v2'!B:B, 'Component Masterlist v2'!G:G, "Not found")</f>
        <v>Sanyam Agrawal</v>
      </c>
      <c r="E91" s="112" t="str">
        <f>_xlfn.XLOOKUP(B91, 'Component Masterlist v2'!B:B, 'Component Masterlist v2'!E:E, "Not found")</f>
        <v>Anirudh Agarwal</v>
      </c>
      <c r="F91" s="165" t="str">
        <f>_xlfn.XLOOKUP(B91, 'Component Masterlist v2'!B:B, 'Component Masterlist v2'!P:P, "Not found")</f>
        <v>PART</v>
      </c>
    </row>
    <row r="92" spans="1:6">
      <c r="A92" s="3" t="s">
        <v>47</v>
      </c>
      <c r="B92" s="18" t="s">
        <v>443</v>
      </c>
      <c r="C92" s="37" t="str">
        <f>_xlfn.XLOOKUP(B92, 'Component Masterlist v2'!B:B, 'Component Masterlist v2'!O:O, "Not found")</f>
        <v>Ordering Operators</v>
      </c>
      <c r="D92" s="114" t="str">
        <f>_xlfn.XLOOKUP(B92, 'Component Masterlist v2'!B:B, 'Component Masterlist v2'!G:G, "Not found")</f>
        <v>Sanyam Agrawal</v>
      </c>
      <c r="E92" s="112" t="str">
        <f>_xlfn.XLOOKUP(B92, 'Component Masterlist v2'!B:B, 'Component Masterlist v2'!E:E, "Not found")</f>
        <v>Anirudh Agarwal</v>
      </c>
      <c r="F92" s="165" t="str">
        <f>_xlfn.XLOOKUP(B92, 'Component Masterlist v2'!B:B, 'Component Masterlist v2'!P:P, "Not found")</f>
        <v>PART</v>
      </c>
    </row>
    <row r="93" spans="1:6">
      <c r="A93" s="3" t="s">
        <v>47</v>
      </c>
      <c r="B93" s="18" t="s">
        <v>446</v>
      </c>
      <c r="C93" s="37" t="str">
        <f>_xlfn.XLOOKUP(B93, 'Component Masterlist v2'!B:B, 'Component Masterlist v2'!O:O, "Not found")</f>
        <v>Ordering Operators</v>
      </c>
      <c r="D93" s="114" t="str">
        <f>_xlfn.XLOOKUP(B93, 'Component Masterlist v2'!B:B, 'Component Masterlist v2'!G:G, "Not found")</f>
        <v>Sanyam Agrawal</v>
      </c>
      <c r="E93" s="112" t="str">
        <f>_xlfn.XLOOKUP(B93, 'Component Masterlist v2'!B:B, 'Component Masterlist v2'!E:E, "Not found")</f>
        <v>Anirudh Agarwal</v>
      </c>
      <c r="F93" s="165" t="str">
        <f>_xlfn.XLOOKUP(B93, 'Component Masterlist v2'!B:B, 'Component Masterlist v2'!P:P, "Not found")</f>
        <v>PART</v>
      </c>
    </row>
    <row r="94" spans="1:6">
      <c r="A94" s="3" t="s">
        <v>47</v>
      </c>
      <c r="B94" s="18" t="s">
        <v>448</v>
      </c>
      <c r="C94" s="37" t="str">
        <f>_xlfn.XLOOKUP(B94, 'Component Masterlist v2'!B:B, 'Component Masterlist v2'!O:O, "Not found")</f>
        <v>Sales Order Frontiers</v>
      </c>
      <c r="D94" s="114" t="str">
        <f>_xlfn.XLOOKUP(B94, 'Component Masterlist v2'!B:B, 'Component Masterlist v2'!G:G, "Not found")</f>
        <v>Sanyam Agrawal</v>
      </c>
      <c r="E94" s="112" t="str">
        <f>_xlfn.XLOOKUP(B94, 'Component Masterlist v2'!B:B, 'Component Masterlist v2'!E:E, "Not found")</f>
        <v>Anirudh Agarwal</v>
      </c>
      <c r="F94" s="165" t="str">
        <f>_xlfn.XLOOKUP(B94, 'Component Masterlist v2'!B:B, 'Component Masterlist v2'!P:P, "Not found")</f>
        <v>PART</v>
      </c>
    </row>
    <row r="95" spans="1:6">
      <c r="A95" s="3" t="s">
        <v>47</v>
      </c>
      <c r="B95" s="18" t="s">
        <v>451</v>
      </c>
      <c r="C95" s="37" t="str">
        <f>_xlfn.XLOOKUP(B95, 'Component Masterlist v2'!B:B, 'Component Masterlist v2'!O:O, "Not found")</f>
        <v>Sales Order Frontiers</v>
      </c>
      <c r="D95" s="114" t="str">
        <f>_xlfn.XLOOKUP(B95, 'Component Masterlist v2'!B:B, 'Component Masterlist v2'!G:G, "Not found")</f>
        <v>Sanyam Agrawal</v>
      </c>
      <c r="E95" s="112" t="str">
        <f>_xlfn.XLOOKUP(B95, 'Component Masterlist v2'!B:B, 'Component Masterlist v2'!E:E, "Not found")</f>
        <v>Anirudh Agarwal</v>
      </c>
      <c r="F95" s="165" t="str">
        <f>_xlfn.XLOOKUP(B95, 'Component Masterlist v2'!B:B, 'Component Masterlist v2'!P:P, "Not found")</f>
        <v>PART</v>
      </c>
    </row>
    <row r="96" spans="1:6">
      <c r="A96" s="3" t="s">
        <v>47</v>
      </c>
      <c r="B96" s="18" t="s">
        <v>453</v>
      </c>
      <c r="C96" s="37" t="str">
        <f>_xlfn.XLOOKUP(B96, 'Component Masterlist v2'!B:B, 'Component Masterlist v2'!O:O, "Not found")</f>
        <v>Ordering Operators</v>
      </c>
      <c r="D96" s="114" t="str">
        <f>_xlfn.XLOOKUP(B96, 'Component Masterlist v2'!B:B, 'Component Masterlist v2'!G:G, "Not found")</f>
        <v>Sanyam Agrawal</v>
      </c>
      <c r="E96" s="112" t="str">
        <f>_xlfn.XLOOKUP(B96, 'Component Masterlist v2'!B:B, 'Component Masterlist v2'!E:E, "Not found")</f>
        <v>Anirudh Agarwal</v>
      </c>
      <c r="F96" s="165" t="str">
        <f>_xlfn.XLOOKUP(B96, 'Component Masterlist v2'!B:B, 'Component Masterlist v2'!P:P, "Not found")</f>
        <v>PART</v>
      </c>
    </row>
    <row r="97" spans="1:6">
      <c r="A97" s="3" t="s">
        <v>47</v>
      </c>
      <c r="B97" s="18" t="s">
        <v>454</v>
      </c>
      <c r="C97" s="37" t="str">
        <f>_xlfn.XLOOKUP(B97, 'Component Masterlist v2'!B:B, 'Component Masterlist v2'!O:O, "Not found")</f>
        <v>Repair Order Fulfillers</v>
      </c>
      <c r="D97" s="114" t="str">
        <f>_xlfn.XLOOKUP(B97, 'Component Masterlist v2'!B:B, 'Component Masterlist v2'!G:G, "Not found")</f>
        <v>Sanyam Agrawal</v>
      </c>
      <c r="E97" s="112" t="str">
        <f>_xlfn.XLOOKUP(B97, 'Component Masterlist v2'!B:B, 'Component Masterlist v2'!E:E, "Not found")</f>
        <v>Anirudh Agarwal</v>
      </c>
      <c r="F97" s="165" t="str">
        <f>_xlfn.XLOOKUP(B97, 'Component Masterlist v2'!B:B, 'Component Masterlist v2'!P:P, "Not found")</f>
        <v>PART</v>
      </c>
    </row>
    <row r="98" spans="1:6">
      <c r="A98" s="3" t="s">
        <v>47</v>
      </c>
      <c r="B98" s="18" t="s">
        <v>456</v>
      </c>
      <c r="C98" s="37" t="str">
        <f>_xlfn.XLOOKUP(B98, 'Component Masterlist v2'!B:B, 'Component Masterlist v2'!O:O, "Not found")</f>
        <v>Repair Order Fulfillers</v>
      </c>
      <c r="D98" s="114" t="str">
        <f>_xlfn.XLOOKUP(B98, 'Component Masterlist v2'!B:B, 'Component Masterlist v2'!G:G, "Not found")</f>
        <v>Sanyam Agrawal</v>
      </c>
      <c r="E98" s="112" t="str">
        <f>_xlfn.XLOOKUP(B98, 'Component Masterlist v2'!B:B, 'Component Masterlist v2'!E:E, "Not found")</f>
        <v>Anirudh Agarwal</v>
      </c>
      <c r="F98" s="165" t="str">
        <f>_xlfn.XLOOKUP(B98, 'Component Masterlist v2'!B:B, 'Component Masterlist v2'!P:P, "Not found")</f>
        <v>PART</v>
      </c>
    </row>
    <row r="99" spans="1:6">
      <c r="A99" s="3" t="s">
        <v>47</v>
      </c>
      <c r="B99" s="18" t="s">
        <v>457</v>
      </c>
      <c r="C99" s="37" t="str">
        <f>_xlfn.XLOOKUP(B99, 'Component Masterlist v2'!B:B, 'Component Masterlist v2'!O:O, "Not found")</f>
        <v>Ordering Operators</v>
      </c>
      <c r="D99" s="114" t="str">
        <f>_xlfn.XLOOKUP(B99, 'Component Masterlist v2'!B:B, 'Component Masterlist v2'!G:G, "Not found")</f>
        <v>Sanyam Agrawal</v>
      </c>
      <c r="E99" s="112" t="str">
        <f>_xlfn.XLOOKUP(B99, 'Component Masterlist v2'!B:B, 'Component Masterlist v2'!E:E, "Not found")</f>
        <v>Anirudh Agarwal</v>
      </c>
      <c r="F99" s="165" t="str">
        <f>_xlfn.XLOOKUP(B99, 'Component Masterlist v2'!B:B, 'Component Masterlist v2'!P:P, "Not found")</f>
        <v>PART</v>
      </c>
    </row>
    <row r="100" spans="1:6">
      <c r="A100" s="3" t="s">
        <v>47</v>
      </c>
      <c r="B100" s="18" t="s">
        <v>458</v>
      </c>
      <c r="C100" s="37" t="str">
        <f>_xlfn.XLOOKUP(B100, 'Component Masterlist v2'!B:B, 'Component Masterlist v2'!O:O, "Not found")</f>
        <v>Ordering Operators</v>
      </c>
      <c r="D100" s="114" t="str">
        <f>_xlfn.XLOOKUP(B100, 'Component Masterlist v2'!B:B, 'Component Masterlist v2'!G:G, "Not found")</f>
        <v>Sanyam Agrawal</v>
      </c>
      <c r="E100" s="112" t="str">
        <f>_xlfn.XLOOKUP(B100, 'Component Masterlist v2'!B:B, 'Component Masterlist v2'!E:E, "Not found")</f>
        <v>Anirudh Agarwal</v>
      </c>
      <c r="F100" s="165" t="str">
        <f>_xlfn.XLOOKUP(B100, 'Component Masterlist v2'!B:B, 'Component Masterlist v2'!P:P, "Not found")</f>
        <v>PART</v>
      </c>
    </row>
    <row r="101" spans="1:6">
      <c r="A101" s="3" t="s">
        <v>47</v>
      </c>
      <c r="B101" s="18" t="s">
        <v>459</v>
      </c>
      <c r="C101" s="37" t="str">
        <f>_xlfn.XLOOKUP(B101, 'Component Masterlist v2'!B:B, 'Component Masterlist v2'!O:O, "Not found")</f>
        <v>Integrations Connectors</v>
      </c>
      <c r="D101" s="114" t="str">
        <f>_xlfn.XLOOKUP(B101, 'Component Masterlist v2'!B:B, 'Component Masterlist v2'!G:G, "Not found")</f>
        <v>Sanyam Agrawal</v>
      </c>
      <c r="E101" s="112" t="str">
        <f>_xlfn.XLOOKUP(B101, 'Component Masterlist v2'!B:B, 'Component Masterlist v2'!E:E, "Not found")</f>
        <v>Anirudh Agarwal</v>
      </c>
      <c r="F101" s="165" t="str">
        <f>_xlfn.XLOOKUP(B101, 'Component Masterlist v2'!B:B, 'Component Masterlist v2'!P:P, "Not found")</f>
        <v>PART</v>
      </c>
    </row>
    <row r="102" spans="1:6">
      <c r="A102" s="3" t="s">
        <v>47</v>
      </c>
      <c r="B102" s="18" t="s">
        <v>461</v>
      </c>
      <c r="C102" s="37" t="str">
        <f>_xlfn.XLOOKUP(B102, 'Component Masterlist v2'!B:B, 'Component Masterlist v2'!O:O, "Not found")</f>
        <v>Inventory Guardians</v>
      </c>
      <c r="D102" s="114" t="str">
        <f>_xlfn.XLOOKUP(B102, 'Component Masterlist v2'!B:B, 'Component Masterlist v2'!G:G, "Not found")</f>
        <v>Sanyam Agrawal</v>
      </c>
      <c r="E102" s="112" t="str">
        <f>_xlfn.XLOOKUP(B102, 'Component Masterlist v2'!B:B, 'Component Masterlist v2'!E:E, "Not found")</f>
        <v>Anirudh Agarwal</v>
      </c>
      <c r="F102" s="165" t="str">
        <f>_xlfn.XLOOKUP(B102, 'Component Masterlist v2'!B:B, 'Component Masterlist v2'!P:P, "Not found")</f>
        <v>PART</v>
      </c>
    </row>
    <row r="103" spans="1:6">
      <c r="A103" s="3" t="s">
        <v>47</v>
      </c>
      <c r="B103" s="22" t="s">
        <v>463</v>
      </c>
      <c r="C103" s="37" t="str">
        <f>_xlfn.XLOOKUP(B103, 'Component Masterlist v2'!B:B, 'Component Masterlist v2'!O:O, "Not found")</f>
        <v>Integrations Connectors</v>
      </c>
      <c r="D103" s="114" t="str">
        <f>_xlfn.XLOOKUP(B103, 'Component Masterlist v2'!B:B, 'Component Masterlist v2'!G:G, "Not found")</f>
        <v>Sanyam Agrawal</v>
      </c>
      <c r="E103" s="112" t="str">
        <f>_xlfn.XLOOKUP(B103, 'Component Masterlist v2'!B:B, 'Component Masterlist v2'!E:E, "Not found")</f>
        <v>Anirudh Agarwal</v>
      </c>
      <c r="F103" s="165" t="str">
        <f>_xlfn.XLOOKUP(B103, 'Component Masterlist v2'!B:B, 'Component Masterlist v2'!P:P, "Not found")</f>
        <v>PART</v>
      </c>
    </row>
    <row r="104" spans="1:6">
      <c r="A104" s="3" t="s">
        <v>47</v>
      </c>
      <c r="B104" s="22" t="s">
        <v>464</v>
      </c>
      <c r="C104" s="37" t="str">
        <f>_xlfn.XLOOKUP(B104, 'Component Masterlist v2'!B:B, 'Component Masterlist v2'!O:O, "Not found")</f>
        <v>Integrations Connectors</v>
      </c>
      <c r="D104" s="114" t="str">
        <f>_xlfn.XLOOKUP(B104, 'Component Masterlist v2'!B:B, 'Component Masterlist v2'!G:G, "Not found")</f>
        <v>Sanyam Agrawal</v>
      </c>
      <c r="E104" s="112" t="str">
        <f>_xlfn.XLOOKUP(B104, 'Component Masterlist v2'!B:B, 'Component Masterlist v2'!E:E, "Not found")</f>
        <v>Anirudh Agarwal</v>
      </c>
      <c r="F104" s="165" t="str">
        <f>_xlfn.XLOOKUP(B104, 'Component Masterlist v2'!B:B, 'Component Masterlist v2'!P:P, "Not found")</f>
        <v>PART</v>
      </c>
    </row>
    <row r="105" spans="1:6">
      <c r="A105" s="3" t="s">
        <v>47</v>
      </c>
      <c r="B105" s="18" t="s">
        <v>465</v>
      </c>
      <c r="C105" s="37" t="str">
        <f>_xlfn.XLOOKUP(B105, 'Component Masterlist v2'!B:B, 'Component Masterlist v2'!O:O, "Not found")</f>
        <v>Integrations Connectors</v>
      </c>
      <c r="D105" s="114" t="str">
        <f>_xlfn.XLOOKUP(B105, 'Component Masterlist v2'!B:B, 'Component Masterlist v2'!G:G, "Not found")</f>
        <v>Sanyam Agrawal</v>
      </c>
      <c r="E105" s="112" t="str">
        <f>_xlfn.XLOOKUP(B105, 'Component Masterlist v2'!B:B, 'Component Masterlist v2'!E:E, "Not found")</f>
        <v>Anirudh Agarwal</v>
      </c>
      <c r="F105" s="165" t="str">
        <f>_xlfn.XLOOKUP(B105, 'Component Masterlist v2'!B:B, 'Component Masterlist v2'!P:P, "Not found")</f>
        <v>PART</v>
      </c>
    </row>
    <row r="106" spans="1:6">
      <c r="A106" s="3" t="s">
        <v>47</v>
      </c>
      <c r="B106" s="18" t="s">
        <v>466</v>
      </c>
      <c r="C106" s="37" t="str">
        <f>_xlfn.XLOOKUP(B106, 'Component Masterlist v2'!B:B, 'Component Masterlist v2'!O:O, "Not found")</f>
        <v>Integrations Connectors</v>
      </c>
      <c r="D106" s="114" t="str">
        <f>_xlfn.XLOOKUP(B106, 'Component Masterlist v2'!B:B, 'Component Masterlist v2'!G:G, "Not found")</f>
        <v>Sanyam Agrawal</v>
      </c>
      <c r="E106" s="112" t="str">
        <f>_xlfn.XLOOKUP(B106, 'Component Masterlist v2'!B:B, 'Component Masterlist v2'!E:E, "Not found")</f>
        <v>Anirudh Agarwal</v>
      </c>
      <c r="F106" s="165" t="str">
        <f>_xlfn.XLOOKUP(B106, 'Component Masterlist v2'!B:B, 'Component Masterlist v2'!P:P, "Not found")</f>
        <v>PART</v>
      </c>
    </row>
    <row r="107" spans="1:6">
      <c r="A107" s="3" t="s">
        <v>47</v>
      </c>
      <c r="B107" s="18" t="s">
        <v>467</v>
      </c>
      <c r="C107" s="37" t="str">
        <f>_xlfn.XLOOKUP(B107, 'Component Masterlist v2'!B:B, 'Component Masterlist v2'!O:O, "Not found")</f>
        <v>Platform Optimizers</v>
      </c>
      <c r="D107" s="114" t="str">
        <f>_xlfn.XLOOKUP(B107, 'Component Masterlist v2'!B:B, 'Component Masterlist v2'!G:G, "Not found")</f>
        <v>Sanyam Agrawal</v>
      </c>
      <c r="E107" s="112" t="str">
        <f>_xlfn.XLOOKUP(B107, 'Component Masterlist v2'!B:B, 'Component Masterlist v2'!E:E, "Not found")</f>
        <v>Anirudh Agarwal</v>
      </c>
      <c r="F107" s="165" t="str">
        <f>_xlfn.XLOOKUP(B107, 'Component Masterlist v2'!B:B, 'Component Masterlist v2'!P:P, "Not found")</f>
        <v>PART</v>
      </c>
    </row>
    <row r="108" spans="1:6">
      <c r="A108" s="3" t="s">
        <v>47</v>
      </c>
      <c r="B108" s="18" t="s">
        <v>468</v>
      </c>
      <c r="C108" s="37" t="str">
        <f>_xlfn.XLOOKUP(B108, 'Component Masterlist v2'!B:B, 'Component Masterlist v2'!O:O, "Not found")</f>
        <v>Platform Optimizers</v>
      </c>
      <c r="D108" s="114" t="str">
        <f>_xlfn.XLOOKUP(B108, 'Component Masterlist v2'!B:B, 'Component Masterlist v2'!G:G, "Not found")</f>
        <v>Sanyam Agrawal</v>
      </c>
      <c r="E108" s="112" t="str">
        <f>_xlfn.XLOOKUP(B108, 'Component Masterlist v2'!B:B, 'Component Masterlist v2'!E:E, "Not found")</f>
        <v>Anirudh Agarwal</v>
      </c>
      <c r="F108" s="165" t="str">
        <f>_xlfn.XLOOKUP(B108, 'Component Masterlist v2'!B:B, 'Component Masterlist v2'!P:P, "Not found")</f>
        <v>PART</v>
      </c>
    </row>
    <row r="109" spans="1:6">
      <c r="A109" s="3" t="s">
        <v>47</v>
      </c>
      <c r="B109" s="18" t="s">
        <v>469</v>
      </c>
      <c r="C109" s="37" t="str">
        <f>_xlfn.XLOOKUP(B109, 'Component Masterlist v2'!B:B, 'Component Masterlist v2'!O:O, "Not found")</f>
        <v>Data Dynamos</v>
      </c>
      <c r="D109" s="114" t="str">
        <f>_xlfn.XLOOKUP(B109, 'Component Masterlist v2'!B:B, 'Component Masterlist v2'!G:G, "Not found")</f>
        <v>Sanyam Agrawal</v>
      </c>
      <c r="E109" s="112" t="str">
        <f>_xlfn.XLOOKUP(B109, 'Component Masterlist v2'!B:B, 'Component Masterlist v2'!E:E, "Not found")</f>
        <v>Anirudh Agarwal</v>
      </c>
      <c r="F109" s="165" t="str">
        <f>_xlfn.XLOOKUP(B109, 'Component Masterlist v2'!B:B, 'Component Masterlist v2'!P:P, "Not found")</f>
        <v>PART</v>
      </c>
    </row>
    <row r="110" spans="1:6">
      <c r="A110" s="3" t="s">
        <v>47</v>
      </c>
      <c r="B110" s="18" t="s">
        <v>470</v>
      </c>
      <c r="C110" s="37" t="str">
        <f>_xlfn.XLOOKUP(B110, 'Component Masterlist v2'!B:B, 'Component Masterlist v2'!O:O, "Not found")</f>
        <v>Data Dynamos</v>
      </c>
      <c r="D110" s="114" t="str">
        <f>_xlfn.XLOOKUP(B110, 'Component Masterlist v2'!B:B, 'Component Masterlist v2'!G:G, "Not found")</f>
        <v>Sanyam Agrawal</v>
      </c>
      <c r="E110" s="112" t="str">
        <f>_xlfn.XLOOKUP(B110, 'Component Masterlist v2'!B:B, 'Component Masterlist v2'!E:E, "Not found")</f>
        <v>Anirudh Agarwal</v>
      </c>
      <c r="F110" s="165" t="str">
        <f>_xlfn.XLOOKUP(B110, 'Component Masterlist v2'!B:B, 'Component Masterlist v2'!P:P, "Not found")</f>
        <v>PART</v>
      </c>
    </row>
    <row r="111" spans="1:6">
      <c r="A111" s="3" t="s">
        <v>45</v>
      </c>
      <c r="B111" s="18" t="s">
        <v>471</v>
      </c>
      <c r="C111" s="37" t="str">
        <f>_xlfn.XLOOKUP(B111, 'Component Masterlist v2'!B:B, 'Component Masterlist v2'!O:O, "Not found")</f>
        <v>Gryffindor</v>
      </c>
      <c r="D111" s="114" t="str">
        <f>_xlfn.XLOOKUP(B111, 'Component Masterlist v2'!B:B, 'Component Masterlist v2'!G:G, "Not found")</f>
        <v>Sanyam Agrawal</v>
      </c>
      <c r="E111" s="112" t="str">
        <f>_xlfn.XLOOKUP(B111, 'Component Masterlist v2'!B:B, 'Component Masterlist v2'!E:E, "Not found")</f>
        <v>Ambuj Mehra</v>
      </c>
      <c r="F111" s="165" t="str">
        <f>_xlfn.XLOOKUP(B111, 'Component Masterlist v2'!B:B, 'Component Masterlist v2'!P:P, "Not found")</f>
        <v>PYTK</v>
      </c>
    </row>
    <row r="112" spans="1:6">
      <c r="A112" s="3" t="s">
        <v>45</v>
      </c>
      <c r="B112" s="18" t="s">
        <v>474</v>
      </c>
      <c r="C112" s="37" t="str">
        <f>_xlfn.XLOOKUP(B112, 'Component Masterlist v2'!B:B, 'Component Masterlist v2'!O:O, "Not found")</f>
        <v>Ravenclaw</v>
      </c>
      <c r="D112" s="114" t="str">
        <f>_xlfn.XLOOKUP(B112, 'Component Masterlist v2'!B:B, 'Component Masterlist v2'!G:G, "Not found")</f>
        <v>Sanyam Agrawal</v>
      </c>
      <c r="E112" s="112" t="str">
        <f>_xlfn.XLOOKUP(B112, 'Component Masterlist v2'!B:B, 'Component Masterlist v2'!E:E, "Not found")</f>
        <v>Ambuj Mehra</v>
      </c>
      <c r="F112" s="165" t="str">
        <f>_xlfn.XLOOKUP(B112, 'Component Masterlist v2'!B:B, 'Component Masterlist v2'!P:P, "Not found")</f>
        <v>PYTK</v>
      </c>
    </row>
    <row r="113" spans="1:6">
      <c r="A113" s="3" t="s">
        <v>28</v>
      </c>
      <c r="B113" s="18" t="s">
        <v>477</v>
      </c>
      <c r="C113" s="37" t="str">
        <f>_xlfn.XLOOKUP(B113, 'Component Masterlist v2'!B:B, 'Component Masterlist v2'!O:O, "Not found")</f>
        <v>HP-Registries_and_Config_Stores</v>
      </c>
      <c r="D113" s="114" t="str">
        <f>_xlfn.XLOOKUP(B113, 'Component Masterlist v2'!B:B, 'Component Masterlist v2'!G:G, "Not found")</f>
        <v>Raghu Edalur</v>
      </c>
      <c r="E113" s="112" t="str">
        <f>_xlfn.XLOOKUP(B113, 'Component Masterlist v2'!B:B, 'Component Masterlist v2'!E:E, "Not found")</f>
        <v>Parul Jain</v>
      </c>
      <c r="F113" s="165" t="str">
        <f>_xlfn.XLOOKUP(B113, 'Component Masterlist v2'!B:B, 'Component Masterlist v2'!P:P, "Not found")</f>
        <v>HPLT</v>
      </c>
    </row>
    <row r="114" spans="1:6">
      <c r="A114" s="3" t="s">
        <v>28</v>
      </c>
      <c r="B114" s="18" t="s">
        <v>482</v>
      </c>
      <c r="C114" s="37" t="str">
        <f>_xlfn.XLOOKUP(B114, 'Component Masterlist v2'!B:B, 'Component Masterlist v2'!O:O, "Not found")</f>
        <v>HP-Routing_and_Reliability</v>
      </c>
      <c r="D114" s="114" t="str">
        <f>_xlfn.XLOOKUP(B114, 'Component Masterlist v2'!B:B, 'Component Masterlist v2'!G:G, "Not found")</f>
        <v>Raghu Edalur</v>
      </c>
      <c r="E114" s="112" t="str">
        <f>_xlfn.XLOOKUP(B114, 'Component Masterlist v2'!B:B, 'Component Masterlist v2'!E:E, "Not found")</f>
        <v>Parul Jain</v>
      </c>
      <c r="F114" s="165" t="str">
        <f>_xlfn.XLOOKUP(B114, 'Component Masterlist v2'!B:B, 'Component Masterlist v2'!P:P, "Not found")</f>
        <v>HPLT</v>
      </c>
    </row>
    <row r="115" spans="1:6">
      <c r="A115" s="3" t="s">
        <v>28</v>
      </c>
      <c r="B115" s="18" t="s">
        <v>483</v>
      </c>
      <c r="C115" s="37" t="str">
        <f>_xlfn.XLOOKUP(B115, 'Component Masterlist v2'!B:B, 'Component Masterlist v2'!O:O, "Not found")</f>
        <v>HP-Utilities</v>
      </c>
      <c r="D115" s="114" t="str">
        <f>_xlfn.XLOOKUP(B115, 'Component Masterlist v2'!B:B, 'Component Masterlist v2'!G:G, "Not found")</f>
        <v>Raghu Edalur</v>
      </c>
      <c r="E115" s="112" t="str">
        <f>_xlfn.XLOOKUP(B115, 'Component Masterlist v2'!B:B, 'Component Masterlist v2'!E:E, "Not found")</f>
        <v>Parul Jain</v>
      </c>
      <c r="F115" s="165" t="str">
        <f>_xlfn.XLOOKUP(B115, 'Component Masterlist v2'!B:B, 'Component Masterlist v2'!P:P, "Not found")</f>
        <v>HPLT</v>
      </c>
    </row>
    <row r="116" spans="1:6">
      <c r="A116" s="3" t="s">
        <v>28</v>
      </c>
      <c r="B116" s="18" t="s">
        <v>484</v>
      </c>
      <c r="C116" s="37" t="str">
        <f>_xlfn.XLOOKUP(B116, 'Component Masterlist v2'!B:B, 'Component Masterlist v2'!O:O, "Not found")</f>
        <v>HP-Technologies_and_RnD</v>
      </c>
      <c r="D116" s="114" t="str">
        <f>_xlfn.XLOOKUP(B116, 'Component Masterlist v2'!B:B, 'Component Masterlist v2'!G:G, "Not found")</f>
        <v>Raghu Edalur</v>
      </c>
      <c r="E116" s="112" t="str">
        <f>_xlfn.XLOOKUP(B116, 'Component Masterlist v2'!B:B, 'Component Masterlist v2'!E:E, "Not found")</f>
        <v>Parul Jain</v>
      </c>
      <c r="F116" s="165" t="str">
        <f>_xlfn.XLOOKUP(B116, 'Component Masterlist v2'!B:B, 'Component Masterlist v2'!P:P, "Not found")</f>
        <v>HPLT</v>
      </c>
    </row>
    <row r="117" spans="1:6">
      <c r="A117" s="3" t="s">
        <v>28</v>
      </c>
      <c r="B117" s="18" t="s">
        <v>485</v>
      </c>
      <c r="C117" s="37" t="str">
        <f>_xlfn.XLOOKUP(B117, 'Component Masterlist v2'!B:B, 'Component Masterlist v2'!O:O, "Not found")</f>
        <v>HP-Central_Setups</v>
      </c>
      <c r="D117" s="114" t="str">
        <f>_xlfn.XLOOKUP(B117, 'Component Masterlist v2'!B:B, 'Component Masterlist v2'!G:G, "Not found")</f>
        <v>Raghu Edalur</v>
      </c>
      <c r="E117" s="112" t="str">
        <f>_xlfn.XLOOKUP(B117, 'Component Masterlist v2'!B:B, 'Component Masterlist v2'!E:E, "Not found")</f>
        <v>Parul Jain</v>
      </c>
      <c r="F117" s="165" t="str">
        <f>_xlfn.XLOOKUP(B117, 'Component Masterlist v2'!B:B, 'Component Masterlist v2'!P:P, "Not found")</f>
        <v>HPLT</v>
      </c>
    </row>
    <row r="118" spans="1:6">
      <c r="A118" s="3" t="s">
        <v>28</v>
      </c>
      <c r="B118" s="18" t="s">
        <v>488</v>
      </c>
      <c r="C118" s="37" t="str">
        <f>_xlfn.XLOOKUP(B118, 'Component Masterlist v2'!B:B, 'Component Masterlist v2'!O:O, "Not found")</f>
        <v>HP-Data_and_Content_Mgmt</v>
      </c>
      <c r="D118" s="114" t="str">
        <f>_xlfn.XLOOKUP(B118, 'Component Masterlist v2'!B:B, 'Component Masterlist v2'!G:G, "Not found")</f>
        <v>Raghu Edalur</v>
      </c>
      <c r="E118" s="112" t="str">
        <f>_xlfn.XLOOKUP(B118, 'Component Masterlist v2'!B:B, 'Component Masterlist v2'!E:E, "Not found")</f>
        <v>Parul Jain</v>
      </c>
      <c r="F118" s="165" t="str">
        <f>_xlfn.XLOOKUP(B118, 'Component Masterlist v2'!B:B, 'Component Masterlist v2'!P:P, "Not found")</f>
        <v>HPLT</v>
      </c>
    </row>
    <row r="119" spans="1:6">
      <c r="A119" s="3" t="s">
        <v>28</v>
      </c>
      <c r="B119" s="18" t="s">
        <v>489</v>
      </c>
      <c r="C119" s="37" t="str">
        <f>_xlfn.XLOOKUP(B119, 'Component Masterlist v2'!B:B, 'Component Masterlist v2'!O:O, "Not found")</f>
        <v>HP-Presentation_Centric_Platforms</v>
      </c>
      <c r="D119" s="114" t="str">
        <f>_xlfn.XLOOKUP(B119, 'Component Masterlist v2'!B:B, 'Component Masterlist v2'!G:G, "Not found")</f>
        <v>Raghu Edalur</v>
      </c>
      <c r="E119" s="112" t="str">
        <f>_xlfn.XLOOKUP(B119, 'Component Masterlist v2'!B:B, 'Component Masterlist v2'!E:E, "Not found")</f>
        <v>Parul Jain</v>
      </c>
      <c r="F119" s="165" t="str">
        <f>_xlfn.XLOOKUP(B119, 'Component Masterlist v2'!B:B, 'Component Masterlist v2'!P:P, "Not found")</f>
        <v>HPLT</v>
      </c>
    </row>
    <row r="120" spans="1:6">
      <c r="A120" s="3" t="s">
        <v>28</v>
      </c>
      <c r="B120" s="18" t="s">
        <v>490</v>
      </c>
      <c r="C120" s="37" t="str">
        <f>_xlfn.XLOOKUP(B120, 'Component Masterlist v2'!B:B, 'Component Masterlist v2'!O:O, "Not found")</f>
        <v>HP-Interaction_Platforms</v>
      </c>
      <c r="D120" s="114" t="str">
        <f>_xlfn.XLOOKUP(B120, 'Component Masterlist v2'!B:B, 'Component Masterlist v2'!G:G, "Not found")</f>
        <v>Raghu Edalur</v>
      </c>
      <c r="E120" s="112" t="str">
        <f>_xlfn.XLOOKUP(B120, 'Component Masterlist v2'!B:B, 'Component Masterlist v2'!E:E, "Not found")</f>
        <v>Parul Jain</v>
      </c>
      <c r="F120" s="165" t="str">
        <f>_xlfn.XLOOKUP(B120, 'Component Masterlist v2'!B:B, 'Component Masterlist v2'!P:P, "Not found")</f>
        <v>HPLT</v>
      </c>
    </row>
    <row r="121" spans="1:6">
      <c r="A121" s="3" t="s">
        <v>28</v>
      </c>
      <c r="B121" s="18" t="s">
        <v>491</v>
      </c>
      <c r="C121" s="37" t="str">
        <f>_xlfn.XLOOKUP(B121, 'Component Masterlist v2'!B:B, 'Component Masterlist v2'!O:O, "Not found")</f>
        <v>HP-Persistence</v>
      </c>
      <c r="D121" s="114" t="str">
        <f>_xlfn.XLOOKUP(B121, 'Component Masterlist v2'!B:B, 'Component Masterlist v2'!G:G, "Not found")</f>
        <v>Raghu Edalur</v>
      </c>
      <c r="E121" s="112" t="str">
        <f>_xlfn.XLOOKUP(B121, 'Component Masterlist v2'!B:B, 'Component Masterlist v2'!E:E, "Not found")</f>
        <v>Parul Jain</v>
      </c>
      <c r="F121" s="165" t="str">
        <f>_xlfn.XLOOKUP(B121, 'Component Masterlist v2'!B:B, 'Component Masterlist v2'!P:P, "Not found")</f>
        <v>HPLT</v>
      </c>
    </row>
    <row r="122" spans="1:6">
      <c r="A122" s="3" t="s">
        <v>28</v>
      </c>
      <c r="B122" s="18" t="s">
        <v>494</v>
      </c>
      <c r="C122" s="37" t="str">
        <f>_xlfn.XLOOKUP(B122, 'Component Masterlist v2'!B:B, 'Component Masterlist v2'!O:O, "Not found")</f>
        <v>HP-Caching_and_Messaging</v>
      </c>
      <c r="D122" s="114" t="str">
        <f>_xlfn.XLOOKUP(B122, 'Component Masterlist v2'!B:B, 'Component Masterlist v2'!G:G, "Not found")</f>
        <v>Raghu Edalur</v>
      </c>
      <c r="E122" s="112" t="str">
        <f>_xlfn.XLOOKUP(B122, 'Component Masterlist v2'!B:B, 'Component Masterlist v2'!E:E, "Not found")</f>
        <v>Parul Jain</v>
      </c>
      <c r="F122" s="165" t="str">
        <f>_xlfn.XLOOKUP(B122, 'Component Masterlist v2'!B:B, 'Component Masterlist v2'!P:P, "Not found")</f>
        <v>HPLT</v>
      </c>
    </row>
    <row r="123" spans="1:6">
      <c r="A123" s="3" t="s">
        <v>28</v>
      </c>
      <c r="B123" s="18" t="s">
        <v>496</v>
      </c>
      <c r="C123" s="37" t="str">
        <f>_xlfn.XLOOKUP(B123, 'Component Masterlist v2'!B:B, 'Component Masterlist v2'!O:O, "Not found")</f>
        <v>HP-UI_Platforms</v>
      </c>
      <c r="D123" s="114" t="str">
        <f>_xlfn.XLOOKUP(B123, 'Component Masterlist v2'!B:B, 'Component Masterlist v2'!G:G, "Not found")</f>
        <v>Raghu Edalur</v>
      </c>
      <c r="E123" s="112" t="str">
        <f>_xlfn.XLOOKUP(B123, 'Component Masterlist v2'!B:B, 'Component Masterlist v2'!E:E, "Not found")</f>
        <v>Parul Jain</v>
      </c>
      <c r="F123" s="165" t="str">
        <f>_xlfn.XLOOKUP(B123, 'Component Masterlist v2'!B:B, 'Component Masterlist v2'!P:P, "Not found")</f>
        <v>HPLT</v>
      </c>
    </row>
    <row r="124" spans="1:6">
      <c r="A124" s="3" t="s">
        <v>28</v>
      </c>
      <c r="B124" s="18" t="s">
        <v>499</v>
      </c>
      <c r="C124" s="37" t="str">
        <f>_xlfn.XLOOKUP(B124, 'Component Masterlist v2'!B:B, 'Component Masterlist v2'!O:O, "Not found")</f>
        <v>HP-AI_Native</v>
      </c>
      <c r="D124" s="114" t="str">
        <f>_xlfn.XLOOKUP(B124, 'Component Masterlist v2'!B:B, 'Component Masterlist v2'!G:G, "Not found")</f>
        <v>Raghu Edalur</v>
      </c>
      <c r="E124" s="112" t="str">
        <f>_xlfn.XLOOKUP(B124, 'Component Masterlist v2'!B:B, 'Component Masterlist v2'!E:E, "Not found")</f>
        <v>Parul Jain</v>
      </c>
      <c r="F124" s="165" t="str">
        <f>_xlfn.XLOOKUP(B124, 'Component Masterlist v2'!B:B, 'Component Masterlist v2'!P:P, "Not found")</f>
        <v>HPLT</v>
      </c>
    </row>
    <row r="125" spans="1:6">
      <c r="A125" s="3" t="s">
        <v>96</v>
      </c>
      <c r="B125" s="18" t="s">
        <v>96</v>
      </c>
      <c r="C125" s="37" t="str">
        <f>_xlfn.XLOOKUP(B125, 'Component Masterlist v2'!B:B, 'Component Masterlist v2'!O:O, "Not found")</f>
        <v>Not found</v>
      </c>
      <c r="D125" s="114" t="str">
        <f>_xlfn.XLOOKUP(B125, 'Component Masterlist v2'!B:B, 'Component Masterlist v2'!G:G, "Not found")</f>
        <v>Viraj Patel</v>
      </c>
      <c r="E125" s="112" t="str">
        <f>_xlfn.XLOOKUP(B125, 'Component Masterlist v2'!B:B, 'Component Masterlist v2'!E:E, "Not found")</f>
        <v>Saurabh Goyal</v>
      </c>
      <c r="F125" s="165">
        <f>_xlfn.XLOOKUP(B125, 'Component Masterlist v2'!B:B, 'Component Masterlist v2'!P:P, "Not found")</f>
        <v>0</v>
      </c>
    </row>
    <row r="126" spans="1:6">
      <c r="A126" s="3" t="s">
        <v>11</v>
      </c>
      <c r="B126" s="22" t="s">
        <v>502</v>
      </c>
      <c r="C126" s="37" t="str">
        <f>_xlfn.XLOOKUP(B126, 'Component Masterlist v2'!B:B, 'Component Masterlist v2'!O:O, "Not found")</f>
        <v>IEX</v>
      </c>
      <c r="D126" s="114" t="str">
        <f>_xlfn.XLOOKUP(B126, 'Component Masterlist v2'!B:B, 'Component Masterlist v2'!G:G, "Not found")</f>
        <v>Keith Wiseman</v>
      </c>
      <c r="E126" s="112" t="str">
        <f>_xlfn.XLOOKUP(B126, 'Component Masterlist v2'!B:B, 'Component Masterlist v2'!E:E, "Not found")</f>
        <v>Vaibhav Saini</v>
      </c>
      <c r="F126" s="165" t="str">
        <f>_xlfn.XLOOKUP(B126, 'Component Masterlist v2'!B:B, 'Component Masterlist v2'!P:P, "Not found")</f>
        <v>APC</v>
      </c>
    </row>
    <row r="127" spans="1:6">
      <c r="A127" s="3" t="s">
        <v>11</v>
      </c>
      <c r="B127" s="22" t="s">
        <v>506</v>
      </c>
      <c r="C127" s="37" t="str">
        <f>_xlfn.XLOOKUP(B127, 'Component Masterlist v2'!B:B, 'Component Masterlist v2'!O:O, "Not found")</f>
        <v>Cortex</v>
      </c>
      <c r="D127" s="114" t="str">
        <f>_xlfn.XLOOKUP(B127, 'Component Masterlist v2'!B:B, 'Component Masterlist v2'!G:G, "Not found")</f>
        <v>Keith Wiseman</v>
      </c>
      <c r="E127" s="112" t="str">
        <f>_xlfn.XLOOKUP(B127, 'Component Masterlist v2'!B:B, 'Component Masterlist v2'!E:E, "Not found")</f>
        <v>Vaibhav Saini</v>
      </c>
      <c r="F127" s="165" t="str">
        <f>_xlfn.XLOOKUP(B127, 'Component Masterlist v2'!B:B, 'Component Masterlist v2'!P:P, "Not found")</f>
        <v>APC</v>
      </c>
    </row>
    <row r="128" spans="1:6">
      <c r="A128" s="3" t="s">
        <v>11</v>
      </c>
      <c r="B128" s="22" t="s">
        <v>507</v>
      </c>
      <c r="C128" s="37" t="str">
        <f>_xlfn.XLOOKUP(B128, 'Component Masterlist v2'!B:B, 'Component Masterlist v2'!O:O, "Not found")</f>
        <v>PEX</v>
      </c>
      <c r="D128" s="114" t="str">
        <f>_xlfn.XLOOKUP(B128, 'Component Masterlist v2'!B:B, 'Component Masterlist v2'!G:G, "Not found")</f>
        <v>Keith Wiseman</v>
      </c>
      <c r="E128" s="112" t="str">
        <f>_xlfn.XLOOKUP(B128, 'Component Masterlist v2'!B:B, 'Component Masterlist v2'!E:E, "Not found")</f>
        <v>Vaibhav Saini</v>
      </c>
      <c r="F128" s="165" t="str">
        <f>_xlfn.XLOOKUP(B128, 'Component Masterlist v2'!B:B, 'Component Masterlist v2'!P:P, "Not found")</f>
        <v>APC</v>
      </c>
    </row>
    <row r="129" spans="1:6">
      <c r="A129" s="3" t="s">
        <v>65</v>
      </c>
      <c r="B129" s="22" t="s">
        <v>508</v>
      </c>
      <c r="C129" s="37" t="str">
        <f>_xlfn.XLOOKUP(B129, 'Component Masterlist v2'!B:B, 'Component Masterlist v2'!O:O, "Not found")</f>
        <v>Data Platform</v>
      </c>
      <c r="D129" s="114" t="str">
        <f>_xlfn.XLOOKUP(B129, 'Component Masterlist v2'!B:B, 'Component Masterlist v2'!G:G, "Not found")</f>
        <v>Satish Sallakonda</v>
      </c>
      <c r="E129" s="112" t="str">
        <f>_xlfn.XLOOKUP(B129, 'Component Masterlist v2'!B:B, 'Component Masterlist v2'!E:E, "Not found")</f>
        <v>Ajay Rao</v>
      </c>
      <c r="F129" s="165" t="str">
        <f>_xlfn.XLOOKUP(B129, 'Component Masterlist v2'!B:B, 'Component Masterlist v2'!P:P, "Not found")</f>
        <v>DPLT</v>
      </c>
    </row>
    <row r="130" spans="1:6">
      <c r="A130" s="3" t="s">
        <v>65</v>
      </c>
      <c r="B130" s="22" t="s">
        <v>512</v>
      </c>
      <c r="C130" s="37" t="str">
        <f>_xlfn.XLOOKUP(B130, 'Component Masterlist v2'!B:B, 'Component Masterlist v2'!O:O, "Not found")</f>
        <v>Data Platform</v>
      </c>
      <c r="D130" s="114" t="str">
        <f>_xlfn.XLOOKUP(B130, 'Component Masterlist v2'!B:B, 'Component Masterlist v2'!G:G, "Not found")</f>
        <v>Satish Sallakonda</v>
      </c>
      <c r="E130" s="112" t="str">
        <f>_xlfn.XLOOKUP(B130, 'Component Masterlist v2'!B:B, 'Component Masterlist v2'!E:E, "Not found")</f>
        <v>Ajay Rao</v>
      </c>
      <c r="F130" s="165" t="str">
        <f>_xlfn.XLOOKUP(B130, 'Component Masterlist v2'!B:B, 'Component Masterlist v2'!P:P, "Not found")</f>
        <v>DPLT</v>
      </c>
    </row>
    <row r="131" spans="1:6">
      <c r="A131" s="3" t="s">
        <v>65</v>
      </c>
      <c r="B131" s="18" t="s">
        <v>513</v>
      </c>
      <c r="C131" s="37" t="str">
        <f>_xlfn.XLOOKUP(B131, 'Component Masterlist v2'!B:B, 'Component Masterlist v2'!O:O, "Not found")</f>
        <v>Data Platform</v>
      </c>
      <c r="D131" s="114" t="str">
        <f>_xlfn.XLOOKUP(B131, 'Component Masterlist v2'!B:B, 'Component Masterlist v2'!G:G, "Not found")</f>
        <v>Satish Sallakonda</v>
      </c>
      <c r="E131" s="112" t="str">
        <f>_xlfn.XLOOKUP(B131, 'Component Masterlist v2'!B:B, 'Component Masterlist v2'!E:E, "Not found")</f>
        <v>Ajay Rao</v>
      </c>
      <c r="F131" s="165" t="str">
        <f>_xlfn.XLOOKUP(B131, 'Component Masterlist v2'!B:B, 'Component Masterlist v2'!P:P, "Not found")</f>
        <v>DPLT</v>
      </c>
    </row>
    <row r="132" spans="1:6">
      <c r="A132" s="3" t="s">
        <v>65</v>
      </c>
      <c r="B132" s="18" t="s">
        <v>514</v>
      </c>
      <c r="C132" s="37" t="str">
        <f>_xlfn.XLOOKUP(B132, 'Component Masterlist v2'!B:B, 'Component Masterlist v2'!O:O, "Not found")</f>
        <v>Data Intelligence</v>
      </c>
      <c r="D132" s="114" t="str">
        <f>_xlfn.XLOOKUP(B132, 'Component Masterlist v2'!B:B, 'Component Masterlist v2'!G:G, "Not found")</f>
        <v>Satish Sallakonda</v>
      </c>
      <c r="E132" s="112" t="str">
        <f>_xlfn.XLOOKUP(B132, 'Component Masterlist v2'!B:B, 'Component Masterlist v2'!E:E, "Not found")</f>
        <v>Ajay Rao</v>
      </c>
      <c r="F132" s="165" t="str">
        <f>_xlfn.XLOOKUP(B132, 'Component Masterlist v2'!B:B, 'Component Masterlist v2'!P:P, "Not found")</f>
        <v>DPLT</v>
      </c>
    </row>
    <row r="133" spans="1:6">
      <c r="A133" s="3" t="s">
        <v>65</v>
      </c>
      <c r="B133" s="18" t="s">
        <v>515</v>
      </c>
      <c r="C133" s="37" t="str">
        <f>_xlfn.XLOOKUP(B133, 'Component Masterlist v2'!B:B, 'Component Masterlist v2'!O:O, "Not found")</f>
        <v>Data Intelligence</v>
      </c>
      <c r="D133" s="114" t="str">
        <f>_xlfn.XLOOKUP(B133, 'Component Masterlist v2'!B:B, 'Component Masterlist v2'!G:G, "Not found")</f>
        <v>Satish Sallakonda</v>
      </c>
      <c r="E133" s="112" t="str">
        <f>_xlfn.XLOOKUP(B133, 'Component Masterlist v2'!B:B, 'Component Masterlist v2'!E:E, "Not found")</f>
        <v>Ajay Rao</v>
      </c>
      <c r="F133" s="165" t="str">
        <f>_xlfn.XLOOKUP(B133, 'Component Masterlist v2'!B:B, 'Component Masterlist v2'!P:P, "Not found")</f>
        <v>DPLT</v>
      </c>
    </row>
    <row r="134" spans="1:6">
      <c r="A134" s="3" t="s">
        <v>65</v>
      </c>
      <c r="B134" s="18" t="s">
        <v>516</v>
      </c>
      <c r="C134" s="37" t="str">
        <f>_xlfn.XLOOKUP(B134, 'Component Masterlist v2'!B:B, 'Component Masterlist v2'!O:O, "Not found")</f>
        <v>Data Intelligence</v>
      </c>
      <c r="D134" s="114" t="str">
        <f>_xlfn.XLOOKUP(B134, 'Component Masterlist v2'!B:B, 'Component Masterlist v2'!G:G, "Not found")</f>
        <v>Satish Sallakonda</v>
      </c>
      <c r="E134" s="112" t="str">
        <f>_xlfn.XLOOKUP(B134, 'Component Masterlist v2'!B:B, 'Component Masterlist v2'!E:E, "Not found")</f>
        <v>Ajay Rao</v>
      </c>
      <c r="F134" s="165" t="str">
        <f>_xlfn.XLOOKUP(B134, 'Component Masterlist v2'!B:B, 'Component Masterlist v2'!P:P, "Not found")</f>
        <v>DPLT</v>
      </c>
    </row>
    <row r="135" spans="1:6">
      <c r="A135" s="3" t="s">
        <v>65</v>
      </c>
      <c r="B135" s="18" t="s">
        <v>517</v>
      </c>
      <c r="C135" s="37" t="str">
        <f>_xlfn.XLOOKUP(B135, 'Component Masterlist v2'!B:B, 'Component Masterlist v2'!O:O, "Not found")</f>
        <v>Data Intelligence</v>
      </c>
      <c r="D135" s="114" t="str">
        <f>_xlfn.XLOOKUP(B135, 'Component Masterlist v2'!B:B, 'Component Masterlist v2'!G:G, "Not found")</f>
        <v>Satish Sallakonda</v>
      </c>
      <c r="E135" s="112" t="str">
        <f>_xlfn.XLOOKUP(B135, 'Component Masterlist v2'!B:B, 'Component Masterlist v2'!E:E, "Not found")</f>
        <v>Ajay Rao</v>
      </c>
      <c r="F135" s="165" t="str">
        <f>_xlfn.XLOOKUP(B135, 'Component Masterlist v2'!B:B, 'Component Masterlist v2'!P:P, "Not found")</f>
        <v>DPLT</v>
      </c>
    </row>
    <row r="136" spans="1:6">
      <c r="A136" s="3" t="s">
        <v>65</v>
      </c>
      <c r="B136" s="18" t="s">
        <v>518</v>
      </c>
      <c r="C136" s="37" t="str">
        <f>_xlfn.XLOOKUP(B136, 'Component Masterlist v2'!B:B, 'Component Masterlist v2'!O:O, "Not found")</f>
        <v>Data Intelligence</v>
      </c>
      <c r="D136" s="114" t="str">
        <f>_xlfn.XLOOKUP(B136, 'Component Masterlist v2'!B:B, 'Component Masterlist v2'!G:G, "Not found")</f>
        <v>Satish Sallakonda</v>
      </c>
      <c r="E136" s="112" t="str">
        <f>_xlfn.XLOOKUP(B136, 'Component Masterlist v2'!B:B, 'Component Masterlist v2'!E:E, "Not found")</f>
        <v>Ajay Rao</v>
      </c>
      <c r="F136" s="165" t="str">
        <f>_xlfn.XLOOKUP(B136, 'Component Masterlist v2'!B:B, 'Component Masterlist v2'!P:P, "Not found")</f>
        <v>DPLT</v>
      </c>
    </row>
    <row r="137" spans="1:6">
      <c r="A137" s="3" t="s">
        <v>65</v>
      </c>
      <c r="B137" s="18" t="s">
        <v>519</v>
      </c>
      <c r="C137" s="37" t="str">
        <f>_xlfn.XLOOKUP(B137, 'Component Masterlist v2'!B:B, 'Component Masterlist v2'!O:O, "Not found")</f>
        <v>Data Analytics</v>
      </c>
      <c r="D137" s="114" t="str">
        <f>_xlfn.XLOOKUP(B137, 'Component Masterlist v2'!B:B, 'Component Masterlist v2'!G:G, "Not found")</f>
        <v>Satish Sallakonda</v>
      </c>
      <c r="E137" s="112" t="str">
        <f>_xlfn.XLOOKUP(B137, 'Component Masterlist v2'!B:B, 'Component Masterlist v2'!E:E, "Not found")</f>
        <v>Ajay Rao</v>
      </c>
      <c r="F137" s="165" t="str">
        <f>_xlfn.XLOOKUP(B137, 'Component Masterlist v2'!B:B, 'Component Masterlist v2'!P:P, "Not found")</f>
        <v>DPLT</v>
      </c>
    </row>
    <row r="138" spans="1:6">
      <c r="A138" s="3" t="s">
        <v>92</v>
      </c>
      <c r="B138" s="18" t="s">
        <v>520</v>
      </c>
      <c r="C138" s="37" t="str">
        <f>_xlfn.XLOOKUP(B138, 'Component Masterlist v2'!B:B, 'Component Masterlist v2'!O:O, "Not found")</f>
        <v>DR_Checkout</v>
      </c>
      <c r="D138" s="114" t="str">
        <f>_xlfn.XLOOKUP(B138, 'Component Masterlist v2'!B:B, 'Component Masterlist v2'!G:G, "Not found")</f>
        <v>Ved Singh</v>
      </c>
      <c r="E138" s="112" t="str">
        <f>_xlfn.XLOOKUP(B138, 'Component Masterlist v2'!B:B, 'Component Masterlist v2'!E:E, "Not found")</f>
        <v>Ketan Dikshit</v>
      </c>
      <c r="F138" s="165" t="str">
        <f>_xlfn.XLOOKUP(B138, 'Component Masterlist v2'!B:B, 'Component Masterlist v2'!P:P, "Not found")</f>
        <v>DGRT</v>
      </c>
    </row>
    <row r="139" spans="1:6">
      <c r="A139" s="3" t="s">
        <v>92</v>
      </c>
      <c r="B139" s="18" t="s">
        <v>524</v>
      </c>
      <c r="C139" s="37" t="str">
        <f>_xlfn.XLOOKUP(B139, 'Component Masterlist v2'!B:B, 'Component Masterlist v2'!O:O, "Not found")</f>
        <v>DR_Checkout</v>
      </c>
      <c r="D139" s="114" t="str">
        <f>_xlfn.XLOOKUP(B139, 'Component Masterlist v2'!B:B, 'Component Masterlist v2'!G:G, "Not found")</f>
        <v>Ved Singh</v>
      </c>
      <c r="E139" s="112" t="str">
        <f>_xlfn.XLOOKUP(B139, 'Component Masterlist v2'!B:B, 'Component Masterlist v2'!E:E, "Not found")</f>
        <v>Ketan Dikshit</v>
      </c>
      <c r="F139" s="165" t="str">
        <f>_xlfn.XLOOKUP(B139, 'Component Masterlist v2'!B:B, 'Component Masterlist v2'!P:P, "Not found")</f>
        <v>DGRT</v>
      </c>
    </row>
    <row r="140" spans="1:6">
      <c r="A140" s="3" t="s">
        <v>92</v>
      </c>
      <c r="B140" s="18" t="s">
        <v>526</v>
      </c>
      <c r="C140" s="37" t="str">
        <f>_xlfn.XLOOKUP(B140, 'Component Masterlist v2'!B:B, 'Component Masterlist v2'!O:O, "Not found")</f>
        <v>DR_Studio</v>
      </c>
      <c r="D140" s="114" t="str">
        <f>_xlfn.XLOOKUP(B140, 'Component Masterlist v2'!B:B, 'Component Masterlist v2'!G:G, "Not found")</f>
        <v>Ved Singh</v>
      </c>
      <c r="E140" s="112" t="str">
        <f>_xlfn.XLOOKUP(B140, 'Component Masterlist v2'!B:B, 'Component Masterlist v2'!E:E, "Not found")</f>
        <v>Ketan Dikshit</v>
      </c>
      <c r="F140" s="165" t="str">
        <f>_xlfn.XLOOKUP(B140, 'Component Masterlist v2'!B:B, 'Component Masterlist v2'!P:P, "Not found")</f>
        <v>DGRT</v>
      </c>
    </row>
    <row r="141" spans="1:6">
      <c r="A141" s="3" t="s">
        <v>92</v>
      </c>
      <c r="B141" s="18" t="s">
        <v>528</v>
      </c>
      <c r="C141" s="37" t="str">
        <f>_xlfn.XLOOKUP(B141, 'Component Masterlist v2'!B:B, 'Component Masterlist v2'!O:O, "Not found")</f>
        <v>DR_Studio</v>
      </c>
      <c r="D141" s="114" t="str">
        <f>_xlfn.XLOOKUP(B141, 'Component Masterlist v2'!B:B, 'Component Masterlist v2'!G:G, "Not found")</f>
        <v>Ved Singh</v>
      </c>
      <c r="E141" s="112" t="str">
        <f>_xlfn.XLOOKUP(B141, 'Component Masterlist v2'!B:B, 'Component Masterlist v2'!E:E, "Not found")</f>
        <v>Ketan Dikshit</v>
      </c>
      <c r="F141" s="165" t="str">
        <f>_xlfn.XLOOKUP(B141, 'Component Masterlist v2'!B:B, 'Component Masterlist v2'!P:P, "Not found")</f>
        <v>DGRT</v>
      </c>
    </row>
    <row r="142" spans="1:6">
      <c r="A142" s="3" t="s">
        <v>92</v>
      </c>
      <c r="B142" s="18" t="s">
        <v>530</v>
      </c>
      <c r="C142" s="37" t="str">
        <f>_xlfn.XLOOKUP(B142, 'Component Masterlist v2'!B:B, 'Component Masterlist v2'!O:O, "Not found")</f>
        <v>DR_SRCHAT</v>
      </c>
      <c r="D142" s="114" t="str">
        <f>_xlfn.XLOOKUP(B142, 'Component Masterlist v2'!B:B, 'Component Masterlist v2'!G:G, "Not found")</f>
        <v>Ved Singh</v>
      </c>
      <c r="E142" s="112" t="str">
        <f>_xlfn.XLOOKUP(B142, 'Component Masterlist v2'!B:B, 'Component Masterlist v2'!E:E, "Not found")</f>
        <v>Ketan Dikshit</v>
      </c>
      <c r="F142" s="165" t="str">
        <f>_xlfn.XLOOKUP(B142, 'Component Masterlist v2'!B:B, 'Component Masterlist v2'!P:P, "Not found")</f>
        <v>DGRT</v>
      </c>
    </row>
    <row r="143" spans="1:6">
      <c r="A143" s="3" t="s">
        <v>57</v>
      </c>
      <c r="B143" s="18" t="s">
        <v>531</v>
      </c>
      <c r="C143" s="37" t="str">
        <f>_xlfn.XLOOKUP(B143, 'Component Masterlist v2'!B:B, 'Component Masterlist v2'!O:O, "Not found")</f>
        <v>Analytics-Eng</v>
      </c>
      <c r="D143" s="114" t="str">
        <f>_xlfn.XLOOKUP(B143, 'Component Masterlist v2'!B:B, 'Component Masterlist v2'!G:G, "Not found")</f>
        <v>Satish Sallakonda</v>
      </c>
      <c r="E143" s="112" t="str">
        <f>_xlfn.XLOOKUP(B143, 'Component Masterlist v2'!B:B, 'Component Masterlist v2'!E:E, "Not found")</f>
        <v>Anvesh Aileni</v>
      </c>
      <c r="F143" s="165" t="str">
        <f>_xlfn.XLOOKUP(B143, 'Component Masterlist v2'!B:B, 'Component Masterlist v2'!P:P, "Not found")</f>
        <v>ANLY</v>
      </c>
    </row>
    <row r="144" spans="1:6">
      <c r="A144" s="3" t="s">
        <v>57</v>
      </c>
      <c r="B144" s="18" t="s">
        <v>534</v>
      </c>
      <c r="C144" s="37" t="str">
        <f>_xlfn.XLOOKUP(B144, 'Component Masterlist v2'!B:B, 'Component Masterlist v2'!O:O, "Not found")</f>
        <v>Analytics-Eng</v>
      </c>
      <c r="D144" s="114" t="str">
        <f>_xlfn.XLOOKUP(B144, 'Component Masterlist v2'!B:B, 'Component Masterlist v2'!G:G, "Not found")</f>
        <v>Satish Sallakonda</v>
      </c>
      <c r="E144" s="112" t="str">
        <f>_xlfn.XLOOKUP(B144, 'Component Masterlist v2'!B:B, 'Component Masterlist v2'!E:E, "Not found")</f>
        <v>Anvesh Aileni</v>
      </c>
      <c r="F144" s="165" t="str">
        <f>_xlfn.XLOOKUP(B144, 'Component Masterlist v2'!B:B, 'Component Masterlist v2'!P:P, "Not found")</f>
        <v>ANLY</v>
      </c>
    </row>
    <row r="145" spans="1:6">
      <c r="A145" s="3" t="s">
        <v>57</v>
      </c>
      <c r="B145" s="18" t="s">
        <v>535</v>
      </c>
      <c r="C145" s="37" t="str">
        <f>_xlfn.XLOOKUP(B145, 'Component Masterlist v2'!B:B, 'Component Masterlist v2'!O:O, "Not found")</f>
        <v>Analytics-Eng</v>
      </c>
      <c r="D145" s="114" t="str">
        <f>_xlfn.XLOOKUP(B145, 'Component Masterlist v2'!B:B, 'Component Masterlist v2'!G:G, "Not found")</f>
        <v>Satish Sallakonda</v>
      </c>
      <c r="E145" s="112" t="str">
        <f>_xlfn.XLOOKUP(B145, 'Component Masterlist v2'!B:B, 'Component Masterlist v2'!E:E, "Not found")</f>
        <v>Anvesh Aileni</v>
      </c>
      <c r="F145" s="165" t="str">
        <f>_xlfn.XLOOKUP(B145, 'Component Masterlist v2'!B:B, 'Component Masterlist v2'!P:P, "Not found")</f>
        <v>ANLY</v>
      </c>
    </row>
    <row r="146" spans="1:6">
      <c r="A146" s="3" t="s">
        <v>57</v>
      </c>
      <c r="B146" s="18" t="s">
        <v>536</v>
      </c>
      <c r="C146" s="37" t="str">
        <f>_xlfn.XLOOKUP(B146, 'Component Masterlist v2'!B:B, 'Component Masterlist v2'!O:O, "Not found")</f>
        <v>Analytics-Eng</v>
      </c>
      <c r="D146" s="114" t="str">
        <f>_xlfn.XLOOKUP(B146, 'Component Masterlist v2'!B:B, 'Component Masterlist v2'!G:G, "Not found")</f>
        <v>Satish Sallakonda</v>
      </c>
      <c r="E146" s="112" t="str">
        <f>_xlfn.XLOOKUP(B146, 'Component Masterlist v2'!B:B, 'Component Masterlist v2'!E:E, "Not found")</f>
        <v>Anvesh Aileni</v>
      </c>
      <c r="F146" s="165" t="str">
        <f>_xlfn.XLOOKUP(B146, 'Component Masterlist v2'!B:B, 'Component Masterlist v2'!P:P, "Not found")</f>
        <v>ANLY</v>
      </c>
    </row>
    <row r="147" spans="1:6">
      <c r="A147" s="3" t="s">
        <v>57</v>
      </c>
      <c r="B147" s="22" t="s">
        <v>537</v>
      </c>
      <c r="C147" s="37" t="str">
        <f>_xlfn.XLOOKUP(B147, 'Component Masterlist v2'!B:B, 'Component Masterlist v2'!O:O, "Not found")</f>
        <v>Analytics-Eng</v>
      </c>
      <c r="D147" s="114" t="str">
        <f>_xlfn.XLOOKUP(B147, 'Component Masterlist v2'!B:B, 'Component Masterlist v2'!G:G, "Not found")</f>
        <v>Satish Sallakonda</v>
      </c>
      <c r="E147" s="112" t="str">
        <f>_xlfn.XLOOKUP(B147, 'Component Masterlist v2'!B:B, 'Component Masterlist v2'!E:E, "Not found")</f>
        <v>Anvesh Aileni</v>
      </c>
      <c r="F147" s="165" t="str">
        <f>_xlfn.XLOOKUP(B147, 'Component Masterlist v2'!B:B, 'Component Masterlist v2'!P:P, "Not found")</f>
        <v>ANLY</v>
      </c>
    </row>
    <row r="148" spans="1:6">
      <c r="A148" s="3" t="s">
        <v>71</v>
      </c>
      <c r="B148" s="22" t="s">
        <v>538</v>
      </c>
      <c r="C148" s="37" t="str">
        <f>_xlfn.XLOOKUP(B148, 'Component Masterlist v2'!B:B, 'Component Masterlist v2'!O:O, "Not found")</f>
        <v>Not found</v>
      </c>
      <c r="D148" s="114" t="str">
        <f>_xlfn.XLOOKUP(B148, 'Component Masterlist v2'!B:B, 'Component Masterlist v2'!G:G, "Not found")</f>
        <v>Srin Tangirala</v>
      </c>
      <c r="E148" s="112" t="str">
        <f>_xlfn.XLOOKUP(B148, 'Component Masterlist v2'!B:B, 'Component Masterlist v2'!E:E, "Not found")</f>
        <v>Arul Jothi</v>
      </c>
      <c r="F148" s="165">
        <f>_xlfn.XLOOKUP(B148, 'Component Masterlist v2'!B:B, 'Component Masterlist v2'!P:P, "Not found")</f>
        <v>0</v>
      </c>
    </row>
    <row r="149" spans="1:6">
      <c r="A149" s="3" t="s">
        <v>71</v>
      </c>
      <c r="B149" s="22" t="s">
        <v>541</v>
      </c>
      <c r="C149" s="37" t="str">
        <f>_xlfn.XLOOKUP(B149, 'Component Masterlist v2'!B:B, 'Component Masterlist v2'!O:O, "Not found")</f>
        <v>Not found</v>
      </c>
      <c r="D149" s="114" t="str">
        <f>_xlfn.XLOOKUP(B149, 'Component Masterlist v2'!B:B, 'Component Masterlist v2'!G:G, "Not found")</f>
        <v>Srin Tangirala</v>
      </c>
      <c r="E149" s="112" t="str">
        <f>_xlfn.XLOOKUP(B149, 'Component Masterlist v2'!B:B, 'Component Masterlist v2'!E:E, "Not found")</f>
        <v>Arul Jothi</v>
      </c>
      <c r="F149" s="165">
        <f>_xlfn.XLOOKUP(B149, 'Component Masterlist v2'!B:B, 'Component Masterlist v2'!P:P, "Not found")</f>
        <v>0</v>
      </c>
    </row>
    <row r="150" spans="1:6">
      <c r="A150" s="3" t="s">
        <v>71</v>
      </c>
      <c r="B150" s="22" t="s">
        <v>543</v>
      </c>
      <c r="C150" s="37" t="str">
        <f>_xlfn.XLOOKUP(B150, 'Component Masterlist v2'!B:B, 'Component Masterlist v2'!O:O, "Not found")</f>
        <v>Not found</v>
      </c>
      <c r="D150" s="114" t="str">
        <f>_xlfn.XLOOKUP(B150, 'Component Masterlist v2'!B:B, 'Component Masterlist v2'!G:G, "Not found")</f>
        <v>Srin Tangirala</v>
      </c>
      <c r="E150" s="112" t="str">
        <f>_xlfn.XLOOKUP(B150, 'Component Masterlist v2'!B:B, 'Component Masterlist v2'!E:E, "Not found")</f>
        <v>Arul Jothi</v>
      </c>
      <c r="F150" s="165">
        <f>_xlfn.XLOOKUP(B150, 'Component Masterlist v2'!B:B, 'Component Masterlist v2'!P:P, "Not found")</f>
        <v>0</v>
      </c>
    </row>
    <row r="151" spans="1:6">
      <c r="A151" s="3" t="s">
        <v>95</v>
      </c>
      <c r="B151" s="18" t="s">
        <v>544</v>
      </c>
      <c r="C151" s="37" t="str">
        <f>_xlfn.XLOOKUP(B151, 'Component Masterlist v2'!B:B, 'Component Masterlist v2'!O:O, "Not found")</f>
        <v>Not found</v>
      </c>
      <c r="D151" s="114" t="str">
        <f>_xlfn.XLOOKUP(B151, 'Component Masterlist v2'!B:B, 'Component Masterlist v2'!G:G, "Not found")</f>
        <v>Viraj Patel</v>
      </c>
      <c r="E151" s="112" t="str">
        <f>_xlfn.XLOOKUP(B151, 'Component Masterlist v2'!B:B, 'Component Masterlist v2'!E:E, "Not found")</f>
        <v>Saurabh Goyal</v>
      </c>
      <c r="F151" s="165" t="str">
        <f>_xlfn.XLOOKUP(B151, 'Component Masterlist v2'!B:B, 'Component Masterlist v2'!P:P, "Not found")</f>
        <v>RELB</v>
      </c>
    </row>
    <row r="152" spans="1:6">
      <c r="A152" s="3" t="s">
        <v>95</v>
      </c>
      <c r="B152" s="18" t="s">
        <v>548</v>
      </c>
      <c r="C152" s="37" t="str">
        <f>_xlfn.XLOOKUP(B152, 'Component Masterlist v2'!B:B, 'Component Masterlist v2'!O:O, "Not found")</f>
        <v>Not found</v>
      </c>
      <c r="D152" s="114" t="str">
        <f>_xlfn.XLOOKUP(B152, 'Component Masterlist v2'!B:B, 'Component Masterlist v2'!G:G, "Not found")</f>
        <v>Viraj Patel</v>
      </c>
      <c r="E152" s="112" t="str">
        <f>_xlfn.XLOOKUP(B152, 'Component Masterlist v2'!B:B, 'Component Masterlist v2'!E:E, "Not found")</f>
        <v>Saurabh Goyal</v>
      </c>
      <c r="F152" s="165" t="str">
        <f>_xlfn.XLOOKUP(B152, 'Component Masterlist v2'!B:B, 'Component Masterlist v2'!P:P, "Not found")</f>
        <v>RELB</v>
      </c>
    </row>
    <row r="153" spans="1:6">
      <c r="A153" s="3" t="s">
        <v>95</v>
      </c>
      <c r="B153" s="18" t="s">
        <v>550</v>
      </c>
      <c r="C153" s="37" t="str">
        <f>_xlfn.XLOOKUP(B153, 'Component Masterlist v2'!B:B, 'Component Masterlist v2'!O:O, "Not found")</f>
        <v>Not found</v>
      </c>
      <c r="D153" s="114" t="str">
        <f>_xlfn.XLOOKUP(B153, 'Component Masterlist v2'!B:B, 'Component Masterlist v2'!G:G, "Not found")</f>
        <v>Viraj Patel</v>
      </c>
      <c r="E153" s="112" t="str">
        <f>_xlfn.XLOOKUP(B153, 'Component Masterlist v2'!B:B, 'Component Masterlist v2'!E:E, "Not found")</f>
        <v>Saurabh Goyal</v>
      </c>
      <c r="F153" s="165" t="str">
        <f>_xlfn.XLOOKUP(B153, 'Component Masterlist v2'!B:B, 'Component Masterlist v2'!P:P, "Not found")</f>
        <v>RELB</v>
      </c>
    </row>
    <row r="154" spans="1:6">
      <c r="A154" s="3" t="s">
        <v>95</v>
      </c>
      <c r="B154" s="18" t="s">
        <v>552</v>
      </c>
      <c r="C154" s="37" t="str">
        <f>_xlfn.XLOOKUP(B154, 'Component Masterlist v2'!B:B, 'Component Masterlist v2'!O:O, "Not found")</f>
        <v>Not found</v>
      </c>
      <c r="D154" s="114" t="str">
        <f>_xlfn.XLOOKUP(B154, 'Component Masterlist v2'!B:B, 'Component Masterlist v2'!G:G, "Not found")</f>
        <v>Viraj Patel</v>
      </c>
      <c r="E154" s="112" t="str">
        <f>_xlfn.XLOOKUP(B154, 'Component Masterlist v2'!B:B, 'Component Masterlist v2'!E:E, "Not found")</f>
        <v>Saurabh Goyal</v>
      </c>
      <c r="F154" s="165" t="str">
        <f>_xlfn.XLOOKUP(B154, 'Component Masterlist v2'!B:B, 'Component Masterlist v2'!P:P, "Not found")</f>
        <v>RELB</v>
      </c>
    </row>
    <row r="155" spans="1:6">
      <c r="A155" s="3" t="s">
        <v>38</v>
      </c>
      <c r="B155" s="18" t="s">
        <v>565</v>
      </c>
      <c r="C155" s="37" t="str">
        <f>_xlfn.XLOOKUP(B155, 'Component Masterlist v2'!B:B, 'Component Masterlist v2'!O:O, "Not found")</f>
        <v>IOT</v>
      </c>
      <c r="D155" s="114" t="str">
        <f>_xlfn.XLOOKUP(B155, 'Component Masterlist v2'!B:B, 'Component Masterlist v2'!G:G, "Not found")</f>
        <v>Santosh Golecha</v>
      </c>
      <c r="E155" s="112" t="str">
        <f>_xlfn.XLOOKUP(B155, 'Component Masterlist v2'!B:B, 'Component Masterlist v2'!E:E, "Not found")</f>
        <v>Ankur Agarwal</v>
      </c>
      <c r="F155" s="165" t="str">
        <f>_xlfn.XLOOKUP(B155, 'Component Masterlist v2'!B:B, 'Component Masterlist v2'!P:P, "Not found")</f>
        <v>IOT</v>
      </c>
    </row>
    <row r="156" spans="1:6">
      <c r="A156" s="3" t="s">
        <v>38</v>
      </c>
      <c r="B156" s="18" t="s">
        <v>569</v>
      </c>
      <c r="C156" s="37" t="str">
        <f>_xlfn.XLOOKUP(B156, 'Component Masterlist v2'!B:B, 'Component Masterlist v2'!O:O, "Not found")</f>
        <v>IOT</v>
      </c>
      <c r="D156" s="114" t="str">
        <f>_xlfn.XLOOKUP(B156, 'Component Masterlist v2'!B:B, 'Component Masterlist v2'!G:G, "Not found")</f>
        <v>Santosh Golecha</v>
      </c>
      <c r="E156" s="112" t="str">
        <f>_xlfn.XLOOKUP(B156, 'Component Masterlist v2'!B:B, 'Component Masterlist v2'!E:E, "Not found")</f>
        <v>Ankur Agarwal</v>
      </c>
      <c r="F156" s="165" t="str">
        <f>_xlfn.XLOOKUP(B156, 'Component Masterlist v2'!B:B, 'Component Masterlist v2'!P:P, "Not found")</f>
        <v>IOT</v>
      </c>
    </row>
    <row r="157" spans="1:6">
      <c r="A157" s="3" t="s">
        <v>38</v>
      </c>
      <c r="B157" s="22" t="s">
        <v>570</v>
      </c>
      <c r="C157" s="37" t="str">
        <f>_xlfn.XLOOKUP(B157, 'Component Masterlist v2'!B:B, 'Component Masterlist v2'!O:O, "Not found")</f>
        <v>IOT</v>
      </c>
      <c r="D157" s="114" t="str">
        <f>_xlfn.XLOOKUP(B157, 'Component Masterlist v2'!B:B, 'Component Masterlist v2'!G:G, "Not found")</f>
        <v>Santosh Golecha</v>
      </c>
      <c r="E157" s="112" t="str">
        <f>_xlfn.XLOOKUP(B157, 'Component Masterlist v2'!B:B, 'Component Masterlist v2'!E:E, "Not found")</f>
        <v>Ankur Agarwal</v>
      </c>
      <c r="F157" s="165" t="str">
        <f>_xlfn.XLOOKUP(B157, 'Component Masterlist v2'!B:B, 'Component Masterlist v2'!P:P, "Not found")</f>
        <v>IOT</v>
      </c>
    </row>
    <row r="158" spans="1:6">
      <c r="A158" s="3" t="s">
        <v>38</v>
      </c>
      <c r="B158" s="22" t="s">
        <v>571</v>
      </c>
      <c r="C158" s="37" t="str">
        <f>_xlfn.XLOOKUP(B158, 'Component Masterlist v2'!B:B, 'Component Masterlist v2'!O:O, "Not found")</f>
        <v>IOT</v>
      </c>
      <c r="D158" s="114" t="str">
        <f>_xlfn.XLOOKUP(B158, 'Component Masterlist v2'!B:B, 'Component Masterlist v2'!G:G, "Not found")</f>
        <v>Santosh Golecha</v>
      </c>
      <c r="E158" s="112" t="str">
        <f>_xlfn.XLOOKUP(B158, 'Component Masterlist v2'!B:B, 'Component Masterlist v2'!E:E, "Not found")</f>
        <v>Ankur Agarwal</v>
      </c>
      <c r="F158" s="165" t="str">
        <f>_xlfn.XLOOKUP(B158, 'Component Masterlist v2'!B:B, 'Component Masterlist v2'!P:P, "Not found")</f>
        <v>IOT</v>
      </c>
    </row>
    <row r="159" spans="1:6">
      <c r="A159" s="3" t="s">
        <v>42</v>
      </c>
      <c r="B159" s="22" t="s">
        <v>574</v>
      </c>
      <c r="C159" s="37" t="str">
        <f>_xlfn.XLOOKUP(B159, 'Component Masterlist v2'!B:B, 'Component Masterlist v2'!O:O, "Not found")</f>
        <v>Not found</v>
      </c>
      <c r="D159" s="114" t="str">
        <f>_xlfn.XLOOKUP(B159, 'Component Masterlist v2'!B:B, 'Component Masterlist v2'!G:G, "Not found")</f>
        <v>Santosh Golecha</v>
      </c>
      <c r="E159" s="112" t="str">
        <f>_xlfn.XLOOKUP(B159, 'Component Masterlist v2'!B:B, 'Component Masterlist v2'!E:E, "Not found")</f>
        <v>Santosh Golecha</v>
      </c>
      <c r="F159" s="165">
        <f>_xlfn.XLOOKUP(B159, 'Component Masterlist v2'!B:B, 'Component Masterlist v2'!P:P, "Not found")</f>
        <v>0</v>
      </c>
    </row>
    <row r="160" spans="1:6">
      <c r="A160" s="3" t="s">
        <v>42</v>
      </c>
      <c r="B160" s="22" t="s">
        <v>577</v>
      </c>
      <c r="C160" s="37" t="str">
        <f>_xlfn.XLOOKUP(B160, 'Component Masterlist v2'!B:B, 'Component Masterlist v2'!O:O, "Not found")</f>
        <v>Not found</v>
      </c>
      <c r="D160" s="114" t="str">
        <f>_xlfn.XLOOKUP(B160, 'Component Masterlist v2'!B:B, 'Component Masterlist v2'!G:G, "Not found")</f>
        <v>Santosh Golecha</v>
      </c>
      <c r="E160" s="112" t="str">
        <f>_xlfn.XLOOKUP(B160, 'Component Masterlist v2'!B:B, 'Component Masterlist v2'!E:E, "Not found")</f>
        <v>Santosh Golecha</v>
      </c>
      <c r="F160" s="165">
        <f>_xlfn.XLOOKUP(B160, 'Component Masterlist v2'!B:B, 'Component Masterlist v2'!P:P, "Not found")</f>
        <v>0</v>
      </c>
    </row>
    <row r="161" spans="1:6">
      <c r="A161" s="3" t="s">
        <v>42</v>
      </c>
      <c r="B161" s="22" t="s">
        <v>578</v>
      </c>
      <c r="C161" s="37" t="str">
        <f>_xlfn.XLOOKUP(B161, 'Component Masterlist v2'!B:B, 'Component Masterlist v2'!O:O, "Not found")</f>
        <v>Not found</v>
      </c>
      <c r="D161" s="114" t="str">
        <f>_xlfn.XLOOKUP(B161, 'Component Masterlist v2'!B:B, 'Component Masterlist v2'!G:G, "Not found")</f>
        <v>Santosh Golecha</v>
      </c>
      <c r="E161" s="112" t="str">
        <f>_xlfn.XLOOKUP(B161, 'Component Masterlist v2'!B:B, 'Component Masterlist v2'!E:E, "Not found")</f>
        <v>Santosh Golecha</v>
      </c>
      <c r="F161" s="165">
        <f>_xlfn.XLOOKUP(B161, 'Component Masterlist v2'!B:B, 'Component Masterlist v2'!P:P, "Not found")</f>
        <v>0</v>
      </c>
    </row>
    <row r="162" spans="1:6">
      <c r="A162" s="3" t="s">
        <v>41</v>
      </c>
      <c r="B162" s="22" t="s">
        <v>579</v>
      </c>
      <c r="C162" s="37" t="str">
        <f>_xlfn.XLOOKUP(B162, 'Component Masterlist v2'!B:B, 'Component Masterlist v2'!O:O, "Not found")</f>
        <v>Not found</v>
      </c>
      <c r="D162" s="114" t="str">
        <f>_xlfn.XLOOKUP(B162, 'Component Masterlist v2'!B:B, 'Component Masterlist v2'!G:G, "Not found")</f>
        <v>Santosh Golecha</v>
      </c>
      <c r="E162" s="112" t="str">
        <f>_xlfn.XLOOKUP(B162, 'Component Masterlist v2'!B:B, 'Component Masterlist v2'!E:E, "Not found")</f>
        <v>Santosh Golecha</v>
      </c>
      <c r="F162" s="165">
        <f>_xlfn.XLOOKUP(B162, 'Component Masterlist v2'!B:B, 'Component Masterlist v2'!P:P, "Not found")</f>
        <v>0</v>
      </c>
    </row>
    <row r="163" spans="1:6">
      <c r="A163" s="3" t="s">
        <v>41</v>
      </c>
      <c r="B163" s="22" t="s">
        <v>583</v>
      </c>
      <c r="C163" s="37" t="str">
        <f>_xlfn.XLOOKUP(B163, 'Component Masterlist v2'!B:B, 'Component Masterlist v2'!O:O, "Not found")</f>
        <v>Not found</v>
      </c>
      <c r="D163" s="114" t="str">
        <f>_xlfn.XLOOKUP(B163, 'Component Masterlist v2'!B:B, 'Component Masterlist v2'!G:G, "Not found")</f>
        <v>Santosh Golecha</v>
      </c>
      <c r="E163" s="112" t="str">
        <f>_xlfn.XLOOKUP(B163, 'Component Masterlist v2'!B:B, 'Component Masterlist v2'!E:E, "Not found")</f>
        <v>Santosh Golecha</v>
      </c>
      <c r="F163" s="165">
        <f>_xlfn.XLOOKUP(B163, 'Component Masterlist v2'!B:B, 'Component Masterlist v2'!P:P, "Not found")</f>
        <v>0</v>
      </c>
    </row>
    <row r="164" spans="1:6">
      <c r="A164" s="3" t="s">
        <v>41</v>
      </c>
      <c r="B164" s="22" t="s">
        <v>587</v>
      </c>
      <c r="C164" s="37" t="str">
        <f>_xlfn.XLOOKUP(B164, 'Component Masterlist v2'!B:B, 'Component Masterlist v2'!O:O, "Not found")</f>
        <v>Not found</v>
      </c>
      <c r="D164" s="114" t="str">
        <f>_xlfn.XLOOKUP(B164, 'Component Masterlist v2'!B:B, 'Component Masterlist v2'!G:G, "Not found")</f>
        <v>Santosh Golecha</v>
      </c>
      <c r="E164" s="112" t="str">
        <f>_xlfn.XLOOKUP(B164, 'Component Masterlist v2'!B:B, 'Component Masterlist v2'!E:E, "Not found")</f>
        <v>Santosh Golecha</v>
      </c>
      <c r="F164" s="165">
        <f>_xlfn.XLOOKUP(B164, 'Component Masterlist v2'!B:B, 'Component Masterlist v2'!P:P, "Not found")</f>
        <v>0</v>
      </c>
    </row>
    <row r="165" spans="1:6">
      <c r="A165" s="3" t="s">
        <v>7</v>
      </c>
      <c r="B165" s="22" t="s">
        <v>588</v>
      </c>
      <c r="C165" s="37" t="str">
        <f>_xlfn.XLOOKUP(B165, 'Component Masterlist v2'!B:B, 'Component Masterlist v2'!O:O, "Not found")</f>
        <v>Not found</v>
      </c>
      <c r="D165" s="114" t="str">
        <f>_xlfn.XLOOKUP(B165, 'Component Masterlist v2'!B:B, 'Component Masterlist v2'!G:G, "Not found")</f>
        <v>Justin Hou</v>
      </c>
      <c r="E165" s="112" t="str">
        <f>_xlfn.XLOOKUP(B165, 'Component Masterlist v2'!B:B, 'Component Masterlist v2'!E:E, "Not found")</f>
        <v>Koyeli Dasgupta</v>
      </c>
      <c r="F165" s="165">
        <f>_xlfn.XLOOKUP(B165, 'Component Masterlist v2'!B:B, 'Component Masterlist v2'!P:P, "Not found")</f>
        <v>0</v>
      </c>
    </row>
    <row r="166" spans="1:6">
      <c r="A166" s="3" t="s">
        <v>35</v>
      </c>
      <c r="B166" s="22" t="s">
        <v>589</v>
      </c>
      <c r="C166" s="37" t="str">
        <f>_xlfn.XLOOKUP(B166, 'Component Masterlist v2'!B:B, 'Component Masterlist v2'!O:O, "Not found")</f>
        <v>Honda PCX</v>
      </c>
      <c r="D166" s="114" t="str">
        <f>_xlfn.XLOOKUP(B166, 'Component Masterlist v2'!B:B, 'Component Masterlist v2'!G:G, "Not found")</f>
        <v>Santosh Golecha</v>
      </c>
      <c r="E166" s="112" t="str">
        <f>_xlfn.XLOOKUP(B166, 'Component Masterlist v2'!B:B, 'Component Masterlist v2'!E:E, "Not found")</f>
        <v>Ankur Agarwal</v>
      </c>
      <c r="F166" s="165" t="str">
        <f>_xlfn.XLOOKUP(B166, 'Component Masterlist v2'!B:B, 'Component Masterlist v2'!P:P, "Not found")</f>
        <v>AHM</v>
      </c>
    </row>
    <row r="167" spans="1:6">
      <c r="A167" s="3" t="s">
        <v>35</v>
      </c>
      <c r="B167" s="22" t="s">
        <v>593</v>
      </c>
      <c r="C167" s="37" t="str">
        <f>_xlfn.XLOOKUP(B167, 'Component Masterlist v2'!B:B, 'Component Masterlist v2'!O:O, "Not found")</f>
        <v>Honda Integration</v>
      </c>
      <c r="D167" s="114" t="str">
        <f>_xlfn.XLOOKUP(B167, 'Component Masterlist v2'!B:B, 'Component Masterlist v2'!G:G, "Not found")</f>
        <v>Santosh Golecha</v>
      </c>
      <c r="E167" s="112" t="str">
        <f>_xlfn.XLOOKUP(B167, 'Component Masterlist v2'!B:B, 'Component Masterlist v2'!E:E, "Not found")</f>
        <v>Ankur Agarwal</v>
      </c>
      <c r="F167" s="165" t="str">
        <f>_xlfn.XLOOKUP(B167, 'Component Masterlist v2'!B:B, 'Component Masterlist v2'!P:P, "Not found")</f>
        <v>AHM</v>
      </c>
    </row>
    <row r="168" spans="1:6">
      <c r="A168" s="3" t="s">
        <v>35</v>
      </c>
      <c r="B168" s="22" t="s">
        <v>594</v>
      </c>
      <c r="C168" s="37" t="str">
        <f>_xlfn.XLOOKUP(B168, 'Component Masterlist v2'!B:B, 'Component Masterlist v2'!O:O, "Not found")</f>
        <v>Honda DX</v>
      </c>
      <c r="D168" s="114" t="str">
        <f>_xlfn.XLOOKUP(B168, 'Component Masterlist v2'!B:B, 'Component Masterlist v2'!G:G, "Not found")</f>
        <v>Santosh Golecha</v>
      </c>
      <c r="E168" s="112" t="str">
        <f>_xlfn.XLOOKUP(B168, 'Component Masterlist v2'!B:B, 'Component Masterlist v2'!E:E, "Not found")</f>
        <v>Ankur Agarwal</v>
      </c>
      <c r="F168" s="165" t="str">
        <f>_xlfn.XLOOKUP(B168, 'Component Masterlist v2'!B:B, 'Component Masterlist v2'!P:P, "Not found")</f>
        <v>AHM</v>
      </c>
    </row>
    <row r="169" spans="1:6">
      <c r="A169" s="3" t="s">
        <v>35</v>
      </c>
      <c r="B169" s="22" t="s">
        <v>596</v>
      </c>
      <c r="C169" s="37" t="str">
        <f>_xlfn.XLOOKUP(B169, 'Component Masterlist v2'!B:B, 'Component Masterlist v2'!O:O, "Not found")</f>
        <v>Honda DX</v>
      </c>
      <c r="D169" s="114" t="str">
        <f>_xlfn.XLOOKUP(B169, 'Component Masterlist v2'!B:B, 'Component Masterlist v2'!G:G, "Not found")</f>
        <v>Santosh Golecha</v>
      </c>
      <c r="E169" s="112" t="str">
        <f>_xlfn.XLOOKUP(B169, 'Component Masterlist v2'!B:B, 'Component Masterlist v2'!E:E, "Not found")</f>
        <v>Ankur Agarwal</v>
      </c>
      <c r="F169" s="165" t="str">
        <f>_xlfn.XLOOKUP(B169, 'Component Masterlist v2'!B:B, 'Component Masterlist v2'!P:P, "Not found")</f>
        <v>AHM</v>
      </c>
    </row>
    <row r="170" spans="1:6">
      <c r="A170" s="3" t="s">
        <v>35</v>
      </c>
      <c r="B170" s="22" t="s">
        <v>597</v>
      </c>
      <c r="C170" s="37" t="str">
        <f>_xlfn.XLOOKUP(B170, 'Component Masterlist v2'!B:B, 'Component Masterlist v2'!O:O, "Not found")</f>
        <v>Honda DX</v>
      </c>
      <c r="D170" s="114" t="str">
        <f>_xlfn.XLOOKUP(B170, 'Component Masterlist v2'!B:B, 'Component Masterlist v2'!G:G, "Not found")</f>
        <v>Santosh Golecha</v>
      </c>
      <c r="E170" s="112" t="str">
        <f>_xlfn.XLOOKUP(B170, 'Component Masterlist v2'!B:B, 'Component Masterlist v2'!E:E, "Not found")</f>
        <v>Ankur Agarwal</v>
      </c>
      <c r="F170" s="165" t="str">
        <f>_xlfn.XLOOKUP(B170, 'Component Masterlist v2'!B:B, 'Component Masterlist v2'!P:P, "Not found")</f>
        <v>AHM</v>
      </c>
    </row>
    <row r="171" spans="1:6">
      <c r="A171" s="41" t="s">
        <v>35</v>
      </c>
      <c r="B171" s="47" t="s">
        <v>598</v>
      </c>
      <c r="C171" s="37" t="str">
        <f>_xlfn.XLOOKUP(B171, 'Component Masterlist v2'!B:B, 'Component Masterlist v2'!O:O, "Not found")</f>
        <v>Honda DX</v>
      </c>
      <c r="D171" s="114" t="str">
        <f>_xlfn.XLOOKUP(B171, 'Component Masterlist v2'!B:B, 'Component Masterlist v2'!G:G, "Not found")</f>
        <v>Santosh Golecha</v>
      </c>
      <c r="E171" s="112" t="str">
        <f>_xlfn.XLOOKUP(B171, 'Component Masterlist v2'!B:B, 'Component Masterlist v2'!E:E, "Not found")</f>
        <v>Ankur Agarwal</v>
      </c>
      <c r="F171" s="165" t="str">
        <f>_xlfn.XLOOKUP(B171, 'Component Masterlist v2'!B:B, 'Component Masterlist v2'!P:P, "Not found")</f>
        <v>AHM</v>
      </c>
    </row>
    <row r="172" spans="1:6">
      <c r="A172" s="3" t="s">
        <v>35</v>
      </c>
      <c r="B172" s="22" t="s">
        <v>599</v>
      </c>
      <c r="C172" s="37" t="str">
        <f>_xlfn.XLOOKUP(B172, 'Component Masterlist v2'!B:B, 'Component Masterlist v2'!O:O, "Not found")</f>
        <v>Honda DX</v>
      </c>
      <c r="D172" s="114" t="str">
        <f>_xlfn.XLOOKUP(B172, 'Component Masterlist v2'!B:B, 'Component Masterlist v2'!G:G, "Not found")</f>
        <v>Santosh Golecha</v>
      </c>
      <c r="E172" s="112" t="str">
        <f>_xlfn.XLOOKUP(B172, 'Component Masterlist v2'!B:B, 'Component Masterlist v2'!E:E, "Not found")</f>
        <v>Ankur Agarwal</v>
      </c>
      <c r="F172" s="165" t="str">
        <f>_xlfn.XLOOKUP(B172, 'Component Masterlist v2'!B:B, 'Component Masterlist v2'!P:P, "Not found")</f>
        <v>AHM</v>
      </c>
    </row>
    <row r="173" spans="1:6">
      <c r="A173" s="3" t="s">
        <v>35</v>
      </c>
      <c r="B173" s="22" t="s">
        <v>600</v>
      </c>
      <c r="C173" s="37" t="str">
        <f>_xlfn.XLOOKUP(B173, 'Component Masterlist v2'!B:B, 'Component Masterlist v2'!O:O, "Not found")</f>
        <v>Honda SCX</v>
      </c>
      <c r="D173" s="114" t="str">
        <f>_xlfn.XLOOKUP(B173, 'Component Masterlist v2'!B:B, 'Component Masterlist v2'!G:G, "Not found")</f>
        <v>Santosh Golecha</v>
      </c>
      <c r="E173" s="112" t="str">
        <f>_xlfn.XLOOKUP(B173, 'Component Masterlist v2'!B:B, 'Component Masterlist v2'!E:E, "Not found")</f>
        <v>Ankur Agarwal</v>
      </c>
      <c r="F173" s="165" t="str">
        <f>_xlfn.XLOOKUP(B173, 'Component Masterlist v2'!B:B, 'Component Masterlist v2'!P:P, "Not found")</f>
        <v>AHM</v>
      </c>
    </row>
    <row r="174" spans="1:6">
      <c r="A174" s="3" t="s">
        <v>35</v>
      </c>
      <c r="B174" s="22" t="s">
        <v>601</v>
      </c>
      <c r="C174" s="37" t="str">
        <f>_xlfn.XLOOKUP(B174, 'Component Masterlist v2'!B:B, 'Component Masterlist v2'!O:O, "Not found")</f>
        <v>Honda DX</v>
      </c>
      <c r="D174" s="114" t="str">
        <f>_xlfn.XLOOKUP(B174, 'Component Masterlist v2'!B:B, 'Component Masterlist v2'!G:G, "Not found")</f>
        <v>Santosh Golecha</v>
      </c>
      <c r="E174" s="112" t="str">
        <f>_xlfn.XLOOKUP(B174, 'Component Masterlist v2'!B:B, 'Component Masterlist v2'!E:E, "Not found")</f>
        <v>Ankur Agarwal</v>
      </c>
      <c r="F174" s="165" t="str">
        <f>_xlfn.XLOOKUP(B174, 'Component Masterlist v2'!B:B, 'Component Masterlist v2'!P:P, "Not found")</f>
        <v>AHM</v>
      </c>
    </row>
    <row r="175" spans="1:6">
      <c r="A175" s="3" t="s">
        <v>35</v>
      </c>
      <c r="B175" s="22" t="s">
        <v>602</v>
      </c>
      <c r="C175" s="37" t="str">
        <f>_xlfn.XLOOKUP(B175, 'Component Masterlist v2'!B:B, 'Component Masterlist v2'!O:O, "Not found")</f>
        <v>Honda DX</v>
      </c>
      <c r="D175" s="114" t="str">
        <f>_xlfn.XLOOKUP(B175, 'Component Masterlist v2'!B:B, 'Component Masterlist v2'!G:G, "Not found")</f>
        <v>Santosh Golecha</v>
      </c>
      <c r="E175" s="112" t="str">
        <f>_xlfn.XLOOKUP(B175, 'Component Masterlist v2'!B:B, 'Component Masterlist v2'!E:E, "Not found")</f>
        <v>Ankur Agarwal</v>
      </c>
      <c r="F175" s="165" t="str">
        <f>_xlfn.XLOOKUP(B175, 'Component Masterlist v2'!B:B, 'Component Masterlist v2'!P:P, "Not found")</f>
        <v>AHM</v>
      </c>
    </row>
    <row r="176" spans="1:6">
      <c r="A176" s="3" t="s">
        <v>35</v>
      </c>
      <c r="B176" s="22" t="s">
        <v>603</v>
      </c>
      <c r="C176" s="37" t="str">
        <f>_xlfn.XLOOKUP(B176, 'Component Masterlist v2'!B:B, 'Component Masterlist v2'!O:O, "Not found")</f>
        <v>Honda DX</v>
      </c>
      <c r="D176" s="114" t="str">
        <f>_xlfn.XLOOKUP(B176, 'Component Masterlist v2'!B:B, 'Component Masterlist v2'!G:G, "Not found")</f>
        <v>Santosh Golecha</v>
      </c>
      <c r="E176" s="112" t="str">
        <f>_xlfn.XLOOKUP(B176, 'Component Masterlist v2'!B:B, 'Component Masterlist v2'!E:E, "Not found")</f>
        <v>Ankur Agarwal</v>
      </c>
      <c r="F176" s="165" t="str">
        <f>_xlfn.XLOOKUP(B176, 'Component Masterlist v2'!B:B, 'Component Masterlist v2'!P:P, "Not found")</f>
        <v>AHM</v>
      </c>
    </row>
    <row r="177" spans="1:6">
      <c r="A177" s="3" t="s">
        <v>35</v>
      </c>
      <c r="B177" s="22" t="s">
        <v>604</v>
      </c>
      <c r="C177" s="37" t="str">
        <f>_xlfn.XLOOKUP(B177, 'Component Masterlist v2'!B:B, 'Component Masterlist v2'!O:O, "Not found")</f>
        <v>Honda DX</v>
      </c>
      <c r="D177" s="114" t="str">
        <f>_xlfn.XLOOKUP(B177, 'Component Masterlist v2'!B:B, 'Component Masterlist v2'!G:G, "Not found")</f>
        <v>Santosh Golecha</v>
      </c>
      <c r="E177" s="112" t="str">
        <f>_xlfn.XLOOKUP(B177, 'Component Masterlist v2'!B:B, 'Component Masterlist v2'!E:E, "Not found")</f>
        <v>Ankur Agarwal</v>
      </c>
      <c r="F177" s="165" t="str">
        <f>_xlfn.XLOOKUP(B177, 'Component Masterlist v2'!B:B, 'Component Masterlist v2'!P:P, "Not found")</f>
        <v>AHM</v>
      </c>
    </row>
    <row r="178" spans="1:6">
      <c r="A178" s="3" t="s">
        <v>35</v>
      </c>
      <c r="B178" s="22" t="s">
        <v>605</v>
      </c>
      <c r="C178" s="37" t="str">
        <f>_xlfn.XLOOKUP(B178, 'Component Masterlist v2'!B:B, 'Component Masterlist v2'!O:O, "Not found")</f>
        <v>Honda DX</v>
      </c>
      <c r="D178" s="114" t="str">
        <f>_xlfn.XLOOKUP(B178, 'Component Masterlist v2'!B:B, 'Component Masterlist v2'!G:G, "Not found")</f>
        <v>Santosh Golecha</v>
      </c>
      <c r="E178" s="112" t="str">
        <f>_xlfn.XLOOKUP(B178, 'Component Masterlist v2'!B:B, 'Component Masterlist v2'!E:E, "Not found")</f>
        <v>Ankur Agarwal</v>
      </c>
      <c r="F178" s="165" t="str">
        <f>_xlfn.XLOOKUP(B178, 'Component Masterlist v2'!B:B, 'Component Masterlist v2'!P:P, "Not found")</f>
        <v>AHM</v>
      </c>
    </row>
    <row r="179" spans="1:6">
      <c r="A179" s="3" t="s">
        <v>35</v>
      </c>
      <c r="B179" s="22" t="s">
        <v>606</v>
      </c>
      <c r="C179" s="37" t="str">
        <f>_xlfn.XLOOKUP(B179, 'Component Masterlist v2'!B:B, 'Component Masterlist v2'!O:O, "Not found")</f>
        <v>Honda DX</v>
      </c>
      <c r="D179" s="114" t="str">
        <f>_xlfn.XLOOKUP(B179, 'Component Masterlist v2'!B:B, 'Component Masterlist v2'!G:G, "Not found")</f>
        <v>Santosh Golecha</v>
      </c>
      <c r="E179" s="112" t="str">
        <f>_xlfn.XLOOKUP(B179, 'Component Masterlist v2'!B:B, 'Component Masterlist v2'!E:E, "Not found")</f>
        <v>Ankur Agarwal</v>
      </c>
      <c r="F179" s="165" t="str">
        <f>_xlfn.XLOOKUP(B179, 'Component Masterlist v2'!B:B, 'Component Masterlist v2'!P:P, "Not found")</f>
        <v>AHM</v>
      </c>
    </row>
    <row r="180" spans="1:6">
      <c r="A180" s="3" t="s">
        <v>35</v>
      </c>
      <c r="B180" s="22" t="s">
        <v>607</v>
      </c>
      <c r="C180" s="37" t="str">
        <f>_xlfn.XLOOKUP(B180, 'Component Masterlist v2'!B:B, 'Component Masterlist v2'!O:O, "Not found")</f>
        <v>Honda DX</v>
      </c>
      <c r="D180" s="114" t="str">
        <f>_xlfn.XLOOKUP(B180, 'Component Masterlist v2'!B:B, 'Component Masterlist v2'!G:G, "Not found")</f>
        <v>Santosh Golecha</v>
      </c>
      <c r="E180" s="112" t="str">
        <f>_xlfn.XLOOKUP(B180, 'Component Masterlist v2'!B:B, 'Component Masterlist v2'!E:E, "Not found")</f>
        <v>Ankur Agarwal</v>
      </c>
      <c r="F180" s="165" t="str">
        <f>_xlfn.XLOOKUP(B180, 'Component Masterlist v2'!B:B, 'Component Masterlist v2'!P:P, "Not found")</f>
        <v>AHM</v>
      </c>
    </row>
    <row r="181" spans="1:6">
      <c r="A181" s="3" t="s">
        <v>35</v>
      </c>
      <c r="B181" s="22" t="s">
        <v>608</v>
      </c>
      <c r="C181" s="37" t="str">
        <f>_xlfn.XLOOKUP(B181, 'Component Masterlist v2'!B:B, 'Component Masterlist v2'!O:O, "Not found")</f>
        <v>Honda PCX</v>
      </c>
      <c r="D181" s="114" t="str">
        <f>_xlfn.XLOOKUP(B181, 'Component Masterlist v2'!B:B, 'Component Masterlist v2'!G:G, "Not found")</f>
        <v>Santosh Golecha</v>
      </c>
      <c r="E181" s="112" t="str">
        <f>_xlfn.XLOOKUP(B181, 'Component Masterlist v2'!B:B, 'Component Masterlist v2'!E:E, "Not found")</f>
        <v>Ankur Agarwal</v>
      </c>
      <c r="F181" s="165" t="str">
        <f>_xlfn.XLOOKUP(B181, 'Component Masterlist v2'!B:B, 'Component Masterlist v2'!P:P, "Not found")</f>
        <v>AHM</v>
      </c>
    </row>
    <row r="182" spans="1:6">
      <c r="A182" s="3" t="s">
        <v>37</v>
      </c>
      <c r="B182" s="22" t="s">
        <v>609</v>
      </c>
      <c r="C182" s="37" t="str">
        <f>_xlfn.XLOOKUP(B182, 'Component Masterlist v2'!B:B, 'Component Masterlist v2'!O:O, "Not found")</f>
        <v>Honda Fleet</v>
      </c>
      <c r="D182" s="114" t="str">
        <f>_xlfn.XLOOKUP(B182, 'Component Masterlist v2'!B:B, 'Component Masterlist v2'!G:G, "Not found")</f>
        <v>Santosh Golecha</v>
      </c>
      <c r="E182" s="112" t="str">
        <f>_xlfn.XLOOKUP(B182, 'Component Masterlist v2'!B:B, 'Component Masterlist v2'!E:E, "Not found")</f>
        <v>Ankur Agarwal</v>
      </c>
      <c r="F182" s="165" t="str">
        <f>_xlfn.XLOOKUP(B182, 'Component Masterlist v2'!B:B, 'Component Masterlist v2'!P:P, "Not found")</f>
        <v>AHM</v>
      </c>
    </row>
    <row r="183" spans="1:6">
      <c r="A183" s="3" t="s">
        <v>37</v>
      </c>
      <c r="B183" s="22" t="s">
        <v>611</v>
      </c>
      <c r="C183" s="37" t="str">
        <f>_xlfn.XLOOKUP(B183, 'Component Masterlist v2'!B:B, 'Component Masterlist v2'!O:O, "Not found")</f>
        <v>Honda Fleet</v>
      </c>
      <c r="D183" s="114" t="str">
        <f>_xlfn.XLOOKUP(B183, 'Component Masterlist v2'!B:B, 'Component Masterlist v2'!G:G, "Not found")</f>
        <v>Santosh Golecha</v>
      </c>
      <c r="E183" s="112" t="str">
        <f>_xlfn.XLOOKUP(B183, 'Component Masterlist v2'!B:B, 'Component Masterlist v2'!E:E, "Not found")</f>
        <v>Ankur Agarwal</v>
      </c>
      <c r="F183" s="165" t="str">
        <f>_xlfn.XLOOKUP(B183, 'Component Masterlist v2'!B:B, 'Component Masterlist v2'!P:P, "Not found")</f>
        <v>AHM</v>
      </c>
    </row>
    <row r="184" spans="1:6">
      <c r="A184" s="3" t="s">
        <v>37</v>
      </c>
      <c r="B184" s="22" t="s">
        <v>612</v>
      </c>
      <c r="C184" s="37" t="str">
        <f>_xlfn.XLOOKUP(B184, 'Component Masterlist v2'!B:B, 'Component Masterlist v2'!O:O, "Not found")</f>
        <v>Honda Fleet</v>
      </c>
      <c r="D184" s="114" t="str">
        <f>_xlfn.XLOOKUP(B184, 'Component Masterlist v2'!B:B, 'Component Masterlist v2'!G:G, "Not found")</f>
        <v>Santosh Golecha</v>
      </c>
      <c r="E184" s="112" t="str">
        <f>_xlfn.XLOOKUP(B184, 'Component Masterlist v2'!B:B, 'Component Masterlist v2'!E:E, "Not found")</f>
        <v>Ankur Agarwal</v>
      </c>
      <c r="F184" s="165" t="str">
        <f>_xlfn.XLOOKUP(B184, 'Component Masterlist v2'!B:B, 'Component Masterlist v2'!P:P, "Not found")</f>
        <v>AHM</v>
      </c>
    </row>
    <row r="185" spans="1:6">
      <c r="A185" s="3" t="s">
        <v>37</v>
      </c>
      <c r="B185" s="22" t="s">
        <v>613</v>
      </c>
      <c r="C185" s="37" t="str">
        <f>_xlfn.XLOOKUP(B185, 'Component Masterlist v2'!B:B, 'Component Masterlist v2'!O:O, "Not found")</f>
        <v>Honda Fleet</v>
      </c>
      <c r="D185" s="114" t="str">
        <f>_xlfn.XLOOKUP(B185, 'Component Masterlist v2'!B:B, 'Component Masterlist v2'!G:G, "Not found")</f>
        <v>Santosh Golecha</v>
      </c>
      <c r="E185" s="112" t="str">
        <f>_xlfn.XLOOKUP(B185, 'Component Masterlist v2'!B:B, 'Component Masterlist v2'!E:E, "Not found")</f>
        <v>Ankur Agarwal</v>
      </c>
      <c r="F185" s="165" t="str">
        <f>_xlfn.XLOOKUP(B185, 'Component Masterlist v2'!B:B, 'Component Masterlist v2'!P:P, "Not found")</f>
        <v>AHM</v>
      </c>
    </row>
    <row r="186" spans="1:6">
      <c r="A186" s="3" t="s">
        <v>37</v>
      </c>
      <c r="B186" s="22" t="s">
        <v>614</v>
      </c>
      <c r="C186" s="37" t="str">
        <f>_xlfn.XLOOKUP(B186, 'Component Masterlist v2'!B:B, 'Component Masterlist v2'!O:O, "Not found")</f>
        <v>Honda Fleet</v>
      </c>
      <c r="D186" s="114" t="str">
        <f>_xlfn.XLOOKUP(B186, 'Component Masterlist v2'!B:B, 'Component Masterlist v2'!G:G, "Not found")</f>
        <v>Santosh Golecha</v>
      </c>
      <c r="E186" s="112" t="str">
        <f>_xlfn.XLOOKUP(B186, 'Component Masterlist v2'!B:B, 'Component Masterlist v2'!E:E, "Not found")</f>
        <v>Ankur Agarwal</v>
      </c>
      <c r="F186" s="165" t="str">
        <f>_xlfn.XLOOKUP(B186, 'Component Masterlist v2'!B:B, 'Component Masterlist v2'!P:P, "Not found")</f>
        <v>AHM</v>
      </c>
    </row>
    <row r="187" spans="1:6">
      <c r="A187" s="3" t="s">
        <v>37</v>
      </c>
      <c r="B187" s="22" t="s">
        <v>615</v>
      </c>
      <c r="C187" s="37" t="str">
        <f>_xlfn.XLOOKUP(B187, 'Component Masterlist v2'!B:B, 'Component Masterlist v2'!O:O, "Not found")</f>
        <v>Honda Fleet</v>
      </c>
      <c r="D187" s="114" t="str">
        <f>_xlfn.XLOOKUP(B187, 'Component Masterlist v2'!B:B, 'Component Masterlist v2'!G:G, "Not found")</f>
        <v>Santosh Golecha</v>
      </c>
      <c r="E187" s="112" t="str">
        <f>_xlfn.XLOOKUP(B187, 'Component Masterlist v2'!B:B, 'Component Masterlist v2'!E:E, "Not found")</f>
        <v>Ankur Agarwal</v>
      </c>
      <c r="F187" s="165" t="str">
        <f>_xlfn.XLOOKUP(B187, 'Component Masterlist v2'!B:B, 'Component Masterlist v2'!P:P, "Not found")</f>
        <v>AHM</v>
      </c>
    </row>
    <row r="188" spans="1:6">
      <c r="A188" s="3" t="s">
        <v>37</v>
      </c>
      <c r="B188" s="22" t="s">
        <v>616</v>
      </c>
      <c r="C188" s="37" t="str">
        <f>_xlfn.XLOOKUP(B188, 'Component Masterlist v2'!B:B, 'Component Masterlist v2'!O:O, "Not found")</f>
        <v>Honda Fleet</v>
      </c>
      <c r="D188" s="114" t="str">
        <f>_xlfn.XLOOKUP(B188, 'Component Masterlist v2'!B:B, 'Component Masterlist v2'!G:G, "Not found")</f>
        <v>Santosh Golecha</v>
      </c>
      <c r="E188" s="112" t="str">
        <f>_xlfn.XLOOKUP(B188, 'Component Masterlist v2'!B:B, 'Component Masterlist v2'!E:E, "Not found")</f>
        <v>Ankur Agarwal</v>
      </c>
      <c r="F188" s="165" t="str">
        <f>_xlfn.XLOOKUP(B188, 'Component Masterlist v2'!B:B, 'Component Masterlist v2'!P:P, "Not found")</f>
        <v>AHM</v>
      </c>
    </row>
    <row r="189" spans="1:6">
      <c r="A189" s="3" t="s">
        <v>37</v>
      </c>
      <c r="B189" s="22" t="s">
        <v>617</v>
      </c>
      <c r="C189" s="37" t="str">
        <f>_xlfn.XLOOKUP(B189, 'Component Masterlist v2'!B:B, 'Component Masterlist v2'!O:O, "Not found")</f>
        <v>Honda Fleet</v>
      </c>
      <c r="D189" s="114" t="str">
        <f>_xlfn.XLOOKUP(B189, 'Component Masterlist v2'!B:B, 'Component Masterlist v2'!G:G, "Not found")</f>
        <v>Santosh Golecha</v>
      </c>
      <c r="E189" s="112" t="str">
        <f>_xlfn.XLOOKUP(B189, 'Component Masterlist v2'!B:B, 'Component Masterlist v2'!E:E, "Not found")</f>
        <v>Ankur Agarwal</v>
      </c>
      <c r="F189" s="165" t="str">
        <f>_xlfn.XLOOKUP(B189, 'Component Masterlist v2'!B:B, 'Component Masterlist v2'!P:P, "Not found")</f>
        <v>AHM</v>
      </c>
    </row>
    <row r="190" spans="1:6">
      <c r="A190" s="3" t="s">
        <v>37</v>
      </c>
      <c r="B190" s="22" t="s">
        <v>618</v>
      </c>
      <c r="C190" s="37" t="str">
        <f>_xlfn.XLOOKUP(B190, 'Component Masterlist v2'!B:B, 'Component Masterlist v2'!O:O, "Not found")</f>
        <v>Honda Fleet</v>
      </c>
      <c r="D190" s="114" t="str">
        <f>_xlfn.XLOOKUP(B190, 'Component Masterlist v2'!B:B, 'Component Masterlist v2'!G:G, "Not found")</f>
        <v>Santosh Golecha</v>
      </c>
      <c r="E190" s="112" t="str">
        <f>_xlfn.XLOOKUP(B190, 'Component Masterlist v2'!B:B, 'Component Masterlist v2'!E:E, "Not found")</f>
        <v>Ankur Agarwal</v>
      </c>
      <c r="F190" s="165" t="str">
        <f>_xlfn.XLOOKUP(B190, 'Component Masterlist v2'!B:B, 'Component Masterlist v2'!P:P, "Not found")</f>
        <v>AHM</v>
      </c>
    </row>
    <row r="191" spans="1:6">
      <c r="A191" s="3" t="s">
        <v>37</v>
      </c>
      <c r="B191" s="22" t="s">
        <v>619</v>
      </c>
      <c r="C191" s="37" t="str">
        <f>_xlfn.XLOOKUP(B191, 'Component Masterlist v2'!B:B, 'Component Masterlist v2'!O:O, "Not found")</f>
        <v>Honda Fleet</v>
      </c>
      <c r="D191" s="114" t="str">
        <f>_xlfn.XLOOKUP(B191, 'Component Masterlist v2'!B:B, 'Component Masterlist v2'!G:G, "Not found")</f>
        <v>Santosh Golecha</v>
      </c>
      <c r="E191" s="112" t="str">
        <f>_xlfn.XLOOKUP(B191, 'Component Masterlist v2'!B:B, 'Component Masterlist v2'!E:E, "Not found")</f>
        <v>Ankur Agarwal</v>
      </c>
      <c r="F191" s="165" t="str">
        <f>_xlfn.XLOOKUP(B191, 'Component Masterlist v2'!B:B, 'Component Masterlist v2'!P:P, "Not found")</f>
        <v>AHM</v>
      </c>
    </row>
    <row r="192" spans="1:6">
      <c r="A192" s="3" t="s">
        <v>15</v>
      </c>
      <c r="B192" s="22" t="s">
        <v>620</v>
      </c>
      <c r="C192" s="37" t="str">
        <f>_xlfn.XLOOKUP(B192, 'Component Masterlist v2'!B:B, 'Component Masterlist v2'!O:O, "Not found")</f>
        <v>Setup_Mgt</v>
      </c>
      <c r="D192" s="114" t="str">
        <f>_xlfn.XLOOKUP(B192, 'Component Masterlist v2'!B:B, 'Component Masterlist v2'!G:G, "Not found")</f>
        <v>Keith Wiseman</v>
      </c>
      <c r="E192" s="112" t="str">
        <f>_xlfn.XLOOKUP(B192, 'Component Masterlist v2'!B:B, 'Component Masterlist v2'!E:E, "Not found")</f>
        <v>Bobby Alexander</v>
      </c>
      <c r="F192" s="165" t="str">
        <f>_xlfn.XLOOKUP(B192, 'Component Masterlist v2'!B:B, 'Component Masterlist v2'!P:P, "Not found")</f>
        <v>OPLT</v>
      </c>
    </row>
    <row r="193" spans="1:6">
      <c r="A193" s="3" t="s">
        <v>15</v>
      </c>
      <c r="B193" s="22" t="s">
        <v>625</v>
      </c>
      <c r="C193" s="37" t="str">
        <f>_xlfn.XLOOKUP(B193, 'Component Masterlist v2'!B:B, 'Component Masterlist v2'!O:O, "Not found")</f>
        <v>Setup_Adoption</v>
      </c>
      <c r="D193" s="114" t="str">
        <f>_xlfn.XLOOKUP(B193, 'Component Masterlist v2'!B:B, 'Component Masterlist v2'!G:G, "Not found")</f>
        <v>Keith Wiseman</v>
      </c>
      <c r="E193" s="112" t="str">
        <f>_xlfn.XLOOKUP(B193, 'Component Masterlist v2'!B:B, 'Component Masterlist v2'!E:E, "Not found")</f>
        <v>Bobby Alexander</v>
      </c>
      <c r="F193" s="165" t="str">
        <f>_xlfn.XLOOKUP(B193, 'Component Masterlist v2'!B:B, 'Component Masterlist v2'!P:P, "Not found")</f>
        <v>OPLT</v>
      </c>
    </row>
    <row r="194" spans="1:6">
      <c r="A194" s="3" t="s">
        <v>15</v>
      </c>
      <c r="B194" s="22" t="s">
        <v>627</v>
      </c>
      <c r="C194" s="37" t="str">
        <f>_xlfn.XLOOKUP(B194, 'Component Masterlist v2'!B:B, 'Component Masterlist v2'!O:O, "Not found")</f>
        <v>Launch_Center</v>
      </c>
      <c r="D194" s="114" t="str">
        <f>_xlfn.XLOOKUP(B194, 'Component Masterlist v2'!B:B, 'Component Masterlist v2'!G:G, "Not found")</f>
        <v>Keith Wiseman</v>
      </c>
      <c r="E194" s="112" t="str">
        <f>_xlfn.XLOOKUP(B194, 'Component Masterlist v2'!B:B, 'Component Masterlist v2'!E:E, "Not found")</f>
        <v>Bobby Alexander</v>
      </c>
      <c r="F194" s="165" t="str">
        <f>_xlfn.XLOOKUP(B194, 'Component Masterlist v2'!B:B, 'Component Masterlist v2'!P:P, "Not found")</f>
        <v>OPLT</v>
      </c>
    </row>
    <row r="195" spans="1:6">
      <c r="A195" s="3" t="s">
        <v>15</v>
      </c>
      <c r="B195" s="22" t="s">
        <v>629</v>
      </c>
      <c r="C195" s="37" t="str">
        <f>_xlfn.XLOOKUP(B195, 'Component Masterlist v2'!B:B, 'Component Masterlist v2'!O:O, "Not found")</f>
        <v>MAutomation</v>
      </c>
      <c r="D195" s="114" t="str">
        <f>_xlfn.XLOOKUP(B195, 'Component Masterlist v2'!B:B, 'Component Masterlist v2'!G:G, "Not found")</f>
        <v>Keith Wiseman</v>
      </c>
      <c r="E195" s="112" t="str">
        <f>_xlfn.XLOOKUP(B195, 'Component Masterlist v2'!B:B, 'Component Masterlist v2'!E:E, "Not found")</f>
        <v>Bobby Alexander</v>
      </c>
      <c r="F195" s="165" t="str">
        <f>_xlfn.XLOOKUP(B195, 'Component Masterlist v2'!B:B, 'Component Masterlist v2'!P:P, "Not found")</f>
        <v>OPLT</v>
      </c>
    </row>
    <row r="196" spans="1:6">
      <c r="A196" s="3" t="s">
        <v>15</v>
      </c>
      <c r="B196" s="22" t="s">
        <v>630</v>
      </c>
      <c r="C196" s="37" t="str">
        <f>_xlfn.XLOOKUP(B196, 'Component Masterlist v2'!B:B, 'Component Masterlist v2'!O:O, "Not found")</f>
        <v>CAutomation</v>
      </c>
      <c r="D196" s="114" t="str">
        <f>_xlfn.XLOOKUP(B196, 'Component Masterlist v2'!B:B, 'Component Masterlist v2'!G:G, "Not found")</f>
        <v>Keith Wiseman</v>
      </c>
      <c r="E196" s="112" t="str">
        <f>_xlfn.XLOOKUP(B196, 'Component Masterlist v2'!B:B, 'Component Masterlist v2'!E:E, "Not found")</f>
        <v>Bobby Alexander</v>
      </c>
      <c r="F196" s="165" t="str">
        <f>_xlfn.XLOOKUP(B196, 'Component Masterlist v2'!B:B, 'Component Masterlist v2'!P:P, "Not found")</f>
        <v>OPLT</v>
      </c>
    </row>
    <row r="197" spans="1:6">
      <c r="A197" s="3" t="s">
        <v>15</v>
      </c>
      <c r="B197" s="22" t="s">
        <v>631</v>
      </c>
      <c r="C197" s="37" t="str">
        <f>_xlfn.XLOOKUP(B197, 'Component Masterlist v2'!B:B, 'Component Masterlist v2'!O:O, "Not found")</f>
        <v>GAutomation</v>
      </c>
      <c r="D197" s="114" t="str">
        <f>_xlfn.XLOOKUP(B197, 'Component Masterlist v2'!B:B, 'Component Masterlist v2'!G:G, "Not found")</f>
        <v>Keith Wiseman</v>
      </c>
      <c r="E197" s="112" t="str">
        <f>_xlfn.XLOOKUP(B197, 'Component Masterlist v2'!B:B, 'Component Masterlist v2'!E:E, "Not found")</f>
        <v>Bobby Alexander</v>
      </c>
      <c r="F197" s="165" t="str">
        <f>_xlfn.XLOOKUP(B197, 'Component Masterlist v2'!B:B, 'Component Masterlist v2'!P:P, "Not found")</f>
        <v>OPLT</v>
      </c>
    </row>
    <row r="198" spans="1:6">
      <c r="A198" s="3" t="s">
        <v>15</v>
      </c>
      <c r="B198" s="47" t="s">
        <v>632</v>
      </c>
      <c r="C198" s="37" t="str">
        <f>_xlfn.XLOOKUP(B198, 'Component Masterlist v2'!B:B, 'Component Masterlist v2'!O:O, "Not found")</f>
        <v>PLG</v>
      </c>
      <c r="D198" s="114" t="str">
        <f>_xlfn.XLOOKUP(B198, 'Component Masterlist v2'!B:B, 'Component Masterlist v2'!G:G, "Not found")</f>
        <v>Keith Wiseman</v>
      </c>
      <c r="E198" s="112" t="str">
        <f>_xlfn.XLOOKUP(B198, 'Component Masterlist v2'!B:B, 'Component Masterlist v2'!E:E, "Not found")</f>
        <v>Bobby Alexander</v>
      </c>
      <c r="F198" s="165" t="str">
        <f>_xlfn.XLOOKUP(B198, 'Component Masterlist v2'!B:B, 'Component Masterlist v2'!P:P, "Not found")</f>
        <v>OPLT</v>
      </c>
    </row>
    <row r="199" spans="1:6">
      <c r="A199" s="3" t="s">
        <v>15</v>
      </c>
      <c r="B199" s="47" t="s">
        <v>635</v>
      </c>
      <c r="C199" s="37" t="str">
        <f>_xlfn.XLOOKUP(B199, 'Component Masterlist v2'!B:B, 'Component Masterlist v2'!O:O, "Not found")</f>
        <v>Schema_Curator</v>
      </c>
      <c r="D199" s="114" t="str">
        <f>_xlfn.XLOOKUP(B199, 'Component Masterlist v2'!B:B, 'Component Masterlist v2'!G:G, "Not found")</f>
        <v>Keith Wiseman</v>
      </c>
      <c r="E199" s="112" t="str">
        <f>_xlfn.XLOOKUP(B199, 'Component Masterlist v2'!B:B, 'Component Masterlist v2'!E:E, "Not found")</f>
        <v>Bobby Alexander</v>
      </c>
      <c r="F199" s="165" t="str">
        <f>_xlfn.XLOOKUP(B199, 'Component Masterlist v2'!B:B, 'Component Masterlist v2'!P:P, "Not found")</f>
        <v>OPLT</v>
      </c>
    </row>
    <row r="200" spans="1:6">
      <c r="A200" s="3" t="s">
        <v>15</v>
      </c>
      <c r="B200" s="22" t="s">
        <v>636</v>
      </c>
      <c r="C200" s="37" t="str">
        <f>_xlfn.XLOOKUP(B200, 'Component Masterlist v2'!B:B, 'Component Masterlist v2'!O:O, "Not found")</f>
        <v>TAO</v>
      </c>
      <c r="D200" s="114" t="str">
        <f>_xlfn.XLOOKUP(B200, 'Component Masterlist v2'!B:B, 'Component Masterlist v2'!G:G, "Not found")</f>
        <v>Keith Wiseman</v>
      </c>
      <c r="E200" s="112" t="str">
        <f>_xlfn.XLOOKUP(B200, 'Component Masterlist v2'!B:B, 'Component Masterlist v2'!E:E, "Not found")</f>
        <v>Bobby Alexander</v>
      </c>
      <c r="F200" s="165" t="str">
        <f>_xlfn.XLOOKUP(B200, 'Component Masterlist v2'!B:B, 'Component Masterlist v2'!P:P, "Not found")</f>
        <v>OPLT</v>
      </c>
    </row>
    <row r="201" spans="1:6">
      <c r="A201" s="41" t="s">
        <v>84</v>
      </c>
      <c r="B201" s="47" t="s">
        <v>638</v>
      </c>
      <c r="C201" s="37" t="str">
        <f>_xlfn.XLOOKUP(B201, 'Component Masterlist v2'!B:B, 'Component Masterlist v2'!O:O, "Not found")</f>
        <v>Ganga</v>
      </c>
      <c r="D201" s="114" t="str">
        <f>_xlfn.XLOOKUP(B201, 'Component Masterlist v2'!B:B, 'Component Masterlist v2'!G:G, "Not found")</f>
        <v>Ved Singh</v>
      </c>
      <c r="E201" s="112" t="str">
        <f>_xlfn.XLOOKUP(B201, 'Component Masterlist v2'!B:B, 'Component Masterlist v2'!E:E, "Not found")</f>
        <v>Damodara Reddy</v>
      </c>
      <c r="F201" s="165" t="str">
        <f>_xlfn.XLOOKUP(B201, 'Component Masterlist v2'!B:B, 'Component Masterlist v2'!P:P, "Not found")</f>
        <v>FNI</v>
      </c>
    </row>
    <row r="202" spans="1:6">
      <c r="A202" s="41" t="s">
        <v>84</v>
      </c>
      <c r="B202" s="47" t="s">
        <v>642</v>
      </c>
      <c r="C202" s="37" t="str">
        <f>_xlfn.XLOOKUP(B202, 'Component Masterlist v2'!B:B, 'Component Masterlist v2'!O:O, "Not found")</f>
        <v>Yamuna</v>
      </c>
      <c r="D202" s="114" t="str">
        <f>_xlfn.XLOOKUP(B202, 'Component Masterlist v2'!B:B, 'Component Masterlist v2'!G:G, "Not found")</f>
        <v>Ved Singh</v>
      </c>
      <c r="E202" s="112" t="str">
        <f>_xlfn.XLOOKUP(B202, 'Component Masterlist v2'!B:B, 'Component Masterlist v2'!E:E, "Not found")</f>
        <v>Damodara Reddy</v>
      </c>
      <c r="F202" s="165" t="str">
        <f>_xlfn.XLOOKUP(B202, 'Component Masterlist v2'!B:B, 'Component Masterlist v2'!P:P, "Not found")</f>
        <v>FNI</v>
      </c>
    </row>
    <row r="203" spans="1:6">
      <c r="A203" s="41" t="s">
        <v>84</v>
      </c>
      <c r="B203" s="47" t="s">
        <v>645</v>
      </c>
      <c r="C203" s="37" t="str">
        <f>_xlfn.XLOOKUP(B203, 'Component Masterlist v2'!B:B, 'Component Masterlist v2'!O:O, "Not found")</f>
        <v>Saryu</v>
      </c>
      <c r="D203" s="114" t="str">
        <f>_xlfn.XLOOKUP(B203, 'Component Masterlist v2'!B:B, 'Component Masterlist v2'!G:G, "Not found")</f>
        <v>Ved Singh</v>
      </c>
      <c r="E203" s="112" t="str">
        <f>_xlfn.XLOOKUP(B203, 'Component Masterlist v2'!B:B, 'Component Masterlist v2'!E:E, "Not found")</f>
        <v>Damodara Reddy</v>
      </c>
      <c r="F203" s="165" t="str">
        <f>_xlfn.XLOOKUP(B203, 'Component Masterlist v2'!B:B, 'Component Masterlist v2'!P:P, "Not found")</f>
        <v>FNI</v>
      </c>
    </row>
    <row r="204" spans="1:6">
      <c r="A204" s="41" t="s">
        <v>84</v>
      </c>
      <c r="B204" s="47" t="s">
        <v>647</v>
      </c>
      <c r="C204" s="37" t="str">
        <f>_xlfn.XLOOKUP(B204, 'Component Masterlist v2'!B:B, 'Component Masterlist v2'!O:O, "Not found")</f>
        <v>Godavari</v>
      </c>
      <c r="D204" s="114" t="str">
        <f>_xlfn.XLOOKUP(B204, 'Component Masterlist v2'!B:B, 'Component Masterlist v2'!G:G, "Not found")</f>
        <v>Ved Singh</v>
      </c>
      <c r="E204" s="112" t="str">
        <f>_xlfn.XLOOKUP(B204, 'Component Masterlist v2'!B:B, 'Component Masterlist v2'!E:E, "Not found")</f>
        <v>Damodara Reddy</v>
      </c>
      <c r="F204" s="165" t="str">
        <f>_xlfn.XLOOKUP(B204, 'Component Masterlist v2'!B:B, 'Component Masterlist v2'!P:P, "Not found")</f>
        <v>FNI</v>
      </c>
    </row>
    <row r="205" spans="1:6">
      <c r="A205" s="41" t="s">
        <v>84</v>
      </c>
      <c r="B205" s="47" t="s">
        <v>649</v>
      </c>
      <c r="C205" s="37" t="str">
        <f>_xlfn.XLOOKUP(B205, 'Component Masterlist v2'!B:B, 'Component Masterlist v2'!O:O, "Not found")</f>
        <v>Godavari</v>
      </c>
      <c r="D205" s="114" t="str">
        <f>_xlfn.XLOOKUP(B205, 'Component Masterlist v2'!B:B, 'Component Masterlist v2'!G:G, "Not found")</f>
        <v>Ved Singh</v>
      </c>
      <c r="E205" s="112" t="str">
        <f>_xlfn.XLOOKUP(B205, 'Component Masterlist v2'!B:B, 'Component Masterlist v2'!E:E, "Not found")</f>
        <v>Damodara Reddy</v>
      </c>
      <c r="F205" s="165" t="str">
        <f>_xlfn.XLOOKUP(B205, 'Component Masterlist v2'!B:B, 'Component Masterlist v2'!P:P, "Not found")</f>
        <v>FNI</v>
      </c>
    </row>
    <row r="206" spans="1:6">
      <c r="A206" s="41" t="s">
        <v>84</v>
      </c>
      <c r="B206" s="47" t="s">
        <v>651</v>
      </c>
      <c r="C206" s="37" t="str">
        <f>_xlfn.XLOOKUP(B206, 'Component Masterlist v2'!B:B, 'Component Masterlist v2'!O:O, "Not found")</f>
        <v>Yamuna</v>
      </c>
      <c r="D206" s="114" t="str">
        <f>_xlfn.XLOOKUP(B206, 'Component Masterlist v2'!B:B, 'Component Masterlist v2'!G:G, "Not found")</f>
        <v>Ved Singh</v>
      </c>
      <c r="E206" s="112" t="str">
        <f>_xlfn.XLOOKUP(B206, 'Component Masterlist v2'!B:B, 'Component Masterlist v2'!E:E, "Not found")</f>
        <v>Damodara Reddy</v>
      </c>
      <c r="F206" s="165" t="str">
        <f>_xlfn.XLOOKUP(B206, 'Component Masterlist v2'!B:B, 'Component Masterlist v2'!P:P, "Not found")</f>
        <v>FNI</v>
      </c>
    </row>
    <row r="207" spans="1:6">
      <c r="A207" s="41" t="s">
        <v>84</v>
      </c>
      <c r="B207" s="47" t="s">
        <v>652</v>
      </c>
      <c r="C207" s="37" t="str">
        <f>_xlfn.XLOOKUP(B207, 'Component Masterlist v2'!B:B, 'Component Masterlist v2'!O:O, "Not found")</f>
        <v>Godavari</v>
      </c>
      <c r="D207" s="114" t="str">
        <f>_xlfn.XLOOKUP(B207, 'Component Masterlist v2'!B:B, 'Component Masterlist v2'!G:G, "Not found")</f>
        <v>Ved Singh</v>
      </c>
      <c r="E207" s="112" t="str">
        <f>_xlfn.XLOOKUP(B207, 'Component Masterlist v2'!B:B, 'Component Masterlist v2'!E:E, "Not found")</f>
        <v>Damodara Reddy</v>
      </c>
      <c r="F207" s="165" t="str">
        <f>_xlfn.XLOOKUP(B207, 'Component Masterlist v2'!B:B, 'Component Masterlist v2'!P:P, "Not found")</f>
        <v>FNI</v>
      </c>
    </row>
    <row r="208" spans="1:6">
      <c r="A208" s="41" t="s">
        <v>84</v>
      </c>
      <c r="B208" s="47" t="s">
        <v>653</v>
      </c>
      <c r="C208" s="37" t="str">
        <f>_xlfn.XLOOKUP(B208, 'Component Masterlist v2'!B:B, 'Component Masterlist v2'!O:O, "Not found")</f>
        <v>Krishna</v>
      </c>
      <c r="D208" s="114" t="str">
        <f>_xlfn.XLOOKUP(B208, 'Component Masterlist v2'!B:B, 'Component Masterlist v2'!G:G, "Not found")</f>
        <v>Ved Singh</v>
      </c>
      <c r="E208" s="112" t="str">
        <f>_xlfn.XLOOKUP(B208, 'Component Masterlist v2'!B:B, 'Component Masterlist v2'!E:E, "Not found")</f>
        <v>Damodara Reddy</v>
      </c>
      <c r="F208" s="165" t="str">
        <f>_xlfn.XLOOKUP(B208, 'Component Masterlist v2'!B:B, 'Component Masterlist v2'!P:P, "Not found")</f>
        <v>FNI</v>
      </c>
    </row>
    <row r="209" spans="1:6">
      <c r="A209" s="41" t="s">
        <v>29</v>
      </c>
      <c r="B209" s="47" t="s">
        <v>29</v>
      </c>
      <c r="C209" s="37" t="str">
        <f>_xlfn.XLOOKUP(B209, 'Component Masterlist v2'!B:B, 'Component Masterlist v2'!O:O, "Not found")</f>
        <v>Not found</v>
      </c>
      <c r="D209" s="114" t="str">
        <f>_xlfn.XLOOKUP(B209, 'Component Masterlist v2'!B:B, 'Component Masterlist v2'!G:G, "Not found")</f>
        <v>Raghu Edalur</v>
      </c>
      <c r="E209" s="112" t="str">
        <f>_xlfn.XLOOKUP(B209, 'Component Masterlist v2'!B:B, 'Component Masterlist v2'!E:E, "Not found")</f>
        <v>Raghu Edalur</v>
      </c>
      <c r="F209" s="165">
        <f>_xlfn.XLOOKUP(B209, 'Component Masterlist v2'!B:B, 'Component Masterlist v2'!P:P, "Not found")</f>
        <v>0</v>
      </c>
    </row>
    <row r="210" spans="1:6">
      <c r="A210" s="41" t="s">
        <v>90</v>
      </c>
      <c r="B210" s="47" t="s">
        <v>654</v>
      </c>
      <c r="C210" s="37" t="str">
        <f>_xlfn.XLOOKUP(B210, 'Component Masterlist v2'!B:B, 'Component Masterlist v2'!O:O, "Not found")</f>
        <v>AIBDC</v>
      </c>
      <c r="D210" s="114" t="str">
        <f>_xlfn.XLOOKUP(B210, 'Component Masterlist v2'!B:B, 'Component Masterlist v2'!G:G, "Not found")</f>
        <v>Ved Singh</v>
      </c>
      <c r="E210" s="112" t="str">
        <f>_xlfn.XLOOKUP(B210, 'Component Masterlist v2'!B:B, 'Component Masterlist v2'!E:E, "Not found")</f>
        <v>Ketan Dikshit</v>
      </c>
      <c r="F210" s="165" t="str">
        <f>_xlfn.XLOOKUP(B210, 'Component Masterlist v2'!B:B, 'Component Masterlist v2'!P:P, "Not found")</f>
        <v>AIB</v>
      </c>
    </row>
    <row r="211" spans="1:6">
      <c r="A211" s="41" t="s">
        <v>90</v>
      </c>
      <c r="B211" s="47" t="s">
        <v>657</v>
      </c>
      <c r="C211" s="37" t="str">
        <f>_xlfn.XLOOKUP(B211, 'Component Masterlist v2'!B:B, 'Component Masterlist v2'!O:O, "Not found")</f>
        <v>AIBDC</v>
      </c>
      <c r="D211" s="114" t="str">
        <f>_xlfn.XLOOKUP(B211, 'Component Masterlist v2'!B:B, 'Component Masterlist v2'!G:G, "Not found")</f>
        <v>Ved Singh</v>
      </c>
      <c r="E211" s="112" t="str">
        <f>_xlfn.XLOOKUP(B211, 'Component Masterlist v2'!B:B, 'Component Masterlist v2'!E:E, "Not found")</f>
        <v>Ketan Dikshit</v>
      </c>
      <c r="F211" s="165" t="str">
        <f>_xlfn.XLOOKUP(B211, 'Component Masterlist v2'!B:B, 'Component Masterlist v2'!P:P, "Not found")</f>
        <v>AIB</v>
      </c>
    </row>
    <row r="212" spans="1:6">
      <c r="A212" s="41" t="s">
        <v>90</v>
      </c>
      <c r="B212" s="47" t="s">
        <v>658</v>
      </c>
      <c r="C212" s="37" t="str">
        <f>_xlfn.XLOOKUP(B212, 'Component Masterlist v2'!B:B, 'Component Masterlist v2'!O:O, "Not found")</f>
        <v>AIBDC</v>
      </c>
      <c r="D212" s="114" t="str">
        <f>_xlfn.XLOOKUP(B212, 'Component Masterlist v2'!B:B, 'Component Masterlist v2'!G:G, "Not found")</f>
        <v>Ved Singh</v>
      </c>
      <c r="E212" s="112" t="str">
        <f>_xlfn.XLOOKUP(B212, 'Component Masterlist v2'!B:B, 'Component Masterlist v2'!E:E, "Not found")</f>
        <v>Ketan Dikshit</v>
      </c>
      <c r="F212" s="165" t="str">
        <f>_xlfn.XLOOKUP(B212, 'Component Masterlist v2'!B:B, 'Component Masterlist v2'!P:P, "Not found")</f>
        <v>AIB</v>
      </c>
    </row>
    <row r="213" spans="1:6">
      <c r="A213" s="41" t="s">
        <v>90</v>
      </c>
      <c r="B213" s="47" t="s">
        <v>659</v>
      </c>
      <c r="C213" s="37" t="str">
        <f>_xlfn.XLOOKUP(B213, 'Component Masterlist v2'!B:B, 'Component Masterlist v2'!O:O, "Not found")</f>
        <v>AIBDC</v>
      </c>
      <c r="D213" s="114" t="str">
        <f>_xlfn.XLOOKUP(B213, 'Component Masterlist v2'!B:B, 'Component Masterlist v2'!G:G, "Not found")</f>
        <v>Ved Singh</v>
      </c>
      <c r="E213" s="112" t="str">
        <f>_xlfn.XLOOKUP(B213, 'Component Masterlist v2'!B:B, 'Component Masterlist v2'!E:E, "Not found")</f>
        <v>Ketan Dikshit</v>
      </c>
      <c r="F213" s="165" t="str">
        <f>_xlfn.XLOOKUP(B213, 'Component Masterlist v2'!B:B, 'Component Masterlist v2'!P:P, "Not found")</f>
        <v>AIB</v>
      </c>
    </row>
    <row r="214" spans="1:6">
      <c r="A214" s="41" t="s">
        <v>90</v>
      </c>
      <c r="B214" s="47" t="s">
        <v>660</v>
      </c>
      <c r="C214" s="37" t="str">
        <f>_xlfn.XLOOKUP(B214, 'Component Masterlist v2'!B:B, 'Component Masterlist v2'!O:O, "Not found")</f>
        <v>Not found</v>
      </c>
      <c r="D214" s="114" t="str">
        <f>_xlfn.XLOOKUP(B214, 'Component Masterlist v2'!B:B, 'Component Masterlist v2'!G:G, "Not found")</f>
        <v>Ved Singh</v>
      </c>
      <c r="E214" s="112" t="str">
        <f>_xlfn.XLOOKUP(B214, 'Component Masterlist v2'!B:B, 'Component Masterlist v2'!E:E, "Not found")</f>
        <v>Ketan Dikshit</v>
      </c>
      <c r="F214" s="165" t="str">
        <f>_xlfn.XLOOKUP(B214, 'Component Masterlist v2'!B:B, 'Component Masterlist v2'!P:P, "Not found")</f>
        <v>AIB</v>
      </c>
    </row>
    <row r="215" spans="1:6">
      <c r="A215" s="41" t="s">
        <v>90</v>
      </c>
      <c r="B215" s="47" t="s">
        <v>661</v>
      </c>
      <c r="C215" s="37" t="str">
        <f>_xlfn.XLOOKUP(B215, 'Component Masterlist v2'!B:B, 'Component Masterlist v2'!O:O, "Not found")</f>
        <v>AIBDC</v>
      </c>
      <c r="D215" s="114" t="str">
        <f>_xlfn.XLOOKUP(B215, 'Component Masterlist v2'!B:B, 'Component Masterlist v2'!G:G, "Not found")</f>
        <v>Ved Singh</v>
      </c>
      <c r="E215" s="112" t="str">
        <f>_xlfn.XLOOKUP(B215, 'Component Masterlist v2'!B:B, 'Component Masterlist v2'!E:E, "Not found")</f>
        <v>Ketan Dikshit</v>
      </c>
      <c r="F215" s="165" t="str">
        <f>_xlfn.XLOOKUP(B215, 'Component Masterlist v2'!B:B, 'Component Masterlist v2'!P:P, "Not found")</f>
        <v>AIB</v>
      </c>
    </row>
    <row r="216" spans="1:6">
      <c r="A216" s="41" t="s">
        <v>36</v>
      </c>
      <c r="B216" s="47" t="s">
        <v>662</v>
      </c>
      <c r="C216" s="37" t="str">
        <f>_xlfn.XLOOKUP(B216, 'Component Masterlist v2'!B:B, 'Component Masterlist v2'!O:O, "Not found")</f>
        <v>Genesis</v>
      </c>
      <c r="D216" s="114" t="str">
        <f>_xlfn.XLOOKUP(B216, 'Component Masterlist v2'!B:B, 'Component Masterlist v2'!G:G, "Not found")</f>
        <v>Santosh Golecha</v>
      </c>
      <c r="E216" s="112" t="str">
        <f>_xlfn.XLOOKUP(B216, 'Component Masterlist v2'!B:B, 'Component Masterlist v2'!E:E, "Not found")</f>
        <v>Ankur Agarwal</v>
      </c>
      <c r="F216" s="165" t="str">
        <f>_xlfn.XLOOKUP(B216, 'Component Masterlist v2'!B:B, 'Component Masterlist v2'!P:P, "Not found")</f>
        <v>HYUN</v>
      </c>
    </row>
    <row r="217" spans="1:6">
      <c r="A217" s="41" t="s">
        <v>36</v>
      </c>
      <c r="B217" s="47" t="s">
        <v>665</v>
      </c>
      <c r="C217" s="37" t="str">
        <f>_xlfn.XLOOKUP(B217, 'Component Masterlist v2'!B:B, 'Component Masterlist v2'!O:O, "Not found")</f>
        <v>Genesis</v>
      </c>
      <c r="D217" s="114" t="str">
        <f>_xlfn.XLOOKUP(B217, 'Component Masterlist v2'!B:B, 'Component Masterlist v2'!G:G, "Not found")</f>
        <v>Santosh Golecha</v>
      </c>
      <c r="E217" s="112" t="str">
        <f>_xlfn.XLOOKUP(B217, 'Component Masterlist v2'!B:B, 'Component Masterlist v2'!E:E, "Not found")</f>
        <v>Ankur Agarwal</v>
      </c>
      <c r="F217" s="165" t="str">
        <f>_xlfn.XLOOKUP(B217, 'Component Masterlist v2'!B:B, 'Component Masterlist v2'!P:P, "Not found")</f>
        <v>HYUN</v>
      </c>
    </row>
    <row r="218" spans="1:6">
      <c r="A218" s="41" t="s">
        <v>36</v>
      </c>
      <c r="B218" s="47" t="s">
        <v>666</v>
      </c>
      <c r="C218" s="37" t="str">
        <f>_xlfn.XLOOKUP(B218, 'Component Masterlist v2'!B:B, 'Component Masterlist v2'!O:O, "Not found")</f>
        <v>Genesis</v>
      </c>
      <c r="D218" s="114" t="str">
        <f>_xlfn.XLOOKUP(B218, 'Component Masterlist v2'!B:B, 'Component Masterlist v2'!G:G, "Not found")</f>
        <v>Santosh Golecha</v>
      </c>
      <c r="E218" s="112" t="str">
        <f>_xlfn.XLOOKUP(B218, 'Component Masterlist v2'!B:B, 'Component Masterlist v2'!E:E, "Not found")</f>
        <v>Ankur Agarwal</v>
      </c>
      <c r="F218" s="165" t="str">
        <f>_xlfn.XLOOKUP(B218, 'Component Masterlist v2'!B:B, 'Component Masterlist v2'!P:P, "Not found")</f>
        <v>HYUN</v>
      </c>
    </row>
    <row r="219" spans="1:6">
      <c r="A219" s="41" t="s">
        <v>36</v>
      </c>
      <c r="B219" s="47" t="s">
        <v>667</v>
      </c>
      <c r="C219" s="37" t="str">
        <f>_xlfn.XLOOKUP(B219, 'Component Masterlist v2'!B:B, 'Component Masterlist v2'!O:O, "Not found")</f>
        <v>Genesis</v>
      </c>
      <c r="D219" s="114" t="str">
        <f>_xlfn.XLOOKUP(B219, 'Component Masterlist v2'!B:B, 'Component Masterlist v2'!G:G, "Not found")</f>
        <v>Santosh Golecha</v>
      </c>
      <c r="E219" s="112" t="str">
        <f>_xlfn.XLOOKUP(B219, 'Component Masterlist v2'!B:B, 'Component Masterlist v2'!E:E, "Not found")</f>
        <v>Ankur Agarwal</v>
      </c>
      <c r="F219" s="165" t="str">
        <f>_xlfn.XLOOKUP(B219, 'Component Masterlist v2'!B:B, 'Component Masterlist v2'!P:P, "Not found")</f>
        <v>HYUN</v>
      </c>
    </row>
    <row r="220" spans="1:6">
      <c r="A220" s="41" t="s">
        <v>77</v>
      </c>
      <c r="B220" s="47" t="s">
        <v>77</v>
      </c>
      <c r="C220" s="37" t="str">
        <f>_xlfn.XLOOKUP(B220, 'Component Masterlist v2'!B:B, 'Component Masterlist v2'!O:O, "Not found")</f>
        <v>Not found</v>
      </c>
      <c r="D220" s="114" t="str">
        <f>_xlfn.XLOOKUP(B220, 'Component Masterlist v2'!B:B, 'Component Masterlist v2'!G:G, "Not found")</f>
        <v>Teza Mukkavilli</v>
      </c>
      <c r="E220" s="112" t="str">
        <f>_xlfn.XLOOKUP(B220, 'Component Masterlist v2'!B:B, 'Component Masterlist v2'!E:E, "Not found")</f>
        <v>Vijay Kumar</v>
      </c>
      <c r="F220" s="165">
        <f>_xlfn.XLOOKUP(B220, 'Component Masterlist v2'!B:B, 'Component Masterlist v2'!P:P, "Not found")</f>
        <v>0</v>
      </c>
    </row>
    <row r="221" spans="1:6">
      <c r="A221" s="41" t="s">
        <v>22</v>
      </c>
      <c r="B221" s="47" t="s">
        <v>22</v>
      </c>
      <c r="C221" s="37" t="str">
        <f>_xlfn.XLOOKUP(B221, 'Component Masterlist v2'!B:B, 'Component Masterlist v2'!O:O, "Not found")</f>
        <v>Not found</v>
      </c>
      <c r="D221" s="114" t="str">
        <f>_xlfn.XLOOKUP(B221, 'Component Masterlist v2'!B:B, 'Component Masterlist v2'!G:G, "Not found")</f>
        <v>Marc Stillman</v>
      </c>
      <c r="E221" s="112" t="str">
        <f>_xlfn.XLOOKUP(B221, 'Component Masterlist v2'!B:B, 'Component Masterlist v2'!E:E, "Not found")</f>
        <v>Gaurav Sharma</v>
      </c>
      <c r="F221" s="165" t="str">
        <f>_xlfn.XLOOKUP(B221, 'Component Masterlist v2'!B:B, 'Component Masterlist v2'!P:P, "Not found")</f>
        <v>VOC</v>
      </c>
    </row>
    <row r="222" spans="1:6">
      <c r="A222" s="41" t="s">
        <v>19</v>
      </c>
      <c r="B222" s="47" t="s">
        <v>670</v>
      </c>
      <c r="C222" s="37" t="str">
        <f>_xlfn.XLOOKUP(B222, 'Component Masterlist v2'!B:B, 'Component Masterlist v2'!O:O, "Not found")</f>
        <v>Not found</v>
      </c>
      <c r="D222" s="114" t="str">
        <f>_xlfn.XLOOKUP(B222, 'Component Masterlist v2'!B:B, 'Component Masterlist v2'!G:G, "Not found")</f>
        <v>Kunal Bhattacharya</v>
      </c>
      <c r="E222" s="112" t="str">
        <f>_xlfn.XLOOKUP(B222, 'Component Masterlist v2'!B:B, 'Component Masterlist v2'!E:E, "Not found")</f>
        <v>Kapileshwar Punna</v>
      </c>
      <c r="F222" s="165">
        <f>_xlfn.XLOOKUP(B222, 'Component Masterlist v2'!B:B, 'Component Masterlist v2'!P:P, "Not found")</f>
        <v>0</v>
      </c>
    </row>
    <row r="223" spans="1:6">
      <c r="A223" s="41" t="s">
        <v>19</v>
      </c>
      <c r="B223" s="47" t="s">
        <v>672</v>
      </c>
      <c r="C223" s="37" t="str">
        <f>_xlfn.XLOOKUP(B223, 'Component Masterlist v2'!B:B, 'Component Masterlist v2'!O:O, "Not found")</f>
        <v>Not found</v>
      </c>
      <c r="D223" s="114" t="str">
        <f>_xlfn.XLOOKUP(B223, 'Component Masterlist v2'!B:B, 'Component Masterlist v2'!G:G, "Not found")</f>
        <v>Kunal Bhattacharya</v>
      </c>
      <c r="E223" s="112" t="str">
        <f>_xlfn.XLOOKUP(B223, 'Component Masterlist v2'!B:B, 'Component Masterlist v2'!E:E, "Not found")</f>
        <v>Kapileshwar Punna</v>
      </c>
      <c r="F223" s="165">
        <f>_xlfn.XLOOKUP(B223, 'Component Masterlist v2'!B:B, 'Component Masterlist v2'!P:P, "Not found")</f>
        <v>0</v>
      </c>
    </row>
    <row r="224" spans="1:6">
      <c r="A224" s="41" t="s">
        <v>19</v>
      </c>
      <c r="B224" s="47" t="s">
        <v>673</v>
      </c>
      <c r="C224" s="37" t="str">
        <f>_xlfn.XLOOKUP(B224, 'Component Masterlist v2'!B:B, 'Component Masterlist v2'!O:O, "Not found")</f>
        <v>Not found</v>
      </c>
      <c r="D224" s="114" t="str">
        <f>_xlfn.XLOOKUP(B224, 'Component Masterlist v2'!B:B, 'Component Masterlist v2'!G:G, "Not found")</f>
        <v>Kunal Bhattacharya</v>
      </c>
      <c r="E224" s="112" t="str">
        <f>_xlfn.XLOOKUP(B224, 'Component Masterlist v2'!B:B, 'Component Masterlist v2'!E:E, "Not found")</f>
        <v>Kapileshwar Punna</v>
      </c>
      <c r="F224" s="165">
        <f>_xlfn.XLOOKUP(B224, 'Component Masterlist v2'!B:B, 'Component Masterlist v2'!P:P, "Not found")</f>
        <v>0</v>
      </c>
    </row>
    <row r="225" spans="1:6">
      <c r="A225" s="41" t="s">
        <v>19</v>
      </c>
      <c r="B225" s="47" t="s">
        <v>674</v>
      </c>
      <c r="C225" s="37" t="str">
        <f>_xlfn.XLOOKUP(B225, 'Component Masterlist v2'!B:B, 'Component Masterlist v2'!O:O, "Not found")</f>
        <v>Not found</v>
      </c>
      <c r="D225" s="114" t="str">
        <f>_xlfn.XLOOKUP(B225, 'Component Masterlist v2'!B:B, 'Component Masterlist v2'!G:G, "Not found")</f>
        <v>Kunal Bhattacharya</v>
      </c>
      <c r="E225" s="112" t="str">
        <f>_xlfn.XLOOKUP(B225, 'Component Masterlist v2'!B:B, 'Component Masterlist v2'!E:E, "Not found")</f>
        <v>Kapileshwar Punna</v>
      </c>
      <c r="F225" s="165">
        <f>_xlfn.XLOOKUP(B225, 'Component Masterlist v2'!B:B, 'Component Masterlist v2'!P:P, "Not found")</f>
        <v>0</v>
      </c>
    </row>
    <row r="226" spans="1:6">
      <c r="A226" s="41" t="s">
        <v>19</v>
      </c>
      <c r="B226" s="47" t="s">
        <v>675</v>
      </c>
      <c r="C226" s="37" t="str">
        <f>_xlfn.XLOOKUP(B226, 'Component Masterlist v2'!B:B, 'Component Masterlist v2'!O:O, "Not found")</f>
        <v>Not found</v>
      </c>
      <c r="D226" s="114" t="str">
        <f>_xlfn.XLOOKUP(B226, 'Component Masterlist v2'!B:B, 'Component Masterlist v2'!G:G, "Not found")</f>
        <v>Kunal Bhattacharya</v>
      </c>
      <c r="E226" s="112" t="str">
        <f>_xlfn.XLOOKUP(B226, 'Component Masterlist v2'!B:B, 'Component Masterlist v2'!E:E, "Not found")</f>
        <v>Kapileshwar Punna</v>
      </c>
      <c r="F226" s="165">
        <f>_xlfn.XLOOKUP(B226, 'Component Masterlist v2'!B:B, 'Component Masterlist v2'!P:P, "Not found")</f>
        <v>0</v>
      </c>
    </row>
    <row r="227" spans="1:6">
      <c r="A227" s="41" t="s">
        <v>101</v>
      </c>
      <c r="B227" s="47" t="s">
        <v>101</v>
      </c>
      <c r="C227" s="37" t="str">
        <f>_xlfn.XLOOKUP(B227, 'Component Masterlist v2'!B:B, 'Component Masterlist v2'!O:O, "Not found")</f>
        <v>Not found</v>
      </c>
      <c r="D227" s="114" t="str">
        <f>_xlfn.XLOOKUP(B227, 'Component Masterlist v2'!B:B, 'Component Masterlist v2'!G:G, "Not found")</f>
        <v>Sowmya Shivalli Malliah</v>
      </c>
      <c r="E227" s="112">
        <f>_xlfn.XLOOKUP(B227, 'Component Masterlist v2'!B:B, 'Component Masterlist v2'!E:E, "Not found")</f>
        <v>0</v>
      </c>
      <c r="F227" s="165">
        <f>_xlfn.XLOOKUP(B227, 'Component Masterlist v2'!B:B, 'Component Masterlist v2'!P:P, "Not found")</f>
        <v>0</v>
      </c>
    </row>
    <row r="228" spans="1:6">
      <c r="A228" s="41" t="s">
        <v>63</v>
      </c>
      <c r="B228" s="47" t="s">
        <v>676</v>
      </c>
      <c r="C228" s="37" t="str">
        <f>_xlfn.XLOOKUP(B228, 'Component Masterlist v2'!B:B, 'Component Masterlist v2'!O:O, "Not found")</f>
        <v>VDP &amp; Rewrite</v>
      </c>
      <c r="D228" s="114" t="str">
        <f>_xlfn.XLOOKUP(B228, 'Component Masterlist v2'!B:B, 'Component Masterlist v2'!G:G, "Not found")</f>
        <v>Satish Sallakonda</v>
      </c>
      <c r="E228" s="112" t="str">
        <f>_xlfn.XLOOKUP(B228, 'Component Masterlist v2'!B:B, 'Component Masterlist v2'!E:E, "Not found")</f>
        <v>Satish Sallakonda</v>
      </c>
      <c r="F228" s="165" t="str">
        <f>_xlfn.XLOOKUP(B228, 'Component Masterlist v2'!B:B, 'Component Masterlist v2'!P:P, "Not found")</f>
        <v>APEX</v>
      </c>
    </row>
    <row r="229" spans="1:6">
      <c r="A229" s="41" t="s">
        <v>63</v>
      </c>
      <c r="B229" s="47" t="s">
        <v>680</v>
      </c>
      <c r="C229" s="37" t="str">
        <f>_xlfn.XLOOKUP(B229, 'Component Masterlist v2'!B:B, 'Component Masterlist v2'!O:O, "Not found")</f>
        <v>VDP &amp; Rewrite</v>
      </c>
      <c r="D229" s="114" t="str">
        <f>_xlfn.XLOOKUP(B229, 'Component Masterlist v2'!B:B, 'Component Masterlist v2'!G:G, "Not found")</f>
        <v>Satish Sallakonda</v>
      </c>
      <c r="E229" s="112" t="str">
        <f>_xlfn.XLOOKUP(B229, 'Component Masterlist v2'!B:B, 'Component Masterlist v2'!E:E, "Not found")</f>
        <v>Satish Sallakonda</v>
      </c>
      <c r="F229" s="165" t="str">
        <f>_xlfn.XLOOKUP(B229, 'Component Masterlist v2'!B:B, 'Component Masterlist v2'!P:P, "Not found")</f>
        <v>APEX</v>
      </c>
    </row>
    <row r="230" spans="1:6">
      <c r="A230" s="41" t="s">
        <v>63</v>
      </c>
      <c r="B230" s="47" t="s">
        <v>683</v>
      </c>
      <c r="C230" s="37" t="str">
        <f>_xlfn.XLOOKUP(B230, 'Component Masterlist v2'!B:B, 'Component Masterlist v2'!O:O, "Not found")</f>
        <v>R3, LD &amp; Automation</v>
      </c>
      <c r="D230" s="114" t="str">
        <f>_xlfn.XLOOKUP(B230, 'Component Masterlist v2'!B:B, 'Component Masterlist v2'!G:G, "Not found")</f>
        <v>Satish Sallakonda</v>
      </c>
      <c r="E230" s="112" t="str">
        <f>_xlfn.XLOOKUP(B230, 'Component Masterlist v2'!B:B, 'Component Masterlist v2'!E:E, "Not found")</f>
        <v>Satish Sallakonda</v>
      </c>
      <c r="F230" s="165" t="str">
        <f>_xlfn.XLOOKUP(B230, 'Component Masterlist v2'!B:B, 'Component Masterlist v2'!P:P, "Not found")</f>
        <v>APEX</v>
      </c>
    </row>
    <row r="231" spans="1:6">
      <c r="A231" s="41" t="s">
        <v>63</v>
      </c>
      <c r="B231" s="47" t="s">
        <v>684</v>
      </c>
      <c r="C231" s="37" t="str">
        <f>_xlfn.XLOOKUP(B231, 'Component Masterlist v2'!B:B, 'Component Masterlist v2'!O:O, "Not found")</f>
        <v>Tax &amp; Fee</v>
      </c>
      <c r="D231" s="114" t="str">
        <f>_xlfn.XLOOKUP(B231, 'Component Masterlist v2'!B:B, 'Component Masterlist v2'!G:G, "Not found")</f>
        <v>Satish Sallakonda</v>
      </c>
      <c r="E231" s="112" t="str">
        <f>_xlfn.XLOOKUP(B231, 'Component Masterlist v2'!B:B, 'Component Masterlist v2'!E:E, "Not found")</f>
        <v>Satish Sallakonda</v>
      </c>
      <c r="F231" s="165" t="str">
        <f>_xlfn.XLOOKUP(B231, 'Component Masterlist v2'!B:B, 'Component Masterlist v2'!P:P, "Not found")</f>
        <v>APEX</v>
      </c>
    </row>
    <row r="232" spans="1:6">
      <c r="A232" s="41" t="s">
        <v>63</v>
      </c>
      <c r="B232" s="47" t="s">
        <v>685</v>
      </c>
      <c r="C232" s="37" t="str">
        <f>_xlfn.XLOOKUP(B232, 'Component Masterlist v2'!B:B, 'Component Masterlist v2'!O:O, "Not found")</f>
        <v>Tax &amp; Fee</v>
      </c>
      <c r="D232" s="114" t="str">
        <f>_xlfn.XLOOKUP(B232, 'Component Masterlist v2'!B:B, 'Component Masterlist v2'!G:G, "Not found")</f>
        <v>Satish Sallakonda</v>
      </c>
      <c r="E232" s="112" t="str">
        <f>_xlfn.XLOOKUP(B232, 'Component Masterlist v2'!B:B, 'Component Masterlist v2'!E:E, "Not found")</f>
        <v>Satish Sallakonda</v>
      </c>
      <c r="F232" s="165" t="str">
        <f>_xlfn.XLOOKUP(B232, 'Component Masterlist v2'!B:B, 'Component Masterlist v2'!P:P, "Not found")</f>
        <v>APEX</v>
      </c>
    </row>
    <row r="233" spans="1:6">
      <c r="A233" s="41" t="s">
        <v>63</v>
      </c>
      <c r="B233" s="47" t="s">
        <v>686</v>
      </c>
      <c r="C233" s="37" t="str">
        <f>_xlfn.XLOOKUP(B233, 'Component Masterlist v2'!B:B, 'Component Masterlist v2'!O:O, "Not found")</f>
        <v>R3, LD &amp; Automation</v>
      </c>
      <c r="D233" s="114" t="str">
        <f>_xlfn.XLOOKUP(B233, 'Component Masterlist v2'!B:B, 'Component Masterlist v2'!G:G, "Not found")</f>
        <v>Satish Sallakonda</v>
      </c>
      <c r="E233" s="112" t="str">
        <f>_xlfn.XLOOKUP(B233, 'Component Masterlist v2'!B:B, 'Component Masterlist v2'!E:E, "Not found")</f>
        <v>Satish Sallakonda</v>
      </c>
      <c r="F233" s="165" t="str">
        <f>_xlfn.XLOOKUP(B233, 'Component Masterlist v2'!B:B, 'Component Masterlist v2'!P:P, "Not found")</f>
        <v>APEX</v>
      </c>
    </row>
    <row r="234" spans="1:6">
      <c r="A234" s="41" t="s">
        <v>63</v>
      </c>
      <c r="B234" s="47" t="s">
        <v>687</v>
      </c>
      <c r="C234" s="37" t="str">
        <f>_xlfn.XLOOKUP(B234, 'Component Masterlist v2'!B:B, 'Component Masterlist v2'!O:O, "Not found")</f>
        <v>R3, LD &amp; Automation</v>
      </c>
      <c r="D234" s="114" t="str">
        <f>_xlfn.XLOOKUP(B234, 'Component Masterlist v2'!B:B, 'Component Masterlist v2'!G:G, "Not found")</f>
        <v>Satish Sallakonda</v>
      </c>
      <c r="E234" s="112" t="str">
        <f>_xlfn.XLOOKUP(B234, 'Component Masterlist v2'!B:B, 'Component Masterlist v2'!E:E, "Not found")</f>
        <v>Satish Sallakonda</v>
      </c>
      <c r="F234" s="165" t="str">
        <f>_xlfn.XLOOKUP(B234, 'Component Masterlist v2'!B:B, 'Component Masterlist v2'!P:P, "Not found")</f>
        <v>APEX</v>
      </c>
    </row>
    <row r="235" spans="1:6">
      <c r="A235" s="41" t="s">
        <v>63</v>
      </c>
      <c r="B235" s="242" t="s">
        <v>690</v>
      </c>
      <c r="C235" s="37" t="str">
        <f>_xlfn.XLOOKUP(B235, 'Component Masterlist v2'!B:B, 'Component Masterlist v2'!O:O, "Not found")</f>
        <v>SCP</v>
      </c>
      <c r="D235" s="114" t="str">
        <f>_xlfn.XLOOKUP(B235, 'Component Masterlist v2'!B:B, 'Component Masterlist v2'!G:G, "Not found")</f>
        <v>Satish Sallakonda</v>
      </c>
      <c r="E235" s="112" t="str">
        <f>_xlfn.XLOOKUP(B235, 'Component Masterlist v2'!B:B, 'Component Masterlist v2'!E:E, "Not found")</f>
        <v>Satish Sallakonda</v>
      </c>
      <c r="F235" s="165" t="str">
        <f>_xlfn.XLOOKUP(B235, 'Component Masterlist v2'!B:B, 'Component Masterlist v2'!P:P, "Not found")</f>
        <v>APEX</v>
      </c>
    </row>
    <row r="236" spans="1:6">
      <c r="A236" s="41" t="s">
        <v>63</v>
      </c>
      <c r="B236" s="47" t="s">
        <v>693</v>
      </c>
      <c r="C236" s="37" t="str">
        <f>_xlfn.XLOOKUP(B236, 'Component Masterlist v2'!B:B, 'Component Masterlist v2'!O:O, "Not found")</f>
        <v>Not found</v>
      </c>
      <c r="D236" s="114" t="str">
        <f>_xlfn.XLOOKUP(B236, 'Component Masterlist v2'!B:B, 'Component Masterlist v2'!G:G, "Not found")</f>
        <v>Satish Sallakonda</v>
      </c>
      <c r="E236" s="112" t="str">
        <f>_xlfn.XLOOKUP(B236, 'Component Masterlist v2'!B:B, 'Component Masterlist v2'!E:E, "Not found")</f>
        <v>Satish Sallakonda</v>
      </c>
      <c r="F236" s="165" t="str">
        <f>_xlfn.XLOOKUP(B236, 'Component Masterlist v2'!B:B, 'Component Masterlist v2'!P:P, "Not found")</f>
        <v>APEX</v>
      </c>
    </row>
    <row r="237" spans="1:6">
      <c r="A237" s="41" t="s">
        <v>63</v>
      </c>
      <c r="B237" s="47" t="s">
        <v>694</v>
      </c>
      <c r="C237" s="37" t="str">
        <f>_xlfn.XLOOKUP(B237, 'Component Masterlist v2'!B:B, 'Component Masterlist v2'!O:O, "Not found")</f>
        <v>Not found</v>
      </c>
      <c r="D237" s="114" t="str">
        <f>_xlfn.XLOOKUP(B237, 'Component Masterlist v2'!B:B, 'Component Masterlist v2'!G:G, "Not found")</f>
        <v>Satish Sallakonda</v>
      </c>
      <c r="E237" s="112" t="str">
        <f>_xlfn.XLOOKUP(B237, 'Component Masterlist v2'!B:B, 'Component Masterlist v2'!E:E, "Not found")</f>
        <v>Satish Sallakonda</v>
      </c>
      <c r="F237" s="165" t="str">
        <f>_xlfn.XLOOKUP(B237, 'Component Masterlist v2'!B:B, 'Component Masterlist v2'!P:P, "Not found")</f>
        <v>APEX</v>
      </c>
    </row>
    <row r="238" spans="1:6">
      <c r="A238" s="41" t="s">
        <v>25</v>
      </c>
      <c r="B238" s="47" t="s">
        <v>695</v>
      </c>
      <c r="C238" s="37" t="str">
        <f>_xlfn.XLOOKUP(B238, 'Component Masterlist v2'!B:B, 'Component Masterlist v2'!O:O, "Not found")</f>
        <v>Orbit Platform</v>
      </c>
      <c r="D238" s="114" t="str">
        <f>_xlfn.XLOOKUP(B238, 'Component Masterlist v2'!B:B, 'Component Masterlist v2'!G:G, "Not found")</f>
        <v>Raghu Edalur</v>
      </c>
      <c r="E238" s="112" t="str">
        <f>_xlfn.XLOOKUP(B238, 'Component Masterlist v2'!B:B, 'Component Masterlist v2'!E:E, "Not found")</f>
        <v>Jawahar Prasad</v>
      </c>
      <c r="F238" s="165" t="str">
        <f>_xlfn.XLOOKUP(B238, 'Component Masterlist v2'!B:B, 'Component Masterlist v2'!P:P, "Not found")</f>
        <v>ORBT</v>
      </c>
    </row>
    <row r="239" spans="1:6">
      <c r="A239" s="41" t="s">
        <v>25</v>
      </c>
      <c r="B239" s="47" t="s">
        <v>698</v>
      </c>
      <c r="C239" s="37" t="str">
        <f>_xlfn.XLOOKUP(B239, 'Component Masterlist v2'!B:B, 'Component Masterlist v2'!O:O, "Not found")</f>
        <v>Orbit Agents</v>
      </c>
      <c r="D239" s="114" t="str">
        <f>_xlfn.XLOOKUP(B239, 'Component Masterlist v2'!B:B, 'Component Masterlist v2'!G:G, "Not found")</f>
        <v>Raghu Edalur</v>
      </c>
      <c r="E239" s="112" t="str">
        <f>_xlfn.XLOOKUP(B239, 'Component Masterlist v2'!B:B, 'Component Masterlist v2'!E:E, "Not found")</f>
        <v>Jawahar Prasad</v>
      </c>
      <c r="F239" s="165" t="str">
        <f>_xlfn.XLOOKUP(B239, 'Component Masterlist v2'!B:B, 'Component Masterlist v2'!P:P, "Not found")</f>
        <v>ORBT</v>
      </c>
    </row>
    <row r="240" spans="1:6">
      <c r="A240" s="3" t="s">
        <v>25</v>
      </c>
      <c r="B240" s="22" t="s">
        <v>700</v>
      </c>
      <c r="C240" s="37" t="str">
        <f>_xlfn.XLOOKUP(B240, 'Component Masterlist v2'!B:B, 'Component Masterlist v2'!O:O, "Not found")</f>
        <v>Orbit Platform</v>
      </c>
      <c r="D240" s="114" t="str">
        <f>_xlfn.XLOOKUP(B240, 'Component Masterlist v2'!B:B, 'Component Masterlist v2'!G:G, "Not found")</f>
        <v>Raghu Edalur</v>
      </c>
      <c r="E240" s="112" t="str">
        <f>_xlfn.XLOOKUP(B240, 'Component Masterlist v2'!B:B, 'Component Masterlist v2'!E:E, "Not found")</f>
        <v>Jawahar Prasad</v>
      </c>
      <c r="F240" s="165" t="str">
        <f>_xlfn.XLOOKUP(B240, 'Component Masterlist v2'!B:B, 'Component Masterlist v2'!P:P, "Not found")</f>
        <v>ORBT</v>
      </c>
    </row>
    <row r="241" spans="1:6">
      <c r="A241" s="3" t="s">
        <v>25</v>
      </c>
      <c r="B241" s="22" t="s">
        <v>701</v>
      </c>
      <c r="C241" s="37" t="str">
        <f>_xlfn.XLOOKUP(B241, 'Component Masterlist v2'!B:B, 'Component Masterlist v2'!O:O, "Not found")</f>
        <v>Orbit Agents</v>
      </c>
      <c r="D241" s="114" t="str">
        <f>_xlfn.XLOOKUP(B241, 'Component Masterlist v2'!B:B, 'Component Masterlist v2'!G:G, "Not found")</f>
        <v>Raghu Edalur</v>
      </c>
      <c r="E241" s="112" t="str">
        <f>_xlfn.XLOOKUP(B241, 'Component Masterlist v2'!B:B, 'Component Masterlist v2'!E:E, "Not found")</f>
        <v>Jawahar Prasad</v>
      </c>
      <c r="F241" s="165" t="str">
        <f>_xlfn.XLOOKUP(B241, 'Component Masterlist v2'!B:B, 'Component Masterlist v2'!P:P, "Not found")</f>
        <v>ORBT</v>
      </c>
    </row>
    <row r="242" spans="1:6">
      <c r="A242" s="3" t="s">
        <v>25</v>
      </c>
      <c r="B242" s="22" t="s">
        <v>702</v>
      </c>
      <c r="C242" s="37" t="str">
        <f>_xlfn.XLOOKUP(B242, 'Component Masterlist v2'!B:B, 'Component Masterlist v2'!O:O, "Not found")</f>
        <v>Orbit Agents</v>
      </c>
      <c r="D242" s="114" t="str">
        <f>_xlfn.XLOOKUP(B242, 'Component Masterlist v2'!B:B, 'Component Masterlist v2'!G:G, "Not found")</f>
        <v>Raghu Edalur</v>
      </c>
      <c r="E242" s="112" t="str">
        <f>_xlfn.XLOOKUP(B242, 'Component Masterlist v2'!B:B, 'Component Masterlist v2'!E:E, "Not found")</f>
        <v>Jawahar Prasad</v>
      </c>
      <c r="F242" s="165" t="str">
        <f>_xlfn.XLOOKUP(B242, 'Component Masterlist v2'!B:B, 'Component Masterlist v2'!P:P, "Not found")</f>
        <v>ORBT</v>
      </c>
    </row>
    <row r="243" spans="1:6">
      <c r="A243" s="3" t="s">
        <v>25</v>
      </c>
      <c r="B243" s="22" t="s">
        <v>703</v>
      </c>
      <c r="C243" s="37" t="str">
        <f>_xlfn.XLOOKUP(B243, 'Component Masterlist v2'!B:B, 'Component Masterlist v2'!O:O, "Not found")</f>
        <v>Orbit Agents</v>
      </c>
      <c r="D243" s="114" t="str">
        <f>_xlfn.XLOOKUP(B243, 'Component Masterlist v2'!B:B, 'Component Masterlist v2'!G:G, "Not found")</f>
        <v>Raghu Edalur</v>
      </c>
      <c r="E243" s="112" t="str">
        <f>_xlfn.XLOOKUP(B243, 'Component Masterlist v2'!B:B, 'Component Masterlist v2'!E:E, "Not found")</f>
        <v>Jawahar Prasad</v>
      </c>
      <c r="F243" s="165" t="str">
        <f>_xlfn.XLOOKUP(B243, 'Component Masterlist v2'!B:B, 'Component Masterlist v2'!P:P, "Not found")</f>
        <v>ORBT</v>
      </c>
    </row>
    <row r="244" spans="1:6">
      <c r="A244" s="3" t="s">
        <v>25</v>
      </c>
      <c r="B244" s="22" t="s">
        <v>704</v>
      </c>
      <c r="C244" s="37" t="str">
        <f>_xlfn.XLOOKUP(B244, 'Component Masterlist v2'!B:B, 'Component Masterlist v2'!O:O, "Not found")</f>
        <v>Orbit Platform</v>
      </c>
      <c r="D244" s="114" t="str">
        <f>_xlfn.XLOOKUP(B244, 'Component Masterlist v2'!B:B, 'Component Masterlist v2'!G:G, "Not found")</f>
        <v>Raghu Edalur</v>
      </c>
      <c r="E244" s="112" t="str">
        <f>_xlfn.XLOOKUP(B244, 'Component Masterlist v2'!B:B, 'Component Masterlist v2'!E:E, "Not found")</f>
        <v>Jawahar Prasad</v>
      </c>
      <c r="F244" s="165" t="str">
        <f>_xlfn.XLOOKUP(B244, 'Component Masterlist v2'!B:B, 'Component Masterlist v2'!P:P, "Not found")</f>
        <v>ORBT</v>
      </c>
    </row>
    <row r="245" spans="1:6">
      <c r="A245" s="3" t="s">
        <v>99</v>
      </c>
      <c r="B245" s="22" t="s">
        <v>705</v>
      </c>
      <c r="C245" s="37" t="str">
        <f>_xlfn.XLOOKUP(B245, 'Component Masterlist v2'!B:B, 'Component Masterlist v2'!O:O, "Not found")</f>
        <v>SI Platform 1</v>
      </c>
      <c r="D245" s="114" t="str">
        <f>_xlfn.XLOOKUP(B245, 'Component Masterlist v2'!B:B, 'Component Masterlist v2'!G:G, "Not found")</f>
        <v>Turker Coskun</v>
      </c>
      <c r="E245" s="112" t="str">
        <f>_xlfn.XLOOKUP(B245, 'Component Masterlist v2'!B:B, 'Component Masterlist v2'!E:E, "Not found")</f>
        <v>Prakash Mohan</v>
      </c>
      <c r="F245" s="165" t="str">
        <f>_xlfn.XLOOKUP(B245, 'Component Masterlist v2'!B:B, 'Component Masterlist v2'!P:P, "Not found")</f>
        <v>SIP</v>
      </c>
    </row>
    <row r="246" spans="1:6">
      <c r="A246" s="3" t="s">
        <v>99</v>
      </c>
      <c r="B246" s="22" t="s">
        <v>709</v>
      </c>
      <c r="C246" s="37" t="str">
        <f>_xlfn.XLOOKUP(B246, 'Component Masterlist v2'!B:B, 'Component Masterlist v2'!O:O, "Not found")</f>
        <v>SI Platform 2</v>
      </c>
      <c r="D246" s="114" t="str">
        <f>_xlfn.XLOOKUP(B246, 'Component Masterlist v2'!B:B, 'Component Masterlist v2'!G:G, "Not found")</f>
        <v>Turker Coskun</v>
      </c>
      <c r="E246" s="112" t="str">
        <f>_xlfn.XLOOKUP(B246, 'Component Masterlist v2'!B:B, 'Component Masterlist v2'!E:E, "Not found")</f>
        <v>Prakash Mohan</v>
      </c>
      <c r="F246" s="165" t="str">
        <f>_xlfn.XLOOKUP(B246, 'Component Masterlist v2'!B:B, 'Component Masterlist v2'!P:P, "Not found")</f>
        <v>SIP</v>
      </c>
    </row>
    <row r="247" spans="1:6">
      <c r="A247" s="3" t="s">
        <v>99</v>
      </c>
      <c r="B247" s="22" t="s">
        <v>710</v>
      </c>
      <c r="C247" s="37" t="str">
        <f>_xlfn.XLOOKUP(B247, 'Component Masterlist v2'!B:B, 'Component Masterlist v2'!O:O, "Not found")</f>
        <v>SI Platform 2</v>
      </c>
      <c r="D247" s="114" t="str">
        <f>_xlfn.XLOOKUP(B247, 'Component Masterlist v2'!B:B, 'Component Masterlist v2'!G:G, "Not found")</f>
        <v>Turker Coskun</v>
      </c>
      <c r="E247" s="112" t="str">
        <f>_xlfn.XLOOKUP(B247, 'Component Masterlist v2'!B:B, 'Component Masterlist v2'!E:E, "Not found")</f>
        <v>Prakash Mohan</v>
      </c>
      <c r="F247" s="165" t="str">
        <f>_xlfn.XLOOKUP(B247, 'Component Masterlist v2'!B:B, 'Component Masterlist v2'!P:P, "Not found")</f>
        <v>SIP</v>
      </c>
    </row>
    <row r="248" spans="1:6">
      <c r="A248" s="3" t="s">
        <v>99</v>
      </c>
      <c r="B248" s="22" t="s">
        <v>711</v>
      </c>
      <c r="C248" s="37" t="str">
        <f>_xlfn.XLOOKUP(B248, 'Component Masterlist v2'!B:B, 'Component Masterlist v2'!O:O, "Not found")</f>
        <v>SI Platform 1</v>
      </c>
      <c r="D248" s="114" t="str">
        <f>_xlfn.XLOOKUP(B248, 'Component Masterlist v2'!B:B, 'Component Masterlist v2'!G:G, "Not found")</f>
        <v>Turker Coskun</v>
      </c>
      <c r="E248" s="112" t="str">
        <f>_xlfn.XLOOKUP(B248, 'Component Masterlist v2'!B:B, 'Component Masterlist v2'!E:E, "Not found")</f>
        <v>Prakash Mohan</v>
      </c>
      <c r="F248" s="165" t="str">
        <f>_xlfn.XLOOKUP(B248, 'Component Masterlist v2'!B:B, 'Component Masterlist v2'!P:P, "Not found")</f>
        <v>SIP</v>
      </c>
    </row>
    <row r="249" spans="1:6">
      <c r="A249" s="3" t="s">
        <v>75</v>
      </c>
      <c r="B249" s="22" t="s">
        <v>712</v>
      </c>
      <c r="C249" s="37" t="str">
        <f>_xlfn.XLOOKUP(B249, 'Component Masterlist v2'!B:B, 'Component Masterlist v2'!O:O, "Not found")</f>
        <v>Not found</v>
      </c>
      <c r="D249" s="114" t="str">
        <f>_xlfn.XLOOKUP(B249, 'Component Masterlist v2'!B:B, 'Component Masterlist v2'!G:G, "Not found")</f>
        <v>Venugopal Malyala</v>
      </c>
      <c r="E249" s="112" t="str">
        <f>_xlfn.XLOOKUP(B249, 'Component Masterlist v2'!B:B, 'Component Masterlist v2'!E:E, "Not found")</f>
        <v>Ramesh Sarabu</v>
      </c>
      <c r="F249" s="165" t="str">
        <f>_xlfn.XLOOKUP(B249, 'Component Masterlist v2'!B:B, 'Component Masterlist v2'!P:P, "Not found")</f>
        <v>TOC</v>
      </c>
    </row>
    <row r="250" spans="1:6">
      <c r="A250" s="3" t="s">
        <v>75</v>
      </c>
      <c r="B250" s="22" t="s">
        <v>718</v>
      </c>
      <c r="C250" s="37" t="str">
        <f>_xlfn.XLOOKUP(B250, 'Component Masterlist v2'!B:B, 'Component Masterlist v2'!O:O, "Not found")</f>
        <v>Not found</v>
      </c>
      <c r="D250" s="114" t="str">
        <f>_xlfn.XLOOKUP(B250, 'Component Masterlist v2'!B:B, 'Component Masterlist v2'!G:G, "Not found")</f>
        <v>Venugopal Malyala</v>
      </c>
      <c r="E250" s="112" t="str">
        <f>_xlfn.XLOOKUP(B250, 'Component Masterlist v2'!B:B, 'Component Masterlist v2'!E:E, "Not found")</f>
        <v>Ramesh Sarabu</v>
      </c>
      <c r="F250" s="165" t="str">
        <f>_xlfn.XLOOKUP(B250, 'Component Masterlist v2'!B:B, 'Component Masterlist v2'!P:P, "Not found")</f>
        <v>TOC</v>
      </c>
    </row>
    <row r="251" spans="1:6">
      <c r="A251" s="3" t="s">
        <v>75</v>
      </c>
      <c r="B251" s="22" t="s">
        <v>721</v>
      </c>
      <c r="C251" s="37" t="str">
        <f>_xlfn.XLOOKUP(B251, 'Component Masterlist v2'!B:B, 'Component Masterlist v2'!O:O, "Not found")</f>
        <v>Not found</v>
      </c>
      <c r="D251" s="114" t="str">
        <f>_xlfn.XLOOKUP(B251, 'Component Masterlist v2'!B:B, 'Component Masterlist v2'!G:G, "Not found")</f>
        <v>Venugopal Malyala</v>
      </c>
      <c r="E251" s="112" t="str">
        <f>_xlfn.XLOOKUP(B251, 'Component Masterlist v2'!B:B, 'Component Masterlist v2'!E:E, "Not found")</f>
        <v>Ramesh Sarabu</v>
      </c>
      <c r="F251" s="165" t="str">
        <f>_xlfn.XLOOKUP(B251, 'Component Masterlist v2'!B:B, 'Component Masterlist v2'!P:P, "Not found")</f>
        <v>TOC</v>
      </c>
    </row>
    <row r="252" spans="1:6">
      <c r="A252" s="3" t="s">
        <v>75</v>
      </c>
      <c r="B252" s="22" t="s">
        <v>723</v>
      </c>
      <c r="C252" s="37" t="str">
        <f>_xlfn.XLOOKUP(B252, 'Component Masterlist v2'!B:B, 'Component Masterlist v2'!O:O, "Not found")</f>
        <v>Not found</v>
      </c>
      <c r="D252" s="114" t="str">
        <f>_xlfn.XLOOKUP(B252, 'Component Masterlist v2'!B:B, 'Component Masterlist v2'!G:G, "Not found")</f>
        <v>Venugopal Malyala</v>
      </c>
      <c r="E252" s="112" t="str">
        <f>_xlfn.XLOOKUP(B252, 'Component Masterlist v2'!B:B, 'Component Masterlist v2'!E:E, "Not found")</f>
        <v>Ramesh Sarabu</v>
      </c>
      <c r="F252" s="165" t="str">
        <f>_xlfn.XLOOKUP(B252, 'Component Masterlist v2'!B:B, 'Component Masterlist v2'!P:P, "Not found")</f>
        <v>TOC</v>
      </c>
    </row>
    <row r="253" spans="1:6">
      <c r="A253" s="3" t="s">
        <v>75</v>
      </c>
      <c r="B253" s="22" t="s">
        <v>726</v>
      </c>
      <c r="C253" s="37" t="str">
        <f>_xlfn.XLOOKUP(B253, 'Component Masterlist v2'!B:B, 'Component Masterlist v2'!O:O, "Not found")</f>
        <v>Not found</v>
      </c>
      <c r="D253" s="114" t="str">
        <f>_xlfn.XLOOKUP(B253, 'Component Masterlist v2'!B:B, 'Component Masterlist v2'!G:G, "Not found")</f>
        <v>Venugopal Malyala</v>
      </c>
      <c r="E253" s="112" t="str">
        <f>_xlfn.XLOOKUP(B253, 'Component Masterlist v2'!B:B, 'Component Masterlist v2'!E:E, "Not found")</f>
        <v>Ramesh Sarabu</v>
      </c>
      <c r="F253" s="165" t="str">
        <f>_xlfn.XLOOKUP(B253, 'Component Masterlist v2'!B:B, 'Component Masterlist v2'!P:P, "Not found")</f>
        <v>TOC</v>
      </c>
    </row>
    <row r="254" spans="1:6">
      <c r="A254" s="3" t="s">
        <v>75</v>
      </c>
      <c r="B254" s="22" t="s">
        <v>728</v>
      </c>
      <c r="C254" s="37" t="str">
        <f>_xlfn.XLOOKUP(B254, 'Component Masterlist v2'!B:B, 'Component Masterlist v2'!O:O, "Not found")</f>
        <v>Not found</v>
      </c>
      <c r="D254" s="114" t="str">
        <f>_xlfn.XLOOKUP(B254, 'Component Masterlist v2'!B:B, 'Component Masterlist v2'!G:G, "Not found")</f>
        <v>Venugopal Malyala</v>
      </c>
      <c r="E254" s="112" t="str">
        <f>_xlfn.XLOOKUP(B254, 'Component Masterlist v2'!B:B, 'Component Masterlist v2'!E:E, "Not found")</f>
        <v>Ramesh Sarabu</v>
      </c>
      <c r="F254" s="165" t="str">
        <f>_xlfn.XLOOKUP(B254, 'Component Masterlist v2'!B:B, 'Component Masterlist v2'!P:P, "Not found")</f>
        <v>TOC</v>
      </c>
    </row>
    <row r="255" spans="1:6">
      <c r="A255" s="3" t="s">
        <v>75</v>
      </c>
      <c r="B255" s="22" t="s">
        <v>730</v>
      </c>
      <c r="C255" s="37" t="str">
        <f>_xlfn.XLOOKUP(B255, 'Component Masterlist v2'!B:B, 'Component Masterlist v2'!O:O, "Not found")</f>
        <v>Not found</v>
      </c>
      <c r="D255" s="114" t="str">
        <f>_xlfn.XLOOKUP(B255, 'Component Masterlist v2'!B:B, 'Component Masterlist v2'!G:G, "Not found")</f>
        <v>Venugopal Malyala</v>
      </c>
      <c r="E255" s="112" t="str">
        <f>_xlfn.XLOOKUP(B255, 'Component Masterlist v2'!B:B, 'Component Masterlist v2'!E:E, "Not found")</f>
        <v>Ramesh Sarabu</v>
      </c>
      <c r="F255" s="165" t="str">
        <f>_xlfn.XLOOKUP(B255, 'Component Masterlist v2'!B:B, 'Component Masterlist v2'!P:P, "Not found")</f>
        <v>TOC</v>
      </c>
    </row>
    <row r="256" spans="1:6">
      <c r="A256" s="3" t="s">
        <v>78</v>
      </c>
      <c r="B256" s="22" t="s">
        <v>732</v>
      </c>
      <c r="C256" s="37" t="str">
        <f>_xlfn.XLOOKUP(B256, 'Component Masterlist v2'!B:B, 'Component Masterlist v2'!O:O, "Not found")</f>
        <v>Not found</v>
      </c>
      <c r="D256" s="114" t="str">
        <f>_xlfn.XLOOKUP(B256, 'Component Masterlist v2'!B:B, 'Component Masterlist v2'!G:G, "Not found")</f>
        <v>Venugopal Malyala</v>
      </c>
      <c r="E256" s="112" t="str">
        <f>_xlfn.XLOOKUP(B256, 'Component Masterlist v2'!B:B, 'Component Masterlist v2'!E:E, "Not found")</f>
        <v>Vijay Kumar</v>
      </c>
      <c r="F256" s="165" t="str">
        <f>_xlfn.XLOOKUP(B256, 'Component Masterlist v2'!B:B, 'Component Masterlist v2'!P:P, "Not found")</f>
        <v>TOC</v>
      </c>
    </row>
    <row r="257" spans="1:6">
      <c r="A257" s="3" t="s">
        <v>78</v>
      </c>
      <c r="B257" s="22" t="s">
        <v>735</v>
      </c>
      <c r="C257" s="37" t="str">
        <f>_xlfn.XLOOKUP(B257, 'Component Masterlist v2'!B:B, 'Component Masterlist v2'!O:O, "Not found")</f>
        <v>Not found</v>
      </c>
      <c r="D257" s="114" t="str">
        <f>_xlfn.XLOOKUP(B257, 'Component Masterlist v2'!B:B, 'Component Masterlist v2'!G:G, "Not found")</f>
        <v>Venugopal Malyala</v>
      </c>
      <c r="E257" s="112" t="str">
        <f>_xlfn.XLOOKUP(B257, 'Component Masterlist v2'!B:B, 'Component Masterlist v2'!E:E, "Not found")</f>
        <v>Vijay Kumar</v>
      </c>
      <c r="F257" s="165" t="str">
        <f>_xlfn.XLOOKUP(B257, 'Component Masterlist v2'!B:B, 'Component Masterlist v2'!P:P, "Not found")</f>
        <v>TOC</v>
      </c>
    </row>
    <row r="258" spans="1:6">
      <c r="A258" s="3" t="s">
        <v>78</v>
      </c>
      <c r="B258" s="22" t="s">
        <v>739</v>
      </c>
      <c r="C258" s="37" t="str">
        <f>_xlfn.XLOOKUP(B258, 'Component Masterlist v2'!B:B, 'Component Masterlist v2'!O:O, "Not found")</f>
        <v>Not found</v>
      </c>
      <c r="D258" s="114" t="str">
        <f>_xlfn.XLOOKUP(B258, 'Component Masterlist v2'!B:B, 'Component Masterlist v2'!G:G, "Not found")</f>
        <v>Venugopal Malyala</v>
      </c>
      <c r="E258" s="112" t="str">
        <f>_xlfn.XLOOKUP(B258, 'Component Masterlist v2'!B:B, 'Component Masterlist v2'!E:E, "Not found")</f>
        <v>Vijay Kumar</v>
      </c>
      <c r="F258" s="165" t="str">
        <f>_xlfn.XLOOKUP(B258, 'Component Masterlist v2'!B:B, 'Component Masterlist v2'!P:P, "Not found")</f>
        <v>TOC</v>
      </c>
    </row>
    <row r="259" spans="1:6">
      <c r="A259" s="3" t="s">
        <v>78</v>
      </c>
      <c r="B259" s="22" t="s">
        <v>741</v>
      </c>
      <c r="C259" s="37" t="str">
        <f>_xlfn.XLOOKUP(B259, 'Component Masterlist v2'!B:B, 'Component Masterlist v2'!O:O, "Not found")</f>
        <v>Not found</v>
      </c>
      <c r="D259" s="114" t="str">
        <f>_xlfn.XLOOKUP(B259, 'Component Masterlist v2'!B:B, 'Component Masterlist v2'!G:G, "Not found")</f>
        <v>Venugopal Malyala</v>
      </c>
      <c r="E259" s="112" t="str">
        <f>_xlfn.XLOOKUP(B259, 'Component Masterlist v2'!B:B, 'Component Masterlist v2'!E:E, "Not found")</f>
        <v>Vijay Kumar</v>
      </c>
      <c r="F259" s="165" t="str">
        <f>_xlfn.XLOOKUP(B259, 'Component Masterlist v2'!B:B, 'Component Masterlist v2'!P:P, "Not found")</f>
        <v>TOC</v>
      </c>
    </row>
    <row r="260" spans="1:6">
      <c r="A260" s="3" t="s">
        <v>78</v>
      </c>
      <c r="B260" s="22" t="s">
        <v>743</v>
      </c>
      <c r="C260" s="37" t="str">
        <f>_xlfn.XLOOKUP(B260, 'Component Masterlist v2'!B:B, 'Component Masterlist v2'!O:O, "Not found")</f>
        <v>Not found</v>
      </c>
      <c r="D260" s="114" t="str">
        <f>_xlfn.XLOOKUP(B260, 'Component Masterlist v2'!B:B, 'Component Masterlist v2'!G:G, "Not found")</f>
        <v>Venugopal Malyala</v>
      </c>
      <c r="E260" s="112" t="str">
        <f>_xlfn.XLOOKUP(B260, 'Component Masterlist v2'!B:B, 'Component Masterlist v2'!E:E, "Not found")</f>
        <v>Vijay Kumar</v>
      </c>
      <c r="F260" s="165" t="str">
        <f>_xlfn.XLOOKUP(B260, 'Component Masterlist v2'!B:B, 'Component Masterlist v2'!P:P, "Not found")</f>
        <v>TOC</v>
      </c>
    </row>
    <row r="261" spans="1:6">
      <c r="A261" s="3" t="s">
        <v>78</v>
      </c>
      <c r="B261" s="22" t="s">
        <v>746</v>
      </c>
      <c r="C261" s="37" t="str">
        <f>_xlfn.XLOOKUP(B261, 'Component Masterlist v2'!B:B, 'Component Masterlist v2'!O:O, "Not found")</f>
        <v>Not found</v>
      </c>
      <c r="D261" s="114" t="str">
        <f>_xlfn.XLOOKUP(B261, 'Component Masterlist v2'!B:B, 'Component Masterlist v2'!G:G, "Not found")</f>
        <v>Venugopal Malyala</v>
      </c>
      <c r="E261" s="112" t="str">
        <f>_xlfn.XLOOKUP(B261, 'Component Masterlist v2'!B:B, 'Component Masterlist v2'!E:E, "Not found")</f>
        <v>Vijay Kumar</v>
      </c>
      <c r="F261" s="165" t="str">
        <f>_xlfn.XLOOKUP(B261, 'Component Masterlist v2'!B:B, 'Component Masterlist v2'!P:P, "Not found")</f>
        <v>TOC</v>
      </c>
    </row>
    <row r="262" spans="1:6">
      <c r="A262" s="3" t="s">
        <v>78</v>
      </c>
      <c r="B262" s="22" t="s">
        <v>749</v>
      </c>
      <c r="C262" s="37" t="str">
        <f>_xlfn.XLOOKUP(B262, 'Component Masterlist v2'!B:B, 'Component Masterlist v2'!O:O, "Not found")</f>
        <v>Not found</v>
      </c>
      <c r="D262" s="114" t="str">
        <f>_xlfn.XLOOKUP(B262, 'Component Masterlist v2'!B:B, 'Component Masterlist v2'!G:G, "Not found")</f>
        <v>Venugopal Malyala</v>
      </c>
      <c r="E262" s="112" t="str">
        <f>_xlfn.XLOOKUP(B262, 'Component Masterlist v2'!B:B, 'Component Masterlist v2'!E:E, "Not found")</f>
        <v>Vijay Kumar</v>
      </c>
      <c r="F262" s="165" t="str">
        <f>_xlfn.XLOOKUP(B262, 'Component Masterlist v2'!B:B, 'Component Masterlist v2'!P:P, "Not found")</f>
        <v>TOC</v>
      </c>
    </row>
    <row r="263" spans="1:6">
      <c r="A263" s="3" t="s">
        <v>78</v>
      </c>
      <c r="B263" s="22" t="s">
        <v>751</v>
      </c>
      <c r="C263" s="37" t="str">
        <f>_xlfn.XLOOKUP(B263, 'Component Masterlist v2'!B:B, 'Component Masterlist v2'!O:O, "Not found")</f>
        <v>Not found</v>
      </c>
      <c r="D263" s="114" t="str">
        <f>_xlfn.XLOOKUP(B263, 'Component Masterlist v2'!B:B, 'Component Masterlist v2'!G:G, "Not found")</f>
        <v>Venugopal Malyala</v>
      </c>
      <c r="E263" s="112" t="str">
        <f>_xlfn.XLOOKUP(B263, 'Component Masterlist v2'!B:B, 'Component Masterlist v2'!E:E, "Not found")</f>
        <v>Vijay Kumar</v>
      </c>
      <c r="F263" s="165" t="str">
        <f>_xlfn.XLOOKUP(B263, 'Component Masterlist v2'!B:B, 'Component Masterlist v2'!P:P, "Not found")</f>
        <v>TOC</v>
      </c>
    </row>
    <row r="264" spans="1:6">
      <c r="A264" s="3" t="s">
        <v>78</v>
      </c>
      <c r="B264" s="22" t="s">
        <v>756</v>
      </c>
      <c r="C264" s="37" t="str">
        <f>_xlfn.XLOOKUP(B264, 'Component Masterlist v2'!B:B, 'Component Masterlist v2'!O:O, "Not found")</f>
        <v>Not found</v>
      </c>
      <c r="D264" s="114" t="str">
        <f>_xlfn.XLOOKUP(B264, 'Component Masterlist v2'!B:B, 'Component Masterlist v2'!G:G, "Not found")</f>
        <v>Venugopal Malyala</v>
      </c>
      <c r="E264" s="112" t="str">
        <f>_xlfn.XLOOKUP(B264, 'Component Masterlist v2'!B:B, 'Component Masterlist v2'!E:E, "Not found")</f>
        <v>Vijay Kumar</v>
      </c>
      <c r="F264" s="165" t="str">
        <f>_xlfn.XLOOKUP(B264, 'Component Masterlist v2'!B:B, 'Component Masterlist v2'!P:P, "Not found")</f>
        <v>TOC</v>
      </c>
    </row>
    <row r="265" spans="1:6">
      <c r="A265" s="3" t="s">
        <v>78</v>
      </c>
      <c r="B265" s="22" t="s">
        <v>757</v>
      </c>
      <c r="C265" s="37" t="str">
        <f>_xlfn.XLOOKUP(B265, 'Component Masterlist v2'!B:B, 'Component Masterlist v2'!O:O, "Not found")</f>
        <v>Not found</v>
      </c>
      <c r="D265" s="114" t="str">
        <f>_xlfn.XLOOKUP(B265, 'Component Masterlist v2'!B:B, 'Component Masterlist v2'!G:G, "Not found")</f>
        <v>Venugopal Malyala</v>
      </c>
      <c r="E265" s="112" t="str">
        <f>_xlfn.XLOOKUP(B265, 'Component Masterlist v2'!B:B, 'Component Masterlist v2'!E:E, "Not found")</f>
        <v>Vijay Kumar</v>
      </c>
      <c r="F265" s="165" t="str">
        <f>_xlfn.XLOOKUP(B265, 'Component Masterlist v2'!B:B, 'Component Masterlist v2'!P:P, "Not found")</f>
        <v>TOC</v>
      </c>
    </row>
    <row r="266" spans="1:6">
      <c r="A266" s="3" t="s">
        <v>78</v>
      </c>
      <c r="B266" s="22" t="s">
        <v>758</v>
      </c>
      <c r="C266" s="37" t="str">
        <f>_xlfn.XLOOKUP(B266, 'Component Masterlist v2'!B:B, 'Component Masterlist v2'!O:O, "Not found")</f>
        <v>Not found</v>
      </c>
      <c r="D266" s="114" t="str">
        <f>_xlfn.XLOOKUP(B266, 'Component Masterlist v2'!B:B, 'Component Masterlist v2'!G:G, "Not found")</f>
        <v>Venugopal Malyala</v>
      </c>
      <c r="E266" s="112" t="str">
        <f>_xlfn.XLOOKUP(B266, 'Component Masterlist v2'!B:B, 'Component Masterlist v2'!E:E, "Not found")</f>
        <v>Vijay Kumar</v>
      </c>
      <c r="F266" s="165" t="str">
        <f>_xlfn.XLOOKUP(B266, 'Component Masterlist v2'!B:B, 'Component Masterlist v2'!P:P, "Not found")</f>
        <v>TOC</v>
      </c>
    </row>
    <row r="267" spans="1:6">
      <c r="A267" s="3" t="s">
        <v>78</v>
      </c>
      <c r="B267" s="22" t="s">
        <v>761</v>
      </c>
      <c r="C267" s="37" t="str">
        <f>_xlfn.XLOOKUP(B267, 'Component Masterlist v2'!B:B, 'Component Masterlist v2'!O:O, "Not found")</f>
        <v>Not found</v>
      </c>
      <c r="D267" s="114" t="str">
        <f>_xlfn.XLOOKUP(B267, 'Component Masterlist v2'!B:B, 'Component Masterlist v2'!G:G, "Not found")</f>
        <v>Venugopal Malyala</v>
      </c>
      <c r="E267" s="112" t="str">
        <f>_xlfn.XLOOKUP(B267, 'Component Masterlist v2'!B:B, 'Component Masterlist v2'!E:E, "Not found")</f>
        <v>Vijay Kumar</v>
      </c>
      <c r="F267" s="165" t="str">
        <f>_xlfn.XLOOKUP(B267, 'Component Masterlist v2'!B:B, 'Component Masterlist v2'!P:P, "Not found")</f>
        <v>TOC</v>
      </c>
    </row>
    <row r="268" spans="1:6">
      <c r="A268" s="3" t="s">
        <v>78</v>
      </c>
      <c r="B268" s="22" t="s">
        <v>763</v>
      </c>
      <c r="C268" s="37" t="str">
        <f>_xlfn.XLOOKUP(B268, 'Component Masterlist v2'!B:B, 'Component Masterlist v2'!O:O, "Not found")</f>
        <v>Not found</v>
      </c>
      <c r="D268" s="114" t="str">
        <f>_xlfn.XLOOKUP(B268, 'Component Masterlist v2'!B:B, 'Component Masterlist v2'!G:G, "Not found")</f>
        <v>Venugopal Malyala</v>
      </c>
      <c r="E268" s="112" t="str">
        <f>_xlfn.XLOOKUP(B268, 'Component Masterlist v2'!B:B, 'Component Masterlist v2'!E:E, "Not found")</f>
        <v>Vijay Kumar</v>
      </c>
      <c r="F268" s="165" t="str">
        <f>_xlfn.XLOOKUP(B268, 'Component Masterlist v2'!B:B, 'Component Masterlist v2'!P:P, "Not found")</f>
        <v>TOC</v>
      </c>
    </row>
    <row r="269" spans="1:6">
      <c r="A269" s="3" t="s">
        <v>78</v>
      </c>
      <c r="B269" s="22" t="s">
        <v>764</v>
      </c>
      <c r="C269" s="37" t="str">
        <f>_xlfn.XLOOKUP(B269, 'Component Masterlist v2'!B:B, 'Component Masterlist v2'!O:O, "Not found")</f>
        <v>Not found</v>
      </c>
      <c r="D269" s="114" t="str">
        <f>_xlfn.XLOOKUP(B269, 'Component Masterlist v2'!B:B, 'Component Masterlist v2'!G:G, "Not found")</f>
        <v>Venugopal Malyala</v>
      </c>
      <c r="E269" s="112" t="str">
        <f>_xlfn.XLOOKUP(B269, 'Component Masterlist v2'!B:B, 'Component Masterlist v2'!E:E, "Not found")</f>
        <v>Vijay Kumar</v>
      </c>
      <c r="F269" s="165" t="str">
        <f>_xlfn.XLOOKUP(B269, 'Component Masterlist v2'!B:B, 'Component Masterlist v2'!P:P, "Not found")</f>
        <v>TOC</v>
      </c>
    </row>
    <row r="270" spans="1:6">
      <c r="A270" s="3" t="s">
        <v>78</v>
      </c>
      <c r="B270" s="22" t="s">
        <v>766</v>
      </c>
      <c r="C270" s="37" t="str">
        <f>_xlfn.XLOOKUP(B270, 'Component Masterlist v2'!B:B, 'Component Masterlist v2'!O:O, "Not found")</f>
        <v>Not found</v>
      </c>
      <c r="D270" s="114" t="str">
        <f>_xlfn.XLOOKUP(B270, 'Component Masterlist v2'!B:B, 'Component Masterlist v2'!G:G, "Not found")</f>
        <v>Venugopal Malyala</v>
      </c>
      <c r="E270" s="112" t="str">
        <f>_xlfn.XLOOKUP(B270, 'Component Masterlist v2'!B:B, 'Component Masterlist v2'!E:E, "Not found")</f>
        <v>Vijay Kumar</v>
      </c>
      <c r="F270" s="165" t="str">
        <f>_xlfn.XLOOKUP(B270, 'Component Masterlist v2'!B:B, 'Component Masterlist v2'!P:P, "Not found")</f>
        <v>TOC</v>
      </c>
    </row>
    <row r="271" spans="1:6">
      <c r="A271" s="3" t="s">
        <v>78</v>
      </c>
      <c r="B271" s="22" t="s">
        <v>767</v>
      </c>
      <c r="C271" s="37" t="str">
        <f>_xlfn.XLOOKUP(B271, 'Component Masterlist v2'!B:B, 'Component Masterlist v2'!O:O, "Not found")</f>
        <v>Not found</v>
      </c>
      <c r="D271" s="114" t="str">
        <f>_xlfn.XLOOKUP(B271, 'Component Masterlist v2'!B:B, 'Component Masterlist v2'!G:G, "Not found")</f>
        <v>Venugopal Malyala</v>
      </c>
      <c r="E271" s="112" t="str">
        <f>_xlfn.XLOOKUP(B271, 'Component Masterlist v2'!B:B, 'Component Masterlist v2'!E:E, "Not found")</f>
        <v>Vijay Kumar</v>
      </c>
      <c r="F271" s="165" t="str">
        <f>_xlfn.XLOOKUP(B271, 'Component Masterlist v2'!B:B, 'Component Masterlist v2'!P:P, "Not found")</f>
        <v>TOC</v>
      </c>
    </row>
    <row r="272" spans="1:6">
      <c r="A272" s="3" t="s">
        <v>78</v>
      </c>
      <c r="B272" s="22" t="s">
        <v>770</v>
      </c>
      <c r="C272" s="37" t="str">
        <f>_xlfn.XLOOKUP(B272, 'Component Masterlist v2'!B:B, 'Component Masterlist v2'!O:O, "Not found")</f>
        <v>Not found</v>
      </c>
      <c r="D272" s="114" t="str">
        <f>_xlfn.XLOOKUP(B272, 'Component Masterlist v2'!B:B, 'Component Masterlist v2'!G:G, "Not found")</f>
        <v>Venugopal Malyala</v>
      </c>
      <c r="E272" s="112" t="str">
        <f>_xlfn.XLOOKUP(B272, 'Component Masterlist v2'!B:B, 'Component Masterlist v2'!E:E, "Not found")</f>
        <v>Vijay Kumar</v>
      </c>
      <c r="F272" s="165" t="str">
        <f>_xlfn.XLOOKUP(B272, 'Component Masterlist v2'!B:B, 'Component Masterlist v2'!P:P, "Not found")</f>
        <v>TOC</v>
      </c>
    </row>
    <row r="273" spans="1:6">
      <c r="A273" s="3" t="s">
        <v>78</v>
      </c>
      <c r="B273" s="22" t="s">
        <v>772</v>
      </c>
      <c r="C273" s="37" t="str">
        <f>_xlfn.XLOOKUP(B273, 'Component Masterlist v2'!B:B, 'Component Masterlist v2'!O:O, "Not found")</f>
        <v>Not found</v>
      </c>
      <c r="D273" s="114" t="str">
        <f>_xlfn.XLOOKUP(B273, 'Component Masterlist v2'!B:B, 'Component Masterlist v2'!G:G, "Not found")</f>
        <v>Venugopal Malyala</v>
      </c>
      <c r="E273" s="112" t="str">
        <f>_xlfn.XLOOKUP(B273, 'Component Masterlist v2'!B:B, 'Component Masterlist v2'!E:E, "Not found")</f>
        <v>Vijay Kumar</v>
      </c>
      <c r="F273" s="165" t="str">
        <f>_xlfn.XLOOKUP(B273, 'Component Masterlist v2'!B:B, 'Component Masterlist v2'!P:P, "Not found")</f>
        <v>TOC</v>
      </c>
    </row>
    <row r="274" spans="1:6">
      <c r="A274" s="3" t="s">
        <v>78</v>
      </c>
      <c r="B274" s="22" t="s">
        <v>774</v>
      </c>
      <c r="C274" s="37" t="str">
        <f>_xlfn.XLOOKUP(B274, 'Component Masterlist v2'!B:B, 'Component Masterlist v2'!O:O, "Not found")</f>
        <v>Not found</v>
      </c>
      <c r="D274" s="114" t="str">
        <f>_xlfn.XLOOKUP(B274, 'Component Masterlist v2'!B:B, 'Component Masterlist v2'!G:G, "Not found")</f>
        <v>Venugopal Malyala</v>
      </c>
      <c r="E274" s="112" t="str">
        <f>_xlfn.XLOOKUP(B274, 'Component Masterlist v2'!B:B, 'Component Masterlist v2'!E:E, "Not found")</f>
        <v>Vijay Kumar</v>
      </c>
      <c r="F274" s="165" t="str">
        <f>_xlfn.XLOOKUP(B274, 'Component Masterlist v2'!B:B, 'Component Masterlist v2'!P:P, "Not found")</f>
        <v>TOC</v>
      </c>
    </row>
    <row r="275" spans="1:6">
      <c r="A275" s="3" t="s">
        <v>78</v>
      </c>
      <c r="B275" s="22" t="s">
        <v>775</v>
      </c>
      <c r="C275" s="37" t="str">
        <f>_xlfn.XLOOKUP(B275, 'Component Masterlist v2'!B:B, 'Component Masterlist v2'!O:O, "Not found")</f>
        <v>Not found</v>
      </c>
      <c r="D275" s="114" t="str">
        <f>_xlfn.XLOOKUP(B275, 'Component Masterlist v2'!B:B, 'Component Masterlist v2'!G:G, "Not found")</f>
        <v>Venugopal Malyala</v>
      </c>
      <c r="E275" s="112" t="str">
        <f>_xlfn.XLOOKUP(B275, 'Component Masterlist v2'!B:B, 'Component Masterlist v2'!E:E, "Not found")</f>
        <v>Vijay Kumar</v>
      </c>
      <c r="F275" s="165" t="str">
        <f>_xlfn.XLOOKUP(B275, 'Component Masterlist v2'!B:B, 'Component Masterlist v2'!P:P, "Not found")</f>
        <v>TOC</v>
      </c>
    </row>
    <row r="276" spans="1:6">
      <c r="A276" s="3" t="s">
        <v>78</v>
      </c>
      <c r="B276" s="22" t="s">
        <v>776</v>
      </c>
      <c r="C276" s="37" t="str">
        <f>_xlfn.XLOOKUP(B276, 'Component Masterlist v2'!B:B, 'Component Masterlist v2'!O:O, "Not found")</f>
        <v>Not found</v>
      </c>
      <c r="D276" s="114" t="str">
        <f>_xlfn.XLOOKUP(B276, 'Component Masterlist v2'!B:B, 'Component Masterlist v2'!G:G, "Not found")</f>
        <v>Venugopal Malyala</v>
      </c>
      <c r="E276" s="112" t="str">
        <f>_xlfn.XLOOKUP(B276, 'Component Masterlist v2'!B:B, 'Component Masterlist v2'!E:E, "Not found")</f>
        <v>Vijay Kumar</v>
      </c>
      <c r="F276" s="165" t="str">
        <f>_xlfn.XLOOKUP(B276, 'Component Masterlist v2'!B:B, 'Component Masterlist v2'!P:P, "Not found")</f>
        <v>TOC</v>
      </c>
    </row>
    <row r="277" spans="1:6">
      <c r="A277" s="3" t="s">
        <v>78</v>
      </c>
      <c r="B277" s="22" t="s">
        <v>777</v>
      </c>
      <c r="C277" s="37" t="str">
        <f>_xlfn.XLOOKUP(B277, 'Component Masterlist v2'!B:B, 'Component Masterlist v2'!O:O, "Not found")</f>
        <v>Not found</v>
      </c>
      <c r="D277" s="114" t="str">
        <f>_xlfn.XLOOKUP(B277, 'Component Masterlist v2'!B:B, 'Component Masterlist v2'!G:G, "Not found")</f>
        <v>Venugopal Malyala</v>
      </c>
      <c r="E277" s="112" t="str">
        <f>_xlfn.XLOOKUP(B277, 'Component Masterlist v2'!B:B, 'Component Masterlist v2'!E:E, "Not found")</f>
        <v>Vijay Kumar</v>
      </c>
      <c r="F277" s="165" t="str">
        <f>_xlfn.XLOOKUP(B277, 'Component Masterlist v2'!B:B, 'Component Masterlist v2'!P:P, "Not found")</f>
        <v>TOC</v>
      </c>
    </row>
    <row r="278" spans="1:6">
      <c r="A278" s="3" t="s">
        <v>68</v>
      </c>
      <c r="B278" s="22" t="s">
        <v>778</v>
      </c>
      <c r="C278" s="37" t="str">
        <f>_xlfn.XLOOKUP(B278, 'Component Masterlist v2'!B:B, 'Component Masterlist v2'!O:O, "Not found")</f>
        <v>AIE_Platform</v>
      </c>
      <c r="D278" s="114" t="str">
        <f>_xlfn.XLOOKUP(B278, 'Component Masterlist v2'!B:B, 'Component Masterlist v2'!G:G, "Not found")</f>
        <v>Satish Sallakonda</v>
      </c>
      <c r="E278" s="112" t="str">
        <f>_xlfn.XLOOKUP(B278, 'Component Masterlist v2'!B:B, 'Component Masterlist v2'!E:E, "Not found")</f>
        <v>Satyajeet Singh</v>
      </c>
      <c r="F278" s="165" t="str">
        <f>_xlfn.XLOOKUP(B278, 'Component Masterlist v2'!B:B, 'Component Masterlist v2'!P:P, "Not found")</f>
        <v>AIPL</v>
      </c>
    </row>
    <row r="279" spans="1:6">
      <c r="A279" s="3" t="s">
        <v>68</v>
      </c>
      <c r="B279" s="22" t="s">
        <v>781</v>
      </c>
      <c r="C279" s="37" t="str">
        <f>_xlfn.XLOOKUP(B279, 'Component Masterlist v2'!B:B, 'Component Masterlist v2'!O:O, "Not found")</f>
        <v>AIE_Platform</v>
      </c>
      <c r="D279" s="114" t="str">
        <f>_xlfn.XLOOKUP(B279, 'Component Masterlist v2'!B:B, 'Component Masterlist v2'!G:G, "Not found")</f>
        <v>Satish Sallakonda</v>
      </c>
      <c r="E279" s="112" t="str">
        <f>_xlfn.XLOOKUP(B279, 'Component Masterlist v2'!B:B, 'Component Masterlist v2'!E:E, "Not found")</f>
        <v>Satyajeet Singh</v>
      </c>
      <c r="F279" s="165" t="str">
        <f>_xlfn.XLOOKUP(B279, 'Component Masterlist v2'!B:B, 'Component Masterlist v2'!P:P, "Not found")</f>
        <v>AIPL</v>
      </c>
    </row>
    <row r="280" spans="1:6">
      <c r="A280" s="3" t="s">
        <v>68</v>
      </c>
      <c r="B280" s="22" t="s">
        <v>782</v>
      </c>
      <c r="C280" s="37" t="str">
        <f>_xlfn.XLOOKUP(B280, 'Component Masterlist v2'!B:B, 'Component Masterlist v2'!O:O, "Not found")</f>
        <v>AIE_Platform</v>
      </c>
      <c r="D280" s="114" t="str">
        <f>_xlfn.XLOOKUP(B280, 'Component Masterlist v2'!B:B, 'Component Masterlist v2'!G:G, "Not found")</f>
        <v>Satish Sallakonda</v>
      </c>
      <c r="E280" s="112" t="str">
        <f>_xlfn.XLOOKUP(B280, 'Component Masterlist v2'!B:B, 'Component Masterlist v2'!E:E, "Not found")</f>
        <v>Satyajeet Singh</v>
      </c>
      <c r="F280" s="165" t="str">
        <f>_xlfn.XLOOKUP(B280, 'Component Masterlist v2'!B:B, 'Component Masterlist v2'!P:P, "Not found")</f>
        <v>AIPL</v>
      </c>
    </row>
    <row r="281" spans="1:6">
      <c r="A281" s="3" t="s">
        <v>68</v>
      </c>
      <c r="B281" s="22" t="s">
        <v>784</v>
      </c>
      <c r="C281" s="37" t="str">
        <f>_xlfn.XLOOKUP(B281, 'Component Masterlist v2'!B:B, 'Component Masterlist v2'!O:O, "Not found")</f>
        <v>AIE_Platform</v>
      </c>
      <c r="D281" s="114" t="str">
        <f>_xlfn.XLOOKUP(B281, 'Component Masterlist v2'!B:B, 'Component Masterlist v2'!G:G, "Not found")</f>
        <v>Satish Sallakonda</v>
      </c>
      <c r="E281" s="112" t="str">
        <f>_xlfn.XLOOKUP(B281, 'Component Masterlist v2'!B:B, 'Component Masterlist v2'!E:E, "Not found")</f>
        <v>Satyajeet Singh</v>
      </c>
      <c r="F281" s="165" t="str">
        <f>_xlfn.XLOOKUP(B281, 'Component Masterlist v2'!B:B, 'Component Masterlist v2'!P:P, "Not found")</f>
        <v>AIPL</v>
      </c>
    </row>
    <row r="282" spans="1:6">
      <c r="A282" s="3" t="s">
        <v>68</v>
      </c>
      <c r="B282" s="22" t="s">
        <v>785</v>
      </c>
      <c r="C282" s="37" t="str">
        <f>_xlfn.XLOOKUP(B282, 'Component Masterlist v2'!B:B, 'Component Masterlist v2'!O:O, "Not found")</f>
        <v>AIE_Platform</v>
      </c>
      <c r="D282" s="114" t="str">
        <f>_xlfn.XLOOKUP(B282, 'Component Masterlist v2'!B:B, 'Component Masterlist v2'!G:G, "Not found")</f>
        <v>Satish Sallakonda</v>
      </c>
      <c r="E282" s="112" t="str">
        <f>_xlfn.XLOOKUP(B282, 'Component Masterlist v2'!B:B, 'Component Masterlist v2'!E:E, "Not found")</f>
        <v>Satyajeet Singh</v>
      </c>
      <c r="F282" s="165" t="str">
        <f>_xlfn.XLOOKUP(B282, 'Component Masterlist v2'!B:B, 'Component Masterlist v2'!P:P, "Not found")</f>
        <v>AIPL</v>
      </c>
    </row>
    <row r="283" spans="1:6">
      <c r="A283" s="3" t="s">
        <v>68</v>
      </c>
      <c r="B283" s="22" t="s">
        <v>786</v>
      </c>
      <c r="C283" s="37" t="str">
        <f>_xlfn.XLOOKUP(B283, 'Component Masterlist v2'!B:B, 'Component Masterlist v2'!O:O, "Not found")</f>
        <v>AIE_Platform</v>
      </c>
      <c r="D283" s="114" t="str">
        <f>_xlfn.XLOOKUP(B283, 'Component Masterlist v2'!B:B, 'Component Masterlist v2'!G:G, "Not found")</f>
        <v>Satish Sallakonda</v>
      </c>
      <c r="E283" s="112" t="str">
        <f>_xlfn.XLOOKUP(B283, 'Component Masterlist v2'!B:B, 'Component Masterlist v2'!E:E, "Not found")</f>
        <v>Satyajeet Singh</v>
      </c>
      <c r="F283" s="165" t="str">
        <f>_xlfn.XLOOKUP(B283, 'Component Masterlist v2'!B:B, 'Component Masterlist v2'!P:P, "Not found")</f>
        <v>AIPL</v>
      </c>
    </row>
    <row r="284" spans="1:6">
      <c r="A284" s="3" t="s">
        <v>68</v>
      </c>
      <c r="B284" s="22" t="s">
        <v>787</v>
      </c>
      <c r="C284" s="37" t="str">
        <f>_xlfn.XLOOKUP(B284, 'Component Masterlist v2'!B:B, 'Component Masterlist v2'!O:O, "Not found")</f>
        <v>AIE_Platform</v>
      </c>
      <c r="D284" s="114" t="str">
        <f>_xlfn.XLOOKUP(B284, 'Component Masterlist v2'!B:B, 'Component Masterlist v2'!G:G, "Not found")</f>
        <v>Satish Sallakonda</v>
      </c>
      <c r="E284" s="112" t="str">
        <f>_xlfn.XLOOKUP(B284, 'Component Masterlist v2'!B:B, 'Component Masterlist v2'!E:E, "Not found")</f>
        <v>Satyajeet Singh</v>
      </c>
      <c r="F284" s="165" t="str">
        <f>_xlfn.XLOOKUP(B284, 'Component Masterlist v2'!B:B, 'Component Masterlist v2'!P:P, "Not found")</f>
        <v>AIPL</v>
      </c>
    </row>
    <row r="285" spans="1:6">
      <c r="A285" s="3" t="s">
        <v>68</v>
      </c>
      <c r="B285" s="22" t="s">
        <v>788</v>
      </c>
      <c r="C285" s="37" t="str">
        <f>_xlfn.XLOOKUP(B285, 'Component Masterlist v2'!B:B, 'Component Masterlist v2'!O:O, "Not found")</f>
        <v>AIE_Platform</v>
      </c>
      <c r="D285" s="114" t="str">
        <f>_xlfn.XLOOKUP(B285, 'Component Masterlist v2'!B:B, 'Component Masterlist v2'!G:G, "Not found")</f>
        <v>Satish Sallakonda</v>
      </c>
      <c r="E285" s="112" t="str">
        <f>_xlfn.XLOOKUP(B285, 'Component Masterlist v2'!B:B, 'Component Masterlist v2'!E:E, "Not found")</f>
        <v>Satyajeet Singh</v>
      </c>
      <c r="F285" s="165" t="str">
        <f>_xlfn.XLOOKUP(B285, 'Component Masterlist v2'!B:B, 'Component Masterlist v2'!P:P, "Not found")</f>
        <v>AIPL</v>
      </c>
    </row>
    <row r="286" spans="1:6">
      <c r="A286" s="3" t="s">
        <v>68</v>
      </c>
      <c r="B286" s="22" t="s">
        <v>789</v>
      </c>
      <c r="C286" s="37" t="str">
        <f>_xlfn.XLOOKUP(B286, 'Component Masterlist v2'!B:B, 'Component Masterlist v2'!O:O, "Not found")</f>
        <v>AIE_Platform</v>
      </c>
      <c r="D286" s="114" t="str">
        <f>_xlfn.XLOOKUP(B286, 'Component Masterlist v2'!B:B, 'Component Masterlist v2'!G:G, "Not found")</f>
        <v>Satish Sallakonda</v>
      </c>
      <c r="E286" s="112" t="str">
        <f>_xlfn.XLOOKUP(B286, 'Component Masterlist v2'!B:B, 'Component Masterlist v2'!E:E, "Not found")</f>
        <v>Satyajeet Singh</v>
      </c>
      <c r="F286" s="165" t="str">
        <f>_xlfn.XLOOKUP(B286, 'Component Masterlist v2'!B:B, 'Component Masterlist v2'!P:P, "Not found")</f>
        <v>AIPL</v>
      </c>
    </row>
    <row r="287" spans="1:6">
      <c r="A287" s="3" t="s">
        <v>68</v>
      </c>
      <c r="B287" s="22" t="s">
        <v>790</v>
      </c>
      <c r="C287" s="37" t="str">
        <f>_xlfn.XLOOKUP(B287, 'Component Masterlist v2'!B:B, 'Component Masterlist v2'!O:O, "Not found")</f>
        <v>AIE_Platform</v>
      </c>
      <c r="D287" s="114" t="str">
        <f>_xlfn.XLOOKUP(B287, 'Component Masterlist v2'!B:B, 'Component Masterlist v2'!G:G, "Not found")</f>
        <v>Satish Sallakonda</v>
      </c>
      <c r="E287" s="112" t="str">
        <f>_xlfn.XLOOKUP(B287, 'Component Masterlist v2'!B:B, 'Component Masterlist v2'!E:E, "Not found")</f>
        <v>Satyajeet Singh</v>
      </c>
      <c r="F287" s="165" t="str">
        <f>_xlfn.XLOOKUP(B287, 'Component Masterlist v2'!B:B, 'Component Masterlist v2'!P:P, "Not found")</f>
        <v>AIPL</v>
      </c>
    </row>
    <row r="288" spans="1:6">
      <c r="A288" s="3" t="s">
        <v>40</v>
      </c>
      <c r="B288" s="22" t="s">
        <v>791</v>
      </c>
      <c r="C288" s="37" t="str">
        <f>_xlfn.XLOOKUP(B288, 'Component Masterlist v2'!B:B, 'Component Masterlist v2'!O:O, "Not found")</f>
        <v>VSR, FE Platform</v>
      </c>
      <c r="D288" s="114" t="str">
        <f>_xlfn.XLOOKUP(B288, 'Component Masterlist v2'!B:B, 'Component Masterlist v2'!G:G, "Not found")</f>
        <v>Santosh Golecha</v>
      </c>
      <c r="E288" s="112" t="str">
        <f>_xlfn.XLOOKUP(B288, 'Component Masterlist v2'!B:B, 'Component Masterlist v2'!E:E, "Not found")</f>
        <v>Ankur Agarwal</v>
      </c>
      <c r="F288" s="165" t="str">
        <f>_xlfn.XLOOKUP(B288, 'Component Masterlist v2'!B:B, 'Component Masterlist v2'!P:P, "Not found")</f>
        <v>GM</v>
      </c>
    </row>
    <row r="289" spans="1:6">
      <c r="A289" s="3" t="s">
        <v>40</v>
      </c>
      <c r="B289" s="22" t="s">
        <v>797</v>
      </c>
      <c r="C289" s="37" t="str">
        <f>_xlfn.XLOOKUP(B289, 'Component Masterlist v2'!B:B, 'Component Masterlist v2'!O:O, "Not found")</f>
        <v>VSR, FE Platform</v>
      </c>
      <c r="D289" s="114" t="str">
        <f>_xlfn.XLOOKUP(B289, 'Component Masterlist v2'!B:B, 'Component Masterlist v2'!G:G, "Not found")</f>
        <v>Santosh Golecha</v>
      </c>
      <c r="E289" s="112" t="str">
        <f>_xlfn.XLOOKUP(B289, 'Component Masterlist v2'!B:B, 'Component Masterlist v2'!E:E, "Not found")</f>
        <v>Ankur Agarwal</v>
      </c>
      <c r="F289" s="165" t="str">
        <f>_xlfn.XLOOKUP(B289, 'Component Masterlist v2'!B:B, 'Component Masterlist v2'!P:P, "Not found")</f>
        <v>GM</v>
      </c>
    </row>
    <row r="290" spans="1:6">
      <c r="A290" s="3" t="s">
        <v>40</v>
      </c>
      <c r="B290" s="22" t="s">
        <v>798</v>
      </c>
      <c r="C290" s="37" t="str">
        <f>_xlfn.XLOOKUP(B290, 'Component Masterlist v2'!B:B, 'Component Masterlist v2'!O:O, "Not found")</f>
        <v>VDP</v>
      </c>
      <c r="D290" s="114" t="str">
        <f>_xlfn.XLOOKUP(B290, 'Component Masterlist v2'!B:B, 'Component Masterlist v2'!G:G, "Not found")</f>
        <v>Santosh Golecha</v>
      </c>
      <c r="E290" s="112" t="str">
        <f>_xlfn.XLOOKUP(B290, 'Component Masterlist v2'!B:B, 'Component Masterlist v2'!E:E, "Not found")</f>
        <v>Ankur Agarwal</v>
      </c>
      <c r="F290" s="165" t="str">
        <f>_xlfn.XLOOKUP(B290, 'Component Masterlist v2'!B:B, 'Component Masterlist v2'!P:P, "Not found")</f>
        <v>GM</v>
      </c>
    </row>
    <row r="291" spans="1:6">
      <c r="A291" s="3" t="s">
        <v>40</v>
      </c>
      <c r="B291" s="22" t="s">
        <v>800</v>
      </c>
      <c r="C291" s="37" t="str">
        <f>_xlfn.XLOOKUP(B291, 'Component Masterlist v2'!B:B, 'Component Masterlist v2'!O:O, "Not found")</f>
        <v>VDP</v>
      </c>
      <c r="D291" s="114" t="str">
        <f>_xlfn.XLOOKUP(B291, 'Component Masterlist v2'!B:B, 'Component Masterlist v2'!G:G, "Not found")</f>
        <v>Santosh Golecha</v>
      </c>
      <c r="E291" s="112" t="str">
        <f>_xlfn.XLOOKUP(B291, 'Component Masterlist v2'!B:B, 'Component Masterlist v2'!E:E, "Not found")</f>
        <v>Ankur Agarwal</v>
      </c>
      <c r="F291" s="165" t="str">
        <f>_xlfn.XLOOKUP(B291, 'Component Masterlist v2'!B:B, 'Component Masterlist v2'!P:P, "Not found")</f>
        <v>GM</v>
      </c>
    </row>
    <row r="292" spans="1:6">
      <c r="A292" s="3" t="s">
        <v>40</v>
      </c>
      <c r="B292" s="22" t="s">
        <v>801</v>
      </c>
      <c r="C292" s="37" t="str">
        <f>_xlfn.XLOOKUP(B292, 'Component Masterlist v2'!B:B, 'Component Masterlist v2'!O:O, "Not found")</f>
        <v>Configurator</v>
      </c>
      <c r="D292" s="114" t="str">
        <f>_xlfn.XLOOKUP(B292, 'Component Masterlist v2'!B:B, 'Component Masterlist v2'!G:G, "Not found")</f>
        <v>Santosh Golecha</v>
      </c>
      <c r="E292" s="112" t="str">
        <f>_xlfn.XLOOKUP(B292, 'Component Masterlist v2'!B:B, 'Component Masterlist v2'!E:E, "Not found")</f>
        <v>Ankur Agarwal</v>
      </c>
      <c r="F292" s="165" t="str">
        <f>_xlfn.XLOOKUP(B292, 'Component Masterlist v2'!B:B, 'Component Masterlist v2'!P:P, "Not found")</f>
        <v>GM</v>
      </c>
    </row>
    <row r="293" spans="1:6">
      <c r="A293" s="3" t="s">
        <v>40</v>
      </c>
      <c r="B293" s="22" t="s">
        <v>804</v>
      </c>
      <c r="C293" s="37" t="str">
        <f>_xlfn.XLOOKUP(B293, 'Component Masterlist v2'!B:B, 'Component Masterlist v2'!O:O, "Not found")</f>
        <v>My Accounts</v>
      </c>
      <c r="D293" s="114" t="str">
        <f>_xlfn.XLOOKUP(B293, 'Component Masterlist v2'!B:B, 'Component Masterlist v2'!G:G, "Not found")</f>
        <v>Santosh Golecha</v>
      </c>
      <c r="E293" s="112" t="str">
        <f>_xlfn.XLOOKUP(B293, 'Component Masterlist v2'!B:B, 'Component Masterlist v2'!E:E, "Not found")</f>
        <v>Ankur Agarwal</v>
      </c>
      <c r="F293" s="165" t="str">
        <f>_xlfn.XLOOKUP(B293, 'Component Masterlist v2'!B:B, 'Component Masterlist v2'!P:P, "Not found")</f>
        <v>GM</v>
      </c>
    </row>
    <row r="294" spans="1:6">
      <c r="A294" s="3" t="s">
        <v>40</v>
      </c>
      <c r="B294" s="22" t="s">
        <v>805</v>
      </c>
      <c r="C294" s="37" t="str">
        <f>_xlfn.XLOOKUP(B294, 'Component Masterlist v2'!B:B, 'Component Masterlist v2'!O:O, "Not found")</f>
        <v>My Accounts</v>
      </c>
      <c r="D294" s="114" t="str">
        <f>_xlfn.XLOOKUP(B294, 'Component Masterlist v2'!B:B, 'Component Masterlist v2'!G:G, "Not found")</f>
        <v>Santosh Golecha</v>
      </c>
      <c r="E294" s="112" t="str">
        <f>_xlfn.XLOOKUP(B294, 'Component Masterlist v2'!B:B, 'Component Masterlist v2'!E:E, "Not found")</f>
        <v>Ankur Agarwal</v>
      </c>
      <c r="F294" s="165" t="str">
        <f>_xlfn.XLOOKUP(B294, 'Component Masterlist v2'!B:B, 'Component Masterlist v2'!P:P, "Not found")</f>
        <v>GM</v>
      </c>
    </row>
    <row r="295" spans="1:6">
      <c r="A295" s="3" t="s">
        <v>40</v>
      </c>
      <c r="B295" s="22" t="s">
        <v>806</v>
      </c>
      <c r="C295" s="37" t="str">
        <f>_xlfn.XLOOKUP(B295, 'Component Masterlist v2'!B:B, 'Component Masterlist v2'!O:O, "Not found")</f>
        <v>Configurator</v>
      </c>
      <c r="D295" s="114" t="str">
        <f>_xlfn.XLOOKUP(B295, 'Component Masterlist v2'!B:B, 'Component Masterlist v2'!G:G, "Not found")</f>
        <v>Santosh Golecha</v>
      </c>
      <c r="E295" s="112" t="str">
        <f>_xlfn.XLOOKUP(B295, 'Component Masterlist v2'!B:B, 'Component Masterlist v2'!E:E, "Not found")</f>
        <v>Ankur Agarwal</v>
      </c>
      <c r="F295" s="165" t="str">
        <f>_xlfn.XLOOKUP(B295, 'Component Masterlist v2'!B:B, 'Component Masterlist v2'!P:P, "Not found")</f>
        <v>GM</v>
      </c>
    </row>
    <row r="296" spans="1:6">
      <c r="A296" s="3" t="s">
        <v>40</v>
      </c>
      <c r="B296" s="22" t="s">
        <v>807</v>
      </c>
      <c r="C296" s="37" t="str">
        <f>_xlfn.XLOOKUP(B296, 'Component Masterlist v2'!B:B, 'Component Masterlist v2'!O:O, "Not found")</f>
        <v>Discovery &amp; Ingestion</v>
      </c>
      <c r="D296" s="114" t="str">
        <f>_xlfn.XLOOKUP(B296, 'Component Masterlist v2'!B:B, 'Component Masterlist v2'!G:G, "Not found")</f>
        <v>Santosh Golecha</v>
      </c>
      <c r="E296" s="112" t="str">
        <f>_xlfn.XLOOKUP(B296, 'Component Masterlist v2'!B:B, 'Component Masterlist v2'!E:E, "Not found")</f>
        <v>Ankur Agarwal</v>
      </c>
      <c r="F296" s="165" t="str">
        <f>_xlfn.XLOOKUP(B296, 'Component Masterlist v2'!B:B, 'Component Masterlist v2'!P:P, "Not found")</f>
        <v>GM</v>
      </c>
    </row>
    <row r="297" spans="1:6">
      <c r="A297" s="3" t="s">
        <v>40</v>
      </c>
      <c r="B297" s="22" t="s">
        <v>809</v>
      </c>
      <c r="C297" s="37" t="str">
        <f>_xlfn.XLOOKUP(B297, 'Component Masterlist v2'!B:B, 'Component Masterlist v2'!O:O, "Not found")</f>
        <v>OMS &amp; Pricing</v>
      </c>
      <c r="D297" s="114" t="str">
        <f>_xlfn.XLOOKUP(B297, 'Component Masterlist v2'!B:B, 'Component Masterlist v2'!G:G, "Not found")</f>
        <v>Santosh Golecha</v>
      </c>
      <c r="E297" s="112" t="str">
        <f>_xlfn.XLOOKUP(B297, 'Component Masterlist v2'!B:B, 'Component Masterlist v2'!E:E, "Not found")</f>
        <v>Ankur Agarwal</v>
      </c>
      <c r="F297" s="165" t="str">
        <f>_xlfn.XLOOKUP(B297, 'Component Masterlist v2'!B:B, 'Component Masterlist v2'!P:P, "Not found")</f>
        <v>GM</v>
      </c>
    </row>
    <row r="298" spans="1:6">
      <c r="A298" s="3" t="s">
        <v>40</v>
      </c>
      <c r="B298" s="22" t="s">
        <v>810</v>
      </c>
      <c r="C298" s="37" t="str">
        <f>_xlfn.XLOOKUP(B298, 'Component Masterlist v2'!B:B, 'Component Masterlist v2'!O:O, "Not found")</f>
        <v>OMS &amp; Pricing</v>
      </c>
      <c r="D298" s="114" t="str">
        <f>_xlfn.XLOOKUP(B298, 'Component Masterlist v2'!B:B, 'Component Masterlist v2'!G:G, "Not found")</f>
        <v>Santosh Golecha</v>
      </c>
      <c r="E298" s="112" t="str">
        <f>_xlfn.XLOOKUP(B298, 'Component Masterlist v2'!B:B, 'Component Masterlist v2'!E:E, "Not found")</f>
        <v>Ankur Agarwal</v>
      </c>
      <c r="F298" s="165" t="str">
        <f>_xlfn.XLOOKUP(B298, 'Component Masterlist v2'!B:B, 'Component Masterlist v2'!P:P, "Not found")</f>
        <v>GM</v>
      </c>
    </row>
    <row r="299" spans="1:6">
      <c r="A299" s="3" t="s">
        <v>40</v>
      </c>
      <c r="B299" s="22" t="s">
        <v>811</v>
      </c>
      <c r="C299" s="37" t="str">
        <f>_xlfn.XLOOKUP(B299, 'Component Masterlist v2'!B:B, 'Component Masterlist v2'!O:O, "Not found")</f>
        <v>DX (1.0 Salescloud and 2.0 Custom Apps)</v>
      </c>
      <c r="D299" s="114" t="str">
        <f>_xlfn.XLOOKUP(B299, 'Component Masterlist v2'!B:B, 'Component Masterlist v2'!G:G, "Not found")</f>
        <v>Santosh Golecha</v>
      </c>
      <c r="E299" s="112" t="str">
        <f>_xlfn.XLOOKUP(B299, 'Component Masterlist v2'!B:B, 'Component Masterlist v2'!E:E, "Not found")</f>
        <v>Ankur Agarwal</v>
      </c>
      <c r="F299" s="165" t="str">
        <f>_xlfn.XLOOKUP(B299, 'Component Masterlist v2'!B:B, 'Component Masterlist v2'!P:P, "Not found")</f>
        <v>GM</v>
      </c>
    </row>
    <row r="300" spans="1:6">
      <c r="A300" s="3" t="s">
        <v>40</v>
      </c>
      <c r="B300" s="22" t="s">
        <v>814</v>
      </c>
      <c r="C300" s="37" t="str">
        <f>_xlfn.XLOOKUP(B300, 'Component Masterlist v2'!B:B, 'Component Masterlist v2'!O:O, "Not found")</f>
        <v>DX (1.0 Salescloud and 2.0 Custom Apps)</v>
      </c>
      <c r="D300" s="114" t="str">
        <f>_xlfn.XLOOKUP(B300, 'Component Masterlist v2'!B:B, 'Component Masterlist v2'!G:G, "Not found")</f>
        <v>Santosh Golecha</v>
      </c>
      <c r="E300" s="112" t="str">
        <f>_xlfn.XLOOKUP(B300, 'Component Masterlist v2'!B:B, 'Component Masterlist v2'!E:E, "Not found")</f>
        <v>Ankur Agarwal</v>
      </c>
      <c r="F300" s="165" t="str">
        <f>_xlfn.XLOOKUP(B300, 'Component Masterlist v2'!B:B, 'Component Masterlist v2'!P:P, "Not found")</f>
        <v>GM</v>
      </c>
    </row>
    <row r="301" spans="1:6">
      <c r="A301" s="3" t="s">
        <v>40</v>
      </c>
      <c r="B301" s="22" t="s">
        <v>817</v>
      </c>
      <c r="C301" s="37" t="str">
        <f>_xlfn.XLOOKUP(B301, 'Component Masterlist v2'!B:B, 'Component Masterlist v2'!O:O, "Not found")</f>
        <v>DX (1.0 Salescloud and 2.0 Custom Apps)</v>
      </c>
      <c r="D301" s="114" t="str">
        <f>_xlfn.XLOOKUP(B301, 'Component Masterlist v2'!B:B, 'Component Masterlist v2'!G:G, "Not found")</f>
        <v>Santosh Golecha</v>
      </c>
      <c r="E301" s="112" t="str">
        <f>_xlfn.XLOOKUP(B301, 'Component Masterlist v2'!B:B, 'Component Masterlist v2'!E:E, "Not found")</f>
        <v>Ankur Agarwal</v>
      </c>
      <c r="F301" s="165" t="str">
        <f>_xlfn.XLOOKUP(B301, 'Component Masterlist v2'!B:B, 'Component Masterlist v2'!P:P, "Not found")</f>
        <v>GM</v>
      </c>
    </row>
    <row r="302" spans="1:6">
      <c r="A302" s="3" t="s">
        <v>40</v>
      </c>
      <c r="B302" s="22" t="s">
        <v>818</v>
      </c>
      <c r="C302" s="37" t="str">
        <f>_xlfn.XLOOKUP(B302, 'Component Masterlist v2'!B:B, 'Component Masterlist v2'!O:O, "Not found")</f>
        <v>DX (1.0 Salescloud and 2.0 Custom Apps)</v>
      </c>
      <c r="D302" s="114" t="str">
        <f>_xlfn.XLOOKUP(B302, 'Component Masterlist v2'!B:B, 'Component Masterlist v2'!G:G, "Not found")</f>
        <v>Santosh Golecha</v>
      </c>
      <c r="E302" s="112" t="str">
        <f>_xlfn.XLOOKUP(B302, 'Component Masterlist v2'!B:B, 'Component Masterlist v2'!E:E, "Not found")</f>
        <v>Ankur Agarwal</v>
      </c>
      <c r="F302" s="165" t="str">
        <f>_xlfn.XLOOKUP(B302, 'Component Masterlist v2'!B:B, 'Component Masterlist v2'!P:P, "Not found")</f>
        <v>GM</v>
      </c>
    </row>
    <row r="303" spans="1:6">
      <c r="A303" s="3" t="s">
        <v>40</v>
      </c>
      <c r="B303" s="22" t="s">
        <v>819</v>
      </c>
      <c r="C303" s="37" t="str">
        <f>_xlfn.XLOOKUP(B303, 'Component Masterlist v2'!B:B, 'Component Masterlist v2'!O:O, "Not found")</f>
        <v>SCX (1.0 and 2.0)</v>
      </c>
      <c r="D303" s="114" t="str">
        <f>_xlfn.XLOOKUP(B303, 'Component Masterlist v2'!B:B, 'Component Masterlist v2'!G:G, "Not found")</f>
        <v>Santosh Golecha</v>
      </c>
      <c r="E303" s="112" t="str">
        <f>_xlfn.XLOOKUP(B303, 'Component Masterlist v2'!B:B, 'Component Masterlist v2'!E:E, "Not found")</f>
        <v>Ankur Agarwal</v>
      </c>
      <c r="F303" s="165" t="str">
        <f>_xlfn.XLOOKUP(B303, 'Component Masterlist v2'!B:B, 'Component Masterlist v2'!P:P, "Not found")</f>
        <v>GM</v>
      </c>
    </row>
    <row r="304" spans="1:6">
      <c r="A304" s="3" t="s">
        <v>40</v>
      </c>
      <c r="B304" s="22" t="s">
        <v>820</v>
      </c>
      <c r="C304" s="37" t="str">
        <f>_xlfn.XLOOKUP(B304, 'Component Masterlist v2'!B:B, 'Component Masterlist v2'!O:O, "Not found")</f>
        <v>DX (1.0 Salescloud and 2.0 Custom Apps)</v>
      </c>
      <c r="D304" s="114" t="str">
        <f>_xlfn.XLOOKUP(B304, 'Component Masterlist v2'!B:B, 'Component Masterlist v2'!G:G, "Not found")</f>
        <v>Santosh Golecha</v>
      </c>
      <c r="E304" s="112" t="str">
        <f>_xlfn.XLOOKUP(B304, 'Component Masterlist v2'!B:B, 'Component Masterlist v2'!E:E, "Not found")</f>
        <v>Ankur Agarwal</v>
      </c>
      <c r="F304" s="165" t="str">
        <f>_xlfn.XLOOKUP(B304, 'Component Masterlist v2'!B:B, 'Component Masterlist v2'!P:P, "Not found")</f>
        <v>GM</v>
      </c>
    </row>
    <row r="305" spans="1:6">
      <c r="A305" s="3" t="s">
        <v>40</v>
      </c>
      <c r="B305" s="22" t="s">
        <v>821</v>
      </c>
      <c r="C305" s="37" t="str">
        <f>_xlfn.XLOOKUP(B305, 'Component Masterlist v2'!B:B, 'Component Masterlist v2'!O:O, "Not found")</f>
        <v>DX (1.0 Salescloud and 2.0 Custom Apps)</v>
      </c>
      <c r="D305" s="114" t="str">
        <f>_xlfn.XLOOKUP(B305, 'Component Masterlist v2'!B:B, 'Component Masterlist v2'!G:G, "Not found")</f>
        <v>Santosh Golecha</v>
      </c>
      <c r="E305" s="112" t="str">
        <f>_xlfn.XLOOKUP(B305, 'Component Masterlist v2'!B:B, 'Component Masterlist v2'!E:E, "Not found")</f>
        <v>Ankur Agarwal</v>
      </c>
      <c r="F305" s="165" t="str">
        <f>_xlfn.XLOOKUP(B305, 'Component Masterlist v2'!B:B, 'Component Masterlist v2'!P:P, "Not found")</f>
        <v>GM</v>
      </c>
    </row>
    <row r="306" spans="1:6">
      <c r="A306" s="3" t="s">
        <v>40</v>
      </c>
      <c r="B306" s="22" t="s">
        <v>822</v>
      </c>
      <c r="C306" s="37" t="str">
        <f>_xlfn.XLOOKUP(B306, 'Component Masterlist v2'!B:B, 'Component Masterlist v2'!O:O, "Not found")</f>
        <v>DX (1.0 Salescloud and 2.0 Custom Apps)</v>
      </c>
      <c r="D306" s="114" t="str">
        <f>_xlfn.XLOOKUP(B306, 'Component Masterlist v2'!B:B, 'Component Masterlist v2'!G:G, "Not found")</f>
        <v>Santosh Golecha</v>
      </c>
      <c r="E306" s="112" t="str">
        <f>_xlfn.XLOOKUP(B306, 'Component Masterlist v2'!B:B, 'Component Masterlist v2'!E:E, "Not found")</f>
        <v>Ankur Agarwal</v>
      </c>
      <c r="F306" s="165" t="str">
        <f>_xlfn.XLOOKUP(B306, 'Component Masterlist v2'!B:B, 'Component Masterlist v2'!P:P, "Not found")</f>
        <v>GM</v>
      </c>
    </row>
    <row r="307" spans="1:6">
      <c r="A307" s="3" t="s">
        <v>40</v>
      </c>
      <c r="B307" s="22" t="s">
        <v>823</v>
      </c>
      <c r="C307" s="37" t="str">
        <f>_xlfn.XLOOKUP(B307, 'Component Masterlist v2'!B:B, 'Component Masterlist v2'!O:O, "Not found")</f>
        <v>DX (1.0 Salescloud and 2.0 Custom Apps)</v>
      </c>
      <c r="D307" s="114" t="str">
        <f>_xlfn.XLOOKUP(B307, 'Component Masterlist v2'!B:B, 'Component Masterlist v2'!G:G, "Not found")</f>
        <v>Santosh Golecha</v>
      </c>
      <c r="E307" s="112" t="str">
        <f>_xlfn.XLOOKUP(B307, 'Component Masterlist v2'!B:B, 'Component Masterlist v2'!E:E, "Not found")</f>
        <v>Ankur Agarwal</v>
      </c>
      <c r="F307" s="165" t="str">
        <f>_xlfn.XLOOKUP(B307, 'Component Masterlist v2'!B:B, 'Component Masterlist v2'!P:P, "Not found")</f>
        <v>GM</v>
      </c>
    </row>
    <row r="308" spans="1:6">
      <c r="A308" s="3" t="s">
        <v>40</v>
      </c>
      <c r="B308" s="22" t="s">
        <v>824</v>
      </c>
      <c r="C308" s="37" t="str">
        <f>_xlfn.XLOOKUP(B308, 'Component Masterlist v2'!B:B, 'Component Masterlist v2'!O:O, "Not found")</f>
        <v>SCX (1.0 and 2.0)</v>
      </c>
      <c r="D308" s="114" t="str">
        <f>_xlfn.XLOOKUP(B308, 'Component Masterlist v2'!B:B, 'Component Masterlist v2'!G:G, "Not found")</f>
        <v>Santosh Golecha</v>
      </c>
      <c r="E308" s="112" t="str">
        <f>_xlfn.XLOOKUP(B308, 'Component Masterlist v2'!B:B, 'Component Masterlist v2'!E:E, "Not found")</f>
        <v>Ankur Agarwal</v>
      </c>
      <c r="F308" s="165" t="str">
        <f>_xlfn.XLOOKUP(B308, 'Component Masterlist v2'!B:B, 'Component Masterlist v2'!P:P, "Not found")</f>
        <v>GM</v>
      </c>
    </row>
    <row r="309" spans="1:6">
      <c r="A309" s="3" t="s">
        <v>40</v>
      </c>
      <c r="B309" s="22" t="s">
        <v>825</v>
      </c>
      <c r="C309" s="37" t="str">
        <f>_xlfn.XLOOKUP(B309, 'Component Masterlist v2'!B:B, 'Component Masterlist v2'!O:O, "Not found")</f>
        <v>GM Integrations (1.0 and 2.0)</v>
      </c>
      <c r="D309" s="114" t="str">
        <f>_xlfn.XLOOKUP(B309, 'Component Masterlist v2'!B:B, 'Component Masterlist v2'!G:G, "Not found")</f>
        <v>Santosh Golecha</v>
      </c>
      <c r="E309" s="112" t="str">
        <f>_xlfn.XLOOKUP(B309, 'Component Masterlist v2'!B:B, 'Component Masterlist v2'!E:E, "Not found")</f>
        <v>Ankur Agarwal</v>
      </c>
      <c r="F309" s="165" t="str">
        <f>_xlfn.XLOOKUP(B309, 'Component Masterlist v2'!B:B, 'Component Masterlist v2'!P:P, "Not found")</f>
        <v>GM</v>
      </c>
    </row>
    <row r="310" spans="1:6">
      <c r="A310" s="3" t="s">
        <v>40</v>
      </c>
      <c r="B310" s="22" t="s">
        <v>826</v>
      </c>
      <c r="C310" s="37" t="str">
        <f>_xlfn.XLOOKUP(B310, 'Component Masterlist v2'!B:B, 'Component Masterlist v2'!O:O, "Not found")</f>
        <v>GM Integrations (1.0 and 2.0)</v>
      </c>
      <c r="D310" s="114" t="str">
        <f>_xlfn.XLOOKUP(B310, 'Component Masterlist v2'!B:B, 'Component Masterlist v2'!G:G, "Not found")</f>
        <v>Santosh Golecha</v>
      </c>
      <c r="E310" s="112" t="str">
        <f>_xlfn.XLOOKUP(B310, 'Component Masterlist v2'!B:B, 'Component Masterlist v2'!E:E, "Not found")</f>
        <v>Ankur Agarwal</v>
      </c>
      <c r="F310" s="165" t="str">
        <f>_xlfn.XLOOKUP(B310, 'Component Masterlist v2'!B:B, 'Component Masterlist v2'!P:P, "Not found")</f>
        <v>GM</v>
      </c>
    </row>
    <row r="311" spans="1:6">
      <c r="A311" s="3" t="s">
        <v>40</v>
      </c>
      <c r="B311" s="22" t="s">
        <v>827</v>
      </c>
      <c r="C311" s="37" t="str">
        <f>_xlfn.XLOOKUP(B311, 'Component Masterlist v2'!B:B, 'Component Masterlist v2'!O:O, "Not found")</f>
        <v>OEM - D360 + Analytics</v>
      </c>
      <c r="D311" s="114" t="str">
        <f>_xlfn.XLOOKUP(B311, 'Component Masterlist v2'!B:B, 'Component Masterlist v2'!G:G, "Not found")</f>
        <v>Santosh Golecha</v>
      </c>
      <c r="E311" s="112" t="str">
        <f>_xlfn.XLOOKUP(B311, 'Component Masterlist v2'!B:B, 'Component Masterlist v2'!E:E, "Not found")</f>
        <v>Ankur Agarwal</v>
      </c>
      <c r="F311" s="165" t="str">
        <f>_xlfn.XLOOKUP(B311, 'Component Masterlist v2'!B:B, 'Component Masterlist v2'!P:P, "Not found")</f>
        <v>GM</v>
      </c>
    </row>
    <row r="312" spans="1:6">
      <c r="A312" s="3" t="s">
        <v>40</v>
      </c>
      <c r="B312" s="22" t="s">
        <v>829</v>
      </c>
      <c r="C312" s="37" t="str">
        <f>_xlfn.XLOOKUP(B312, 'Component Masterlist v2'!B:B, 'Component Masterlist v2'!O:O, "Not found")</f>
        <v>Not found</v>
      </c>
      <c r="D312" s="114" t="str">
        <f>_xlfn.XLOOKUP(B312, 'Component Masterlist v2'!B:B, 'Component Masterlist v2'!G:G, "Not found")</f>
        <v>Santosh Golecha</v>
      </c>
      <c r="E312" s="112" t="str">
        <f>_xlfn.XLOOKUP(B312, 'Component Masterlist v2'!B:B, 'Component Masterlist v2'!E:E, "Not found")</f>
        <v>Ankur Agarwal</v>
      </c>
      <c r="F312" s="165" t="str">
        <f>_xlfn.XLOOKUP(B312, 'Component Masterlist v2'!B:B, 'Component Masterlist v2'!P:P, "Not found")</f>
        <v>GM</v>
      </c>
    </row>
    <row r="313" spans="1:6">
      <c r="A313" s="3" t="s">
        <v>40</v>
      </c>
      <c r="B313" s="22" t="s">
        <v>830</v>
      </c>
      <c r="C313" s="37" t="str">
        <f>_xlfn.XLOOKUP(B313, 'Component Masterlist v2'!B:B, 'Component Masterlist v2'!O:O, "Not found")</f>
        <v>OEM - D360 + Analytics</v>
      </c>
      <c r="D313" s="114" t="str">
        <f>_xlfn.XLOOKUP(B313, 'Component Masterlist v2'!B:B, 'Component Masterlist v2'!G:G, "Not found")</f>
        <v>Santosh Golecha</v>
      </c>
      <c r="E313" s="112" t="str">
        <f>_xlfn.XLOOKUP(B313, 'Component Masterlist v2'!B:B, 'Component Masterlist v2'!E:E, "Not found")</f>
        <v>Ankur Agarwal</v>
      </c>
      <c r="F313" s="165" t="str">
        <f>_xlfn.XLOOKUP(B313, 'Component Masterlist v2'!B:B, 'Component Masterlist v2'!P:P, "Not found")</f>
        <v>GM</v>
      </c>
    </row>
    <row r="314" spans="1:6">
      <c r="A314" s="3" t="s">
        <v>40</v>
      </c>
      <c r="B314" s="22" t="s">
        <v>831</v>
      </c>
      <c r="C314" s="37" t="str">
        <f>_xlfn.XLOOKUP(B314, 'Component Masterlist v2'!B:B, 'Component Masterlist v2'!O:O, "Not found")</f>
        <v>OEM - D360 + Analytics</v>
      </c>
      <c r="D314" s="114" t="str">
        <f>_xlfn.XLOOKUP(B314, 'Component Masterlist v2'!B:B, 'Component Masterlist v2'!G:G, "Not found")</f>
        <v>Santosh Golecha</v>
      </c>
      <c r="E314" s="112" t="str">
        <f>_xlfn.XLOOKUP(B314, 'Component Masterlist v2'!B:B, 'Component Masterlist v2'!E:E, "Not found")</f>
        <v>Ankur Agarwal</v>
      </c>
      <c r="F314" s="165" t="str">
        <f>_xlfn.XLOOKUP(B314, 'Component Masterlist v2'!B:B, 'Component Masterlist v2'!P:P, "Not found")</f>
        <v>GM</v>
      </c>
    </row>
    <row r="315" spans="1:6">
      <c r="A315" s="3" t="s">
        <v>40</v>
      </c>
      <c r="B315" s="22" t="s">
        <v>832</v>
      </c>
      <c r="C315" s="37" t="str">
        <f>_xlfn.XLOOKUP(B315, 'Component Masterlist v2'!B:B, 'Component Masterlist v2'!O:O, "Not found")</f>
        <v>OEM - D360 + Analytics</v>
      </c>
      <c r="D315" s="114" t="str">
        <f>_xlfn.XLOOKUP(B315, 'Component Masterlist v2'!B:B, 'Component Masterlist v2'!G:G, "Not found")</f>
        <v>Santosh Golecha</v>
      </c>
      <c r="E315" s="112" t="str">
        <f>_xlfn.XLOOKUP(B315, 'Component Masterlist v2'!B:B, 'Component Masterlist v2'!E:E, "Not found")</f>
        <v>Ankur Agarwal</v>
      </c>
      <c r="F315" s="165" t="str">
        <f>_xlfn.XLOOKUP(B315, 'Component Masterlist v2'!B:B, 'Component Masterlist v2'!P:P, "Not found")</f>
        <v>GM</v>
      </c>
    </row>
    <row r="316" spans="1:6">
      <c r="A316" s="3" t="s">
        <v>40</v>
      </c>
      <c r="B316" s="22" t="s">
        <v>833</v>
      </c>
      <c r="C316" s="37" t="str">
        <f>_xlfn.XLOOKUP(B316, 'Component Masterlist v2'!B:B, 'Component Masterlist v2'!O:O, "Not found")</f>
        <v>OEM - D360 + Analytics</v>
      </c>
      <c r="D316" s="114" t="str">
        <f>_xlfn.XLOOKUP(B316, 'Component Masterlist v2'!B:B, 'Component Masterlist v2'!G:G, "Not found")</f>
        <v>Santosh Golecha</v>
      </c>
      <c r="E316" s="112" t="str">
        <f>_xlfn.XLOOKUP(B316, 'Component Masterlist v2'!B:B, 'Component Masterlist v2'!E:E, "Not found")</f>
        <v>Ankur Agarwal</v>
      </c>
      <c r="F316" s="165" t="str">
        <f>_xlfn.XLOOKUP(B316, 'Component Masterlist v2'!B:B, 'Component Masterlist v2'!P:P, "Not found")</f>
        <v>GM</v>
      </c>
    </row>
    <row r="317" spans="1:6">
      <c r="A317" s="3" t="s">
        <v>40</v>
      </c>
      <c r="B317" s="22" t="s">
        <v>834</v>
      </c>
      <c r="C317" s="37" t="str">
        <f>_xlfn.XLOOKUP(B317, 'Component Masterlist v2'!B:B, 'Component Masterlist v2'!O:O, "Not found")</f>
        <v>OEM - D360 + Analytics</v>
      </c>
      <c r="D317" s="114" t="str">
        <f>_xlfn.XLOOKUP(B317, 'Component Masterlist v2'!B:B, 'Component Masterlist v2'!G:G, "Not found")</f>
        <v>Santosh Golecha</v>
      </c>
      <c r="E317" s="112" t="str">
        <f>_xlfn.XLOOKUP(B317, 'Component Masterlist v2'!B:B, 'Component Masterlist v2'!E:E, "Not found")</f>
        <v>Ankur Agarwal</v>
      </c>
      <c r="F317" s="165" t="str">
        <f>_xlfn.XLOOKUP(B317, 'Component Masterlist v2'!B:B, 'Component Masterlist v2'!P:P, "Not found")</f>
        <v>GM</v>
      </c>
    </row>
    <row r="318" spans="1:6">
      <c r="A318" s="3" t="s">
        <v>40</v>
      </c>
      <c r="B318" s="22" t="s">
        <v>835</v>
      </c>
      <c r="C318" s="37" t="str">
        <f>_xlfn.XLOOKUP(B318, 'Component Masterlist v2'!B:B, 'Component Masterlist v2'!O:O, "Not found")</f>
        <v>OEM - D360 + Analytics</v>
      </c>
      <c r="D318" s="114" t="str">
        <f>_xlfn.XLOOKUP(B318, 'Component Masterlist v2'!B:B, 'Component Masterlist v2'!G:G, "Not found")</f>
        <v>Santosh Golecha</v>
      </c>
      <c r="E318" s="112" t="str">
        <f>_xlfn.XLOOKUP(B318, 'Component Masterlist v2'!B:B, 'Component Masterlist v2'!E:E, "Not found")</f>
        <v>Ankur Agarwal</v>
      </c>
      <c r="F318" s="165" t="str">
        <f>_xlfn.XLOOKUP(B318, 'Component Masterlist v2'!B:B, 'Component Masterlist v2'!P:P, "Not found")</f>
        <v>GM</v>
      </c>
    </row>
    <row r="319" spans="1:6">
      <c r="A319" s="3" t="s">
        <v>40</v>
      </c>
      <c r="B319" s="22" t="s">
        <v>836</v>
      </c>
      <c r="C319" s="37" t="str">
        <f>_xlfn.XLOOKUP(B319, 'Component Masterlist v2'!B:B, 'Component Masterlist v2'!O:O, "Not found")</f>
        <v>OEM - D360 + Analytics</v>
      </c>
      <c r="D319" s="114" t="str">
        <f>_xlfn.XLOOKUP(B319, 'Component Masterlist v2'!B:B, 'Component Masterlist v2'!G:G, "Not found")</f>
        <v>Santosh Golecha</v>
      </c>
      <c r="E319" s="112" t="str">
        <f>_xlfn.XLOOKUP(B319, 'Component Masterlist v2'!B:B, 'Component Masterlist v2'!E:E, "Not found")</f>
        <v>Ankur Agarwal</v>
      </c>
      <c r="F319" s="165" t="str">
        <f>_xlfn.XLOOKUP(B319, 'Component Masterlist v2'!B:B, 'Component Masterlist v2'!P:P, "Not found")</f>
        <v>GM</v>
      </c>
    </row>
    <row r="320" spans="1:6">
      <c r="A320" s="3" t="s">
        <v>40</v>
      </c>
      <c r="B320" s="22" t="s">
        <v>837</v>
      </c>
      <c r="C320" s="37" t="str">
        <f>_xlfn.XLOOKUP(B320, 'Component Masterlist v2'!B:B, 'Component Masterlist v2'!O:O, "Not found")</f>
        <v>AEO-GEO</v>
      </c>
      <c r="D320" s="114" t="str">
        <f>_xlfn.XLOOKUP(B320, 'Component Masterlist v2'!B:B, 'Component Masterlist v2'!G:G, "Not found")</f>
        <v>Santosh Golecha</v>
      </c>
      <c r="E320" s="112" t="str">
        <f>_xlfn.XLOOKUP(B320, 'Component Masterlist v2'!B:B, 'Component Masterlist v2'!E:E, "Not found")</f>
        <v>Ankur Agarwal</v>
      </c>
      <c r="F320" s="165" t="str">
        <f>_xlfn.XLOOKUP(B320, 'Component Masterlist v2'!B:B, 'Component Masterlist v2'!P:P, "Not found")</f>
        <v>GM</v>
      </c>
    </row>
    <row r="321" spans="1:6">
      <c r="A321" s="3" t="s">
        <v>40</v>
      </c>
      <c r="B321" s="22" t="s">
        <v>838</v>
      </c>
      <c r="C321" s="37" t="str">
        <f>_xlfn.XLOOKUP(B321, 'Component Masterlist v2'!B:B, 'Component Masterlist v2'!O:O, "Not found")</f>
        <v>OEM Agentic AI</v>
      </c>
      <c r="D321" s="114" t="str">
        <f>_xlfn.XLOOKUP(B321, 'Component Masterlist v2'!B:B, 'Component Masterlist v2'!G:G, "Not found")</f>
        <v>Santosh Golecha</v>
      </c>
      <c r="E321" s="112" t="str">
        <f>_xlfn.XLOOKUP(B321, 'Component Masterlist v2'!B:B, 'Component Masterlist v2'!E:E, "Not found")</f>
        <v>Ankur Agarwal</v>
      </c>
      <c r="F321" s="165" t="str">
        <f>_xlfn.XLOOKUP(B321, 'Component Masterlist v2'!B:B, 'Component Masterlist v2'!P:P, "Not found")</f>
        <v>GM</v>
      </c>
    </row>
    <row r="322" spans="1:6">
      <c r="A322" s="3" t="s">
        <v>40</v>
      </c>
      <c r="B322" s="22" t="s">
        <v>839</v>
      </c>
      <c r="C322" s="37" t="str">
        <f>_xlfn.XLOOKUP(B322, 'Component Masterlist v2'!B:B, 'Component Masterlist v2'!O:O, "Not found")</f>
        <v>GM Integrations (1.0 and 2.0)</v>
      </c>
      <c r="D322" s="114" t="str">
        <f>_xlfn.XLOOKUP(B322, 'Component Masterlist v2'!B:B, 'Component Masterlist v2'!G:G, "Not found")</f>
        <v>Santosh Golecha</v>
      </c>
      <c r="E322" s="112" t="str">
        <f>_xlfn.XLOOKUP(B322, 'Component Masterlist v2'!B:B, 'Component Masterlist v2'!E:E, "Not found")</f>
        <v>Ankur Agarwal</v>
      </c>
      <c r="F322" s="165" t="str">
        <f>_xlfn.XLOOKUP(B322, 'Component Masterlist v2'!B:B, 'Component Masterlist v2'!P:P, "Not found")</f>
        <v>GM</v>
      </c>
    </row>
    <row r="323" spans="1:6">
      <c r="A323" s="3" t="s">
        <v>40</v>
      </c>
      <c r="B323" s="22" t="s">
        <v>840</v>
      </c>
      <c r="C323" s="37" t="str">
        <f>_xlfn.XLOOKUP(B323, 'Component Masterlist v2'!B:B, 'Component Masterlist v2'!O:O, "Not found")</f>
        <v>3rd Party Chat Integrations</v>
      </c>
      <c r="D323" s="114" t="str">
        <f>_xlfn.XLOOKUP(B323, 'Component Masterlist v2'!B:B, 'Component Masterlist v2'!G:G, "Not found")</f>
        <v>Santosh Golecha</v>
      </c>
      <c r="E323" s="112" t="str">
        <f>_xlfn.XLOOKUP(B323, 'Component Masterlist v2'!B:B, 'Component Masterlist v2'!E:E, "Not found")</f>
        <v>Ankur Agarwal</v>
      </c>
      <c r="F323" s="165" t="str">
        <f>_xlfn.XLOOKUP(B323, 'Component Masterlist v2'!B:B, 'Component Masterlist v2'!P:P, "Not found")</f>
        <v>GM</v>
      </c>
    </row>
    <row r="324" spans="1:6">
      <c r="A324" s="3" t="s">
        <v>40</v>
      </c>
      <c r="B324" s="22" t="s">
        <v>841</v>
      </c>
      <c r="C324" s="37" t="str">
        <f>_xlfn.XLOOKUP(B324, 'Component Masterlist v2'!B:B, 'Component Masterlist v2'!O:O, "Not found")</f>
        <v>Not found</v>
      </c>
      <c r="D324" s="114" t="str">
        <f>_xlfn.XLOOKUP(B324, 'Component Masterlist v2'!B:B, 'Component Masterlist v2'!G:G, "Not found")</f>
        <v>Santosh Golecha</v>
      </c>
      <c r="E324" s="112" t="str">
        <f>_xlfn.XLOOKUP(B324, 'Component Masterlist v2'!B:B, 'Component Masterlist v2'!E:E, "Not found")</f>
        <v>Ankur Agarwal</v>
      </c>
      <c r="F324" s="165" t="str">
        <f>_xlfn.XLOOKUP(B324, 'Component Masterlist v2'!B:B, 'Component Masterlist v2'!P:P, "Not found")</f>
        <v>GM</v>
      </c>
    </row>
    <row r="325" spans="1:6">
      <c r="A325" s="3" t="s">
        <v>67</v>
      </c>
      <c r="B325" s="22" t="s">
        <v>842</v>
      </c>
      <c r="C325" s="37" t="str">
        <f>_xlfn.XLOOKUP(B325, 'Component Masterlist v2'!B:B, 'Component Masterlist v2'!O:O, "Not found")</f>
        <v>Not found</v>
      </c>
      <c r="D325" s="114" t="str">
        <f>_xlfn.XLOOKUP(B325, 'Component Masterlist v2'!B:B, 'Component Masterlist v2'!G:G, "Not found")</f>
        <v>Satish Sallakonda</v>
      </c>
      <c r="E325" s="112" t="str">
        <f>_xlfn.XLOOKUP(B325, 'Component Masterlist v2'!B:B, 'Component Masterlist v2'!E:E, "Not found")</f>
        <v>Satyajeet Singh</v>
      </c>
      <c r="F325" s="165" t="str">
        <f>_xlfn.XLOOKUP(B325, 'Component Masterlist v2'!B:B, 'Component Masterlist v2'!P:P, "Not found")</f>
        <v>AIPL</v>
      </c>
    </row>
    <row r="326" spans="1:6">
      <c r="A326" s="3" t="s">
        <v>67</v>
      </c>
      <c r="B326" s="22" t="s">
        <v>843</v>
      </c>
      <c r="C326" s="37" t="str">
        <f>_xlfn.XLOOKUP(B326, 'Component Masterlist v2'!B:B, 'Component Masterlist v2'!O:O, "Not found")</f>
        <v>AIE-Service</v>
      </c>
      <c r="D326" s="114" t="str">
        <f>_xlfn.XLOOKUP(B326, 'Component Masterlist v2'!B:B, 'Component Masterlist v2'!G:G, "Not found")</f>
        <v>Satish Sallakonda</v>
      </c>
      <c r="E326" s="112" t="str">
        <f>_xlfn.XLOOKUP(B326, 'Component Masterlist v2'!B:B, 'Component Masterlist v2'!E:E, "Not found")</f>
        <v>Satyajeet Singh</v>
      </c>
      <c r="F326" s="165" t="str">
        <f>_xlfn.XLOOKUP(B326, 'Component Masterlist v2'!B:B, 'Component Masterlist v2'!P:P, "Not found")</f>
        <v>AIPL</v>
      </c>
    </row>
    <row r="327" spans="1:6">
      <c r="A327" s="3" t="s">
        <v>67</v>
      </c>
      <c r="B327" s="22" t="s">
        <v>844</v>
      </c>
      <c r="C327" s="37" t="str">
        <f>_xlfn.XLOOKUP(B327, 'Component Masterlist v2'!B:B, 'Component Masterlist v2'!O:O, "Not found")</f>
        <v>AIE-Service</v>
      </c>
      <c r="D327" s="114" t="str">
        <f>_xlfn.XLOOKUP(B327, 'Component Masterlist v2'!B:B, 'Component Masterlist v2'!G:G, "Not found")</f>
        <v>Satish Sallakonda</v>
      </c>
      <c r="E327" s="112" t="str">
        <f>_xlfn.XLOOKUP(B327, 'Component Masterlist v2'!B:B, 'Component Masterlist v2'!E:E, "Not found")</f>
        <v>Satyajeet Singh</v>
      </c>
      <c r="F327" s="165" t="str">
        <f>_xlfn.XLOOKUP(B327, 'Component Masterlist v2'!B:B, 'Component Masterlist v2'!P:P, "Not found")</f>
        <v>AIPL</v>
      </c>
    </row>
    <row r="328" spans="1:6">
      <c r="A328" s="3" t="s">
        <v>67</v>
      </c>
      <c r="B328" s="22" t="s">
        <v>845</v>
      </c>
      <c r="C328" s="37" t="str">
        <f>_xlfn.XLOOKUP(B328, 'Component Masterlist v2'!B:B, 'Component Masterlist v2'!O:O, "Not found")</f>
        <v>AIE-Retail</v>
      </c>
      <c r="D328" s="114" t="str">
        <f>_xlfn.XLOOKUP(B328, 'Component Masterlist v2'!B:B, 'Component Masterlist v2'!G:G, "Not found")</f>
        <v>Satish Sallakonda</v>
      </c>
      <c r="E328" s="112" t="str">
        <f>_xlfn.XLOOKUP(B328, 'Component Masterlist v2'!B:B, 'Component Masterlist v2'!E:E, "Not found")</f>
        <v>Satyajeet Singh</v>
      </c>
      <c r="F328" s="165" t="str">
        <f>_xlfn.XLOOKUP(B328, 'Component Masterlist v2'!B:B, 'Component Masterlist v2'!P:P, "Not found")</f>
        <v>AIPL</v>
      </c>
    </row>
    <row r="329" spans="1:6">
      <c r="A329" s="3" t="s">
        <v>67</v>
      </c>
      <c r="B329" s="22" t="s">
        <v>846</v>
      </c>
      <c r="C329" s="37" t="str">
        <f>_xlfn.XLOOKUP(B329, 'Component Masterlist v2'!B:B, 'Component Masterlist v2'!O:O, "Not found")</f>
        <v>AIE-Retail</v>
      </c>
      <c r="D329" s="114" t="str">
        <f>_xlfn.XLOOKUP(B329, 'Component Masterlist v2'!B:B, 'Component Masterlist v2'!G:G, "Not found")</f>
        <v>Satish Sallakonda</v>
      </c>
      <c r="E329" s="112" t="str">
        <f>_xlfn.XLOOKUP(B329, 'Component Masterlist v2'!B:B, 'Component Masterlist v2'!E:E, "Not found")</f>
        <v>Satyajeet Singh</v>
      </c>
      <c r="F329" s="165" t="str">
        <f>_xlfn.XLOOKUP(B329, 'Component Masterlist v2'!B:B, 'Component Masterlist v2'!P:P, "Not found")</f>
        <v>AIPL</v>
      </c>
    </row>
    <row r="330" spans="1:6">
      <c r="A330" s="3" t="s">
        <v>67</v>
      </c>
      <c r="B330" s="22" t="s">
        <v>847</v>
      </c>
      <c r="C330" s="37" t="str">
        <f>_xlfn.XLOOKUP(B330, 'Component Masterlist v2'!B:B, 'Component Masterlist v2'!O:O, "Not found")</f>
        <v>AIE-Retail</v>
      </c>
      <c r="D330" s="114" t="str">
        <f>_xlfn.XLOOKUP(B330, 'Component Masterlist v2'!B:B, 'Component Masterlist v2'!G:G, "Not found")</f>
        <v>Satish Sallakonda</v>
      </c>
      <c r="E330" s="112" t="str">
        <f>_xlfn.XLOOKUP(B330, 'Component Masterlist v2'!B:B, 'Component Masterlist v2'!E:E, "Not found")</f>
        <v>Satyajeet Singh</v>
      </c>
      <c r="F330" s="165" t="str">
        <f>_xlfn.XLOOKUP(B330, 'Component Masterlist v2'!B:B, 'Component Masterlist v2'!P:P, "Not found")</f>
        <v>AIPL</v>
      </c>
    </row>
    <row r="331" spans="1:6">
      <c r="A331" s="3" t="s">
        <v>67</v>
      </c>
      <c r="B331" s="22" t="s">
        <v>848</v>
      </c>
      <c r="C331" s="37" t="str">
        <f>_xlfn.XLOOKUP(B331, 'Component Masterlist v2'!B:B, 'Component Masterlist v2'!O:O, "Not found")</f>
        <v>AIE-Generic</v>
      </c>
      <c r="D331" s="114" t="str">
        <f>_xlfn.XLOOKUP(B331, 'Component Masterlist v2'!B:B, 'Component Masterlist v2'!G:G, "Not found")</f>
        <v>Satish Sallakonda</v>
      </c>
      <c r="E331" s="112" t="str">
        <f>_xlfn.XLOOKUP(B331, 'Component Masterlist v2'!B:B, 'Component Masterlist v2'!E:E, "Not found")</f>
        <v>Satyajeet Singh</v>
      </c>
      <c r="F331" s="165" t="str">
        <f>_xlfn.XLOOKUP(B331, 'Component Masterlist v2'!B:B, 'Component Masterlist v2'!P:P, "Not found")</f>
        <v>AIPL</v>
      </c>
    </row>
    <row r="332" spans="1:6">
      <c r="A332" s="3" t="s">
        <v>67</v>
      </c>
      <c r="B332" s="22" t="s">
        <v>849</v>
      </c>
      <c r="C332" s="37" t="str">
        <f>_xlfn.XLOOKUP(B332, 'Component Masterlist v2'!B:B, 'Component Masterlist v2'!O:O, "Not found")</f>
        <v>AIE-Generic</v>
      </c>
      <c r="D332" s="114" t="str">
        <f>_xlfn.XLOOKUP(B332, 'Component Masterlist v2'!B:B, 'Component Masterlist v2'!G:G, "Not found")</f>
        <v>Satish Sallakonda</v>
      </c>
      <c r="E332" s="112" t="str">
        <f>_xlfn.XLOOKUP(B332, 'Component Masterlist v2'!B:B, 'Component Masterlist v2'!E:E, "Not found")</f>
        <v>Satyajeet Singh</v>
      </c>
      <c r="F332" s="165" t="str">
        <f>_xlfn.XLOOKUP(B332, 'Component Masterlist v2'!B:B, 'Component Masterlist v2'!P:P, "Not found")</f>
        <v>AIPL</v>
      </c>
    </row>
    <row r="333" spans="1:6">
      <c r="A333" s="3" t="s">
        <v>67</v>
      </c>
      <c r="B333" s="22" t="s">
        <v>850</v>
      </c>
      <c r="C333" s="37" t="str">
        <f>_xlfn.XLOOKUP(B333, 'Component Masterlist v2'!B:B, 'Component Masterlist v2'!O:O, "Not found")</f>
        <v>AIE-Service</v>
      </c>
      <c r="D333" s="114" t="str">
        <f>_xlfn.XLOOKUP(B333, 'Component Masterlist v2'!B:B, 'Component Masterlist v2'!G:G, "Not found")</f>
        <v>Satish Sallakonda</v>
      </c>
      <c r="E333" s="112" t="str">
        <f>_xlfn.XLOOKUP(B333, 'Component Masterlist v2'!B:B, 'Component Masterlist v2'!E:E, "Not found")</f>
        <v>Satyajeet Singh</v>
      </c>
      <c r="F333" s="165" t="str">
        <f>_xlfn.XLOOKUP(B333, 'Component Masterlist v2'!B:B, 'Component Masterlist v2'!P:P, "Not found")</f>
        <v>AIPL</v>
      </c>
    </row>
    <row r="334" spans="1:6">
      <c r="A334" s="3" t="s">
        <v>67</v>
      </c>
      <c r="B334" s="22" t="s">
        <v>852</v>
      </c>
      <c r="C334" s="37" t="str">
        <f>_xlfn.XLOOKUP(B334, 'Component Masterlist v2'!B:B, 'Component Masterlist v2'!O:O, "Not found")</f>
        <v>AIE-Generic</v>
      </c>
      <c r="D334" s="114" t="str">
        <f>_xlfn.XLOOKUP(B334, 'Component Masterlist v2'!B:B, 'Component Masterlist v2'!G:G, "Not found")</f>
        <v>Satish Sallakonda</v>
      </c>
      <c r="E334" s="112" t="str">
        <f>_xlfn.XLOOKUP(B334, 'Component Masterlist v2'!B:B, 'Component Masterlist v2'!E:E, "Not found")</f>
        <v>Satyajeet Singh</v>
      </c>
      <c r="F334" s="165" t="str">
        <f>_xlfn.XLOOKUP(B334, 'Component Masterlist v2'!B:B, 'Component Masterlist v2'!P:P, "Not found")</f>
        <v>AIPL</v>
      </c>
    </row>
    <row r="335" spans="1:6">
      <c r="A335" s="3" t="s">
        <v>67</v>
      </c>
      <c r="B335" s="22" t="s">
        <v>853</v>
      </c>
      <c r="C335" s="37" t="str">
        <f>_xlfn.XLOOKUP(B335, 'Component Masterlist v2'!B:B, 'Component Masterlist v2'!O:O, "Not found")</f>
        <v>AIE-Generic</v>
      </c>
      <c r="D335" s="114" t="str">
        <f>_xlfn.XLOOKUP(B335, 'Component Masterlist v2'!B:B, 'Component Masterlist v2'!G:G, "Not found")</f>
        <v>Satish Sallakonda</v>
      </c>
      <c r="E335" s="112" t="str">
        <f>_xlfn.XLOOKUP(B335, 'Component Masterlist v2'!B:B, 'Component Masterlist v2'!E:E, "Not found")</f>
        <v>Satyajeet Singh</v>
      </c>
      <c r="F335" s="165" t="str">
        <f>_xlfn.XLOOKUP(B335, 'Component Masterlist v2'!B:B, 'Component Masterlist v2'!P:P, "Not found")</f>
        <v>AIPL</v>
      </c>
    </row>
    <row r="336" spans="1:6">
      <c r="A336" s="3" t="s">
        <v>67</v>
      </c>
      <c r="B336" s="246" t="s">
        <v>854</v>
      </c>
      <c r="C336" s="37" t="str">
        <f>_xlfn.XLOOKUP(B336, 'Component Masterlist v2'!B:B, 'Component Masterlist v2'!O:O, "Not found")</f>
        <v>Not found</v>
      </c>
      <c r="D336" s="114" t="str">
        <f>_xlfn.XLOOKUP(B336, 'Component Masterlist v2'!B:B, 'Component Masterlist v2'!G:G, "Not found")</f>
        <v>Satish Sallakonda</v>
      </c>
      <c r="E336" s="112" t="str">
        <f>_xlfn.XLOOKUP(B336, 'Component Masterlist v2'!B:B, 'Component Masterlist v2'!E:E, "Not found")</f>
        <v>Satyajeet Singh</v>
      </c>
      <c r="F336" s="165" t="str">
        <f>_xlfn.XLOOKUP(B336, 'Component Masterlist v2'!B:B, 'Component Masterlist v2'!P:P, "Not found")</f>
        <v>AIPL</v>
      </c>
    </row>
    <row r="337" spans="1:6">
      <c r="A337" s="3" t="s">
        <v>62</v>
      </c>
      <c r="B337" s="246" t="s">
        <v>856</v>
      </c>
      <c r="C337" s="37" t="str">
        <f>_xlfn.XLOOKUP(B337, 'Component Masterlist v2'!B:B, 'Component Masterlist v2'!O:O, "Not found")</f>
        <v>AI-Service</v>
      </c>
      <c r="D337" s="114" t="str">
        <f>_xlfn.XLOOKUP(B337, 'Component Masterlist v2'!B:B, 'Component Masterlist v2'!G:G, "Not found")</f>
        <v>Satish Sallakonda</v>
      </c>
      <c r="E337" s="112" t="str">
        <f>_xlfn.XLOOKUP(B337, 'Component Masterlist v2'!B:B, 'Component Masterlist v2'!E:E, "Not found")</f>
        <v>Satish Sallakonda</v>
      </c>
      <c r="F337" s="165" t="str">
        <f>_xlfn.XLOOKUP(B337, 'Component Masterlist v2'!B:B, 'Component Masterlist v2'!P:P, "Not found")</f>
        <v>AI</v>
      </c>
    </row>
    <row r="338" spans="1:6">
      <c r="A338" s="3" t="s">
        <v>62</v>
      </c>
      <c r="B338" s="246" t="s">
        <v>859</v>
      </c>
      <c r="C338" s="37" t="str">
        <f>_xlfn.XLOOKUP(B338, 'Component Masterlist v2'!B:B, 'Component Masterlist v2'!O:O, "Not found")</f>
        <v>AI-Service</v>
      </c>
      <c r="D338" s="114" t="str">
        <f>_xlfn.XLOOKUP(B338, 'Component Masterlist v2'!B:B, 'Component Masterlist v2'!G:G, "Not found")</f>
        <v>Satish Sallakonda</v>
      </c>
      <c r="E338" s="112" t="str">
        <f>_xlfn.XLOOKUP(B338, 'Component Masterlist v2'!B:B, 'Component Masterlist v2'!E:E, "Not found")</f>
        <v>Satish Sallakonda</v>
      </c>
      <c r="F338" s="165" t="str">
        <f>_xlfn.XLOOKUP(B338, 'Component Masterlist v2'!B:B, 'Component Masterlist v2'!P:P, "Not found")</f>
        <v>AI</v>
      </c>
    </row>
    <row r="339" spans="1:6">
      <c r="A339" s="3" t="s">
        <v>62</v>
      </c>
      <c r="B339" s="22" t="s">
        <v>860</v>
      </c>
      <c r="C339" s="37" t="str">
        <f>_xlfn.XLOOKUP(B339, 'Component Masterlist v2'!B:B, 'Component Masterlist v2'!O:O, "Not found")</f>
        <v>AI-Retail</v>
      </c>
      <c r="D339" s="114" t="str">
        <f>_xlfn.XLOOKUP(B339, 'Component Masterlist v2'!B:B, 'Component Masterlist v2'!G:G, "Not found")</f>
        <v>Satish Sallakonda</v>
      </c>
      <c r="E339" s="112" t="str">
        <f>_xlfn.XLOOKUP(B339, 'Component Masterlist v2'!B:B, 'Component Masterlist v2'!E:E, "Not found")</f>
        <v>Satish Sallakonda</v>
      </c>
      <c r="F339" s="165" t="str">
        <f>_xlfn.XLOOKUP(B339, 'Component Masterlist v2'!B:B, 'Component Masterlist v2'!P:P, "Not found")</f>
        <v>AI</v>
      </c>
    </row>
    <row r="340" spans="1:6">
      <c r="A340" s="3" t="s">
        <v>62</v>
      </c>
      <c r="B340" s="22" t="s">
        <v>861</v>
      </c>
      <c r="C340" s="37" t="str">
        <f>_xlfn.XLOOKUP(B340, 'Component Masterlist v2'!B:B, 'Component Masterlist v2'!O:O, "Not found")</f>
        <v>AI-Retail</v>
      </c>
      <c r="D340" s="114" t="str">
        <f>_xlfn.XLOOKUP(B340, 'Component Masterlist v2'!B:B, 'Component Masterlist v2'!G:G, "Not found")</f>
        <v>Satish Sallakonda</v>
      </c>
      <c r="E340" s="112" t="str">
        <f>_xlfn.XLOOKUP(B340, 'Component Masterlist v2'!B:B, 'Component Masterlist v2'!E:E, "Not found")</f>
        <v>Satish Sallakonda</v>
      </c>
      <c r="F340" s="165" t="str">
        <f>_xlfn.XLOOKUP(B340, 'Component Masterlist v2'!B:B, 'Component Masterlist v2'!P:P, "Not found")</f>
        <v>AI</v>
      </c>
    </row>
    <row r="341" spans="1:6">
      <c r="A341" s="3" t="s">
        <v>62</v>
      </c>
      <c r="B341" s="22" t="s">
        <v>862</v>
      </c>
      <c r="C341" s="37" t="str">
        <f>_xlfn.XLOOKUP(B341, 'Component Masterlist v2'!B:B, 'Component Masterlist v2'!O:O, "Not found")</f>
        <v>AI-Retail</v>
      </c>
      <c r="D341" s="114" t="str">
        <f>_xlfn.XLOOKUP(B341, 'Component Masterlist v2'!B:B, 'Component Masterlist v2'!G:G, "Not found")</f>
        <v>Satish Sallakonda</v>
      </c>
      <c r="E341" s="112" t="str">
        <f>_xlfn.XLOOKUP(B341, 'Component Masterlist v2'!B:B, 'Component Masterlist v2'!E:E, "Not found")</f>
        <v>Satish Sallakonda</v>
      </c>
      <c r="F341" s="165" t="str">
        <f>_xlfn.XLOOKUP(B341, 'Component Masterlist v2'!B:B, 'Component Masterlist v2'!P:P, "Not found")</f>
        <v>AI</v>
      </c>
    </row>
    <row r="342" spans="1:6">
      <c r="A342" s="3" t="s">
        <v>62</v>
      </c>
      <c r="B342" s="22" t="s">
        <v>863</v>
      </c>
      <c r="C342" s="37" t="str">
        <f>_xlfn.XLOOKUP(B342, 'Component Masterlist v2'!B:B, 'Component Masterlist v2'!O:O, "Not found")</f>
        <v>AI-Generic</v>
      </c>
      <c r="D342" s="114" t="str">
        <f>_xlfn.XLOOKUP(B342, 'Component Masterlist v2'!B:B, 'Component Masterlist v2'!G:G, "Not found")</f>
        <v>Satish Sallakonda</v>
      </c>
      <c r="E342" s="112" t="str">
        <f>_xlfn.XLOOKUP(B342, 'Component Masterlist v2'!B:B, 'Component Masterlist v2'!E:E, "Not found")</f>
        <v>Satish Sallakonda</v>
      </c>
      <c r="F342" s="165" t="str">
        <f>_xlfn.XLOOKUP(B342, 'Component Masterlist v2'!B:B, 'Component Masterlist v2'!P:P, "Not found")</f>
        <v>AI</v>
      </c>
    </row>
    <row r="343" spans="1:6">
      <c r="A343" s="3" t="s">
        <v>62</v>
      </c>
      <c r="B343" s="22" t="s">
        <v>864</v>
      </c>
      <c r="C343" s="37" t="str">
        <f>_xlfn.XLOOKUP(B343, 'Component Masterlist v2'!B:B, 'Component Masterlist v2'!O:O, "Not found")</f>
        <v>AI-Generic</v>
      </c>
      <c r="D343" s="114" t="str">
        <f>_xlfn.XLOOKUP(B343, 'Component Masterlist v2'!B:B, 'Component Masterlist v2'!G:G, "Not found")</f>
        <v>Satish Sallakonda</v>
      </c>
      <c r="E343" s="112" t="str">
        <f>_xlfn.XLOOKUP(B343, 'Component Masterlist v2'!B:B, 'Component Masterlist v2'!E:E, "Not found")</f>
        <v>Satish Sallakonda</v>
      </c>
      <c r="F343" s="165" t="str">
        <f>_xlfn.XLOOKUP(B343, 'Component Masterlist v2'!B:B, 'Component Masterlist v2'!P:P, "Not found")</f>
        <v>AI</v>
      </c>
    </row>
    <row r="344" spans="1:6">
      <c r="A344" s="3" t="s">
        <v>62</v>
      </c>
      <c r="B344" s="22" t="s">
        <v>865</v>
      </c>
      <c r="C344" s="37" t="str">
        <f>_xlfn.XLOOKUP(B344, 'Component Masterlist v2'!B:B, 'Component Masterlist v2'!O:O, "Not found")</f>
        <v>AI-Generic</v>
      </c>
      <c r="D344" s="114" t="str">
        <f>_xlfn.XLOOKUP(B344, 'Component Masterlist v2'!B:B, 'Component Masterlist v2'!G:G, "Not found")</f>
        <v>Satish Sallakonda</v>
      </c>
      <c r="E344" s="112" t="str">
        <f>_xlfn.XLOOKUP(B344, 'Component Masterlist v2'!B:B, 'Component Masterlist v2'!E:E, "Not found")</f>
        <v>Satish Sallakonda</v>
      </c>
      <c r="F344" s="165" t="str">
        <f>_xlfn.XLOOKUP(B344, 'Component Masterlist v2'!B:B, 'Component Masterlist v2'!P:P, "Not found")</f>
        <v>AI</v>
      </c>
    </row>
    <row r="345" spans="1:6">
      <c r="A345" s="3" t="s">
        <v>62</v>
      </c>
      <c r="B345" s="22" t="s">
        <v>866</v>
      </c>
      <c r="C345" s="37" t="str">
        <f>_xlfn.XLOOKUP(B345, 'Component Masterlist v2'!B:B, 'Component Masterlist v2'!O:O, "Not found")</f>
        <v>AI-SCP</v>
      </c>
      <c r="D345" s="114" t="str">
        <f>_xlfn.XLOOKUP(B345, 'Component Masterlist v2'!B:B, 'Component Masterlist v2'!G:G, "Not found")</f>
        <v>Satish Sallakonda</v>
      </c>
      <c r="E345" s="112" t="str">
        <f>_xlfn.XLOOKUP(B345, 'Component Masterlist v2'!B:B, 'Component Masterlist v2'!E:E, "Not found")</f>
        <v>Satish Sallakonda</v>
      </c>
      <c r="F345" s="165" t="str">
        <f>_xlfn.XLOOKUP(B345, 'Component Masterlist v2'!B:B, 'Component Masterlist v2'!P:P, "Not found")</f>
        <v>AI</v>
      </c>
    </row>
    <row r="346" spans="1:6">
      <c r="A346" s="3" t="s">
        <v>62</v>
      </c>
      <c r="B346" s="22" t="s">
        <v>867</v>
      </c>
      <c r="C346" s="37" t="str">
        <f>_xlfn.XLOOKUP(B346, 'Component Masterlist v2'!B:B, 'Component Masterlist v2'!O:O, "Not found")</f>
        <v>AI-Service</v>
      </c>
      <c r="D346" s="114" t="str">
        <f>_xlfn.XLOOKUP(B346, 'Component Masterlist v2'!B:B, 'Component Masterlist v2'!G:G, "Not found")</f>
        <v>Satish Sallakonda</v>
      </c>
      <c r="E346" s="112" t="str">
        <f>_xlfn.XLOOKUP(B346, 'Component Masterlist v2'!B:B, 'Component Masterlist v2'!E:E, "Not found")</f>
        <v>Satish Sallakonda</v>
      </c>
      <c r="F346" s="165" t="str">
        <f>_xlfn.XLOOKUP(B346, 'Component Masterlist v2'!B:B, 'Component Masterlist v2'!P:P, "Not found")</f>
        <v>AI</v>
      </c>
    </row>
    <row r="347" spans="1:6">
      <c r="A347" s="3" t="s">
        <v>62</v>
      </c>
      <c r="B347" s="22" t="s">
        <v>868</v>
      </c>
      <c r="C347" s="37" t="str">
        <f>_xlfn.XLOOKUP(B347, 'Component Masterlist v2'!B:B, 'Component Masterlist v2'!O:O, "Not found")</f>
        <v>Not found</v>
      </c>
      <c r="D347" s="114" t="str">
        <f>_xlfn.XLOOKUP(B347, 'Component Masterlist v2'!B:B, 'Component Masterlist v2'!G:G, "Not found")</f>
        <v>Satish Sallakonda</v>
      </c>
      <c r="E347" s="112" t="str">
        <f>_xlfn.XLOOKUP(B347, 'Component Masterlist v2'!B:B, 'Component Masterlist v2'!E:E, "Not found")</f>
        <v>Satish Sallakonda</v>
      </c>
      <c r="F347" s="165" t="str">
        <f>_xlfn.XLOOKUP(B347, 'Component Masterlist v2'!B:B, 'Component Masterlist v2'!P:P, "Not found")</f>
        <v>AI</v>
      </c>
    </row>
    <row r="348" spans="1:6">
      <c r="A348" s="3" t="s">
        <v>62</v>
      </c>
      <c r="B348" s="22" t="s">
        <v>869</v>
      </c>
      <c r="C348" s="37" t="str">
        <f>_xlfn.XLOOKUP(B348, 'Component Masterlist v2'!B:B, 'Component Masterlist v2'!O:O, "Not found")</f>
        <v>Not found</v>
      </c>
      <c r="D348" s="114" t="str">
        <f>_xlfn.XLOOKUP(B348, 'Component Masterlist v2'!B:B, 'Component Masterlist v2'!G:G, "Not found")</f>
        <v>Satish Sallakonda</v>
      </c>
      <c r="E348" s="112" t="str">
        <f>_xlfn.XLOOKUP(B348, 'Component Masterlist v2'!B:B, 'Component Masterlist v2'!E:E, "Not found")</f>
        <v>Satish Sallakonda</v>
      </c>
      <c r="F348" s="165" t="str">
        <f>_xlfn.XLOOKUP(B348, 'Component Masterlist v2'!B:B, 'Component Masterlist v2'!P:P, "Not found")</f>
        <v>AI</v>
      </c>
    </row>
    <row r="349" spans="1:6">
      <c r="A349" s="3" t="s">
        <v>72</v>
      </c>
      <c r="B349" s="22" t="s">
        <v>72</v>
      </c>
      <c r="C349" s="37" t="str">
        <f>_xlfn.XLOOKUP(B349, 'Component Masterlist v2'!B:B, 'Component Masterlist v2'!O:O, "Not found")</f>
        <v>Not found</v>
      </c>
      <c r="D349" s="114" t="str">
        <f>_xlfn.XLOOKUP(B349, 'Component Masterlist v2'!B:B, 'Component Masterlist v2'!G:G, "Not found")</f>
        <v>Srin Tangirala</v>
      </c>
      <c r="E349" s="112" t="str">
        <f>_xlfn.XLOOKUP(B349, 'Component Masterlist v2'!B:B, 'Component Masterlist v2'!E:E, "Not found")</f>
        <v>Srin Tangirala</v>
      </c>
      <c r="F349" s="165">
        <f>_xlfn.XLOOKUP(B349, 'Component Masterlist v2'!B:B, 'Component Masterlist v2'!P:P, "Not found")</f>
        <v>0</v>
      </c>
    </row>
    <row r="350" spans="1:6">
      <c r="A350" s="3" t="s">
        <v>26</v>
      </c>
      <c r="B350" s="22" t="s">
        <v>870</v>
      </c>
      <c r="C350" s="37" t="str">
        <f>_xlfn.XLOOKUP(B350, 'Component Masterlist v2'!B:B, 'Component Masterlist v2'!O:O, "Not found")</f>
        <v>T1 Scrum</v>
      </c>
      <c r="D350" s="114" t="str">
        <f>_xlfn.XLOOKUP(B350, 'Component Masterlist v2'!B:B, 'Component Masterlist v2'!G:G, "Not found")</f>
        <v>Raghu Edalur</v>
      </c>
      <c r="E350" s="112" t="str">
        <f>_xlfn.XLOOKUP(B350, 'Component Masterlist v2'!B:B, 'Component Masterlist v2'!E:E, "Not found")</f>
        <v>Jawahar Prasad</v>
      </c>
      <c r="F350" s="165" t="str">
        <f>_xlfn.XLOOKUP(B350, 'Component Masterlist v2'!B:B, 'Component Masterlist v2'!P:P, "Not found")</f>
        <v>T1PL</v>
      </c>
    </row>
    <row r="351" spans="1:6">
      <c r="A351" s="3" t="s">
        <v>26</v>
      </c>
      <c r="B351" s="22" t="s">
        <v>875</v>
      </c>
      <c r="C351" s="37" t="str">
        <f>_xlfn.XLOOKUP(B351, 'Component Masterlist v2'!B:B, 'Component Masterlist v2'!O:O, "Not found")</f>
        <v>T1 Scrum</v>
      </c>
      <c r="D351" s="114" t="str">
        <f>_xlfn.XLOOKUP(B351, 'Component Masterlist v2'!B:B, 'Component Masterlist v2'!G:G, "Not found")</f>
        <v>Raghu Edalur</v>
      </c>
      <c r="E351" s="112" t="str">
        <f>_xlfn.XLOOKUP(B351, 'Component Masterlist v2'!B:B, 'Component Masterlist v2'!E:E, "Not found")</f>
        <v>Jawahar Prasad</v>
      </c>
      <c r="F351" s="165" t="str">
        <f>_xlfn.XLOOKUP(B351, 'Component Masterlist v2'!B:B, 'Component Masterlist v2'!P:P, "Not found")</f>
        <v>T1PL</v>
      </c>
    </row>
    <row r="352" spans="1:6">
      <c r="A352" s="3" t="s">
        <v>26</v>
      </c>
      <c r="B352" s="22" t="s">
        <v>876</v>
      </c>
      <c r="C352" s="37" t="str">
        <f>_xlfn.XLOOKUP(B352, 'Component Masterlist v2'!B:B, 'Component Masterlist v2'!O:O, "Not found")</f>
        <v>T1 Scrum</v>
      </c>
      <c r="D352" s="114" t="str">
        <f>_xlfn.XLOOKUP(B352, 'Component Masterlist v2'!B:B, 'Component Masterlist v2'!G:G, "Not found")</f>
        <v>Raghu Edalur</v>
      </c>
      <c r="E352" s="112" t="str">
        <f>_xlfn.XLOOKUP(B352, 'Component Masterlist v2'!B:B, 'Component Masterlist v2'!E:E, "Not found")</f>
        <v>Jawahar Prasad</v>
      </c>
      <c r="F352" s="165" t="str">
        <f>_xlfn.XLOOKUP(B352, 'Component Masterlist v2'!B:B, 'Component Masterlist v2'!P:P, "Not found")</f>
        <v>T1PL</v>
      </c>
    </row>
    <row r="353" spans="1:6">
      <c r="A353" s="3" t="s">
        <v>32</v>
      </c>
      <c r="B353" s="22" t="s">
        <v>877</v>
      </c>
      <c r="C353" s="37" t="str">
        <f>_xlfn.XLOOKUP(B353, 'Component Masterlist v2'!B:B, 'Component Masterlist v2'!O:O, "Not found")</f>
        <v>AEP Core</v>
      </c>
      <c r="D353" s="114" t="str">
        <f>_xlfn.XLOOKUP(B353, 'Component Masterlist v2'!B:B, 'Component Masterlist v2'!G:G, "Not found")</f>
        <v>Santosh Golecha</v>
      </c>
      <c r="E353" s="112" t="str">
        <f>_xlfn.XLOOKUP(B353, 'Component Masterlist v2'!B:B, 'Component Masterlist v2'!E:E, "Not found")</f>
        <v>Aditya Kolli</v>
      </c>
      <c r="F353" s="165" t="str">
        <f>_xlfn.XLOOKUP(B353, 'Component Masterlist v2'!B:B, 'Component Masterlist v2'!P:P, "Not found")</f>
        <v>AEP</v>
      </c>
    </row>
    <row r="354" spans="1:6">
      <c r="A354" s="3" t="s">
        <v>32</v>
      </c>
      <c r="B354" s="22" t="s">
        <v>881</v>
      </c>
      <c r="C354" s="37" t="str">
        <f>_xlfn.XLOOKUP(B354, 'Component Masterlist v2'!B:B, 'Component Masterlist v2'!O:O, "Not found")</f>
        <v>AEP Core</v>
      </c>
      <c r="D354" s="114" t="str">
        <f>_xlfn.XLOOKUP(B354, 'Component Masterlist v2'!B:B, 'Component Masterlist v2'!G:G, "Not found")</f>
        <v>Santosh Golecha</v>
      </c>
      <c r="E354" s="112" t="str">
        <f>_xlfn.XLOOKUP(B354, 'Component Masterlist v2'!B:B, 'Component Masterlist v2'!E:E, "Not found")</f>
        <v>Aditya Kolli</v>
      </c>
      <c r="F354" s="165" t="str">
        <f>_xlfn.XLOOKUP(B354, 'Component Masterlist v2'!B:B, 'Component Masterlist v2'!P:P, "Not found")</f>
        <v>AEP</v>
      </c>
    </row>
    <row r="355" spans="1:6">
      <c r="A355" s="3" t="s">
        <v>32</v>
      </c>
      <c r="B355" s="22" t="s">
        <v>882</v>
      </c>
      <c r="C355" s="37" t="str">
        <f>_xlfn.XLOOKUP(B355, 'Component Masterlist v2'!B:B, 'Component Masterlist v2'!O:O, "Not found")</f>
        <v>AEP Retail</v>
      </c>
      <c r="D355" s="114" t="str">
        <f>_xlfn.XLOOKUP(B355, 'Component Masterlist v2'!B:B, 'Component Masterlist v2'!G:G, "Not found")</f>
        <v>Santosh Golecha</v>
      </c>
      <c r="E355" s="112" t="str">
        <f>_xlfn.XLOOKUP(B355, 'Component Masterlist v2'!B:B, 'Component Masterlist v2'!E:E, "Not found")</f>
        <v>Aditya Kolli</v>
      </c>
      <c r="F355" s="165" t="str">
        <f>_xlfn.XLOOKUP(B355, 'Component Masterlist v2'!B:B, 'Component Masterlist v2'!P:P, "Not found")</f>
        <v>AEP</v>
      </c>
    </row>
    <row r="356" spans="1:6">
      <c r="A356" s="3" t="s">
        <v>32</v>
      </c>
      <c r="B356" s="22" t="s">
        <v>884</v>
      </c>
      <c r="C356" s="37" t="str">
        <f>_xlfn.XLOOKUP(B356, 'Component Masterlist v2'!B:B, 'Component Masterlist v2'!O:O, "Not found")</f>
        <v>Not found</v>
      </c>
      <c r="D356" s="114" t="str">
        <f>_xlfn.XLOOKUP(B356, 'Component Masterlist v2'!B:B, 'Component Masterlist v2'!G:G, "Not found")</f>
        <v>Santosh Golecha</v>
      </c>
      <c r="E356" s="112" t="str">
        <f>_xlfn.XLOOKUP(B356, 'Component Masterlist v2'!B:B, 'Component Masterlist v2'!E:E, "Not found")</f>
        <v>Aditya Kolli</v>
      </c>
      <c r="F356" s="165" t="str">
        <f>_xlfn.XLOOKUP(B356, 'Component Masterlist v2'!B:B, 'Component Masterlist v2'!P:P, "Not found")</f>
        <v>AEP</v>
      </c>
    </row>
    <row r="357" spans="1:6">
      <c r="A357" s="3" t="s">
        <v>32</v>
      </c>
      <c r="B357" s="22" t="s">
        <v>885</v>
      </c>
      <c r="C357" s="37" t="str">
        <f>_xlfn.XLOOKUP(B357, 'Component Masterlist v2'!B:B, 'Component Masterlist v2'!O:O, "Not found")</f>
        <v>AEP FnI</v>
      </c>
      <c r="D357" s="114" t="str">
        <f>_xlfn.XLOOKUP(B357, 'Component Masterlist v2'!B:B, 'Component Masterlist v2'!G:G, "Not found")</f>
        <v>Santosh Golecha</v>
      </c>
      <c r="E357" s="112" t="str">
        <f>_xlfn.XLOOKUP(B357, 'Component Masterlist v2'!B:B, 'Component Masterlist v2'!E:E, "Not found")</f>
        <v>Aditya Kolli</v>
      </c>
      <c r="F357" s="165" t="str">
        <f>_xlfn.XLOOKUP(B357, 'Component Masterlist v2'!B:B, 'Component Masterlist v2'!P:P, "Not found")</f>
        <v>AEP</v>
      </c>
    </row>
    <row r="358" spans="1:6">
      <c r="A358" s="3" t="s">
        <v>32</v>
      </c>
      <c r="B358" s="22" t="s">
        <v>887</v>
      </c>
      <c r="C358" s="37" t="str">
        <f>_xlfn.XLOOKUP(B358, 'Component Masterlist v2'!B:B, 'Component Masterlist v2'!O:O, "Not found")</f>
        <v>AEP Retail</v>
      </c>
      <c r="D358" s="114" t="str">
        <f>_xlfn.XLOOKUP(B358, 'Component Masterlist v2'!B:B, 'Component Masterlist v2'!G:G, "Not found")</f>
        <v>Santosh Golecha</v>
      </c>
      <c r="E358" s="112" t="str">
        <f>_xlfn.XLOOKUP(B358, 'Component Masterlist v2'!B:B, 'Component Masterlist v2'!E:E, "Not found")</f>
        <v>Aditya Kolli</v>
      </c>
      <c r="F358" s="165" t="str">
        <f>_xlfn.XLOOKUP(B358, 'Component Masterlist v2'!B:B, 'Component Masterlist v2'!P:P, "Not found")</f>
        <v>AEP</v>
      </c>
    </row>
    <row r="359" spans="1:6">
      <c r="A359" s="3" t="s">
        <v>32</v>
      </c>
      <c r="B359" s="22" t="s">
        <v>888</v>
      </c>
      <c r="C359" s="37" t="str">
        <f>_xlfn.XLOOKUP(B359, 'Component Masterlist v2'!B:B, 'Component Masterlist v2'!O:O, "Not found")</f>
        <v>AEP Checkout</v>
      </c>
      <c r="D359" s="114" t="str">
        <f>_xlfn.XLOOKUP(B359, 'Component Masterlist v2'!B:B, 'Component Masterlist v2'!G:G, "Not found")</f>
        <v>Santosh Golecha</v>
      </c>
      <c r="E359" s="112" t="str">
        <f>_xlfn.XLOOKUP(B359, 'Component Masterlist v2'!B:B, 'Component Masterlist v2'!E:E, "Not found")</f>
        <v>Aditya Kolli</v>
      </c>
      <c r="F359" s="165" t="str">
        <f>_xlfn.XLOOKUP(B359, 'Component Masterlist v2'!B:B, 'Component Masterlist v2'!P:P, "Not found")</f>
        <v>AEP</v>
      </c>
    </row>
    <row r="360" spans="1:6">
      <c r="A360" s="3" t="s">
        <v>32</v>
      </c>
      <c r="B360" s="22" t="s">
        <v>889</v>
      </c>
      <c r="C360" s="37" t="str">
        <f>_xlfn.XLOOKUP(B360, 'Component Masterlist v2'!B:B, 'Component Masterlist v2'!O:O, "Not found")</f>
        <v>AEP Chat</v>
      </c>
      <c r="D360" s="114" t="str">
        <f>_xlfn.XLOOKUP(B360, 'Component Masterlist v2'!B:B, 'Component Masterlist v2'!G:G, "Not found")</f>
        <v>Santosh Golecha</v>
      </c>
      <c r="E360" s="112" t="str">
        <f>_xlfn.XLOOKUP(B360, 'Component Masterlist v2'!B:B, 'Component Masterlist v2'!E:E, "Not found")</f>
        <v>Aditya Kolli</v>
      </c>
      <c r="F360" s="165" t="str">
        <f>_xlfn.XLOOKUP(B360, 'Component Masterlist v2'!B:B, 'Component Masterlist v2'!P:P, "Not found")</f>
        <v>AEP</v>
      </c>
    </row>
    <row r="361" spans="1:6">
      <c r="A361" s="3" t="s">
        <v>32</v>
      </c>
      <c r="B361" s="22" t="s">
        <v>890</v>
      </c>
      <c r="C361" s="37" t="str">
        <f>_xlfn.XLOOKUP(B361, 'Component Masterlist v2'!B:B, 'Component Masterlist v2'!O:O, "Not found")</f>
        <v>Not found</v>
      </c>
      <c r="D361" s="114" t="str">
        <f>_xlfn.XLOOKUP(B361, 'Component Masterlist v2'!B:B, 'Component Masterlist v2'!G:G, "Not found")</f>
        <v>Santosh Golecha</v>
      </c>
      <c r="E361" s="112" t="str">
        <f>_xlfn.XLOOKUP(B361, 'Component Masterlist v2'!B:B, 'Component Masterlist v2'!E:E, "Not found")</f>
        <v>Aditya Kolli</v>
      </c>
      <c r="F361" s="165" t="str">
        <f>_xlfn.XLOOKUP(B361, 'Component Masterlist v2'!B:B, 'Component Masterlist v2'!P:P, "Not found")</f>
        <v>AEP</v>
      </c>
    </row>
    <row r="362" spans="1:6">
      <c r="A362" s="3" t="s">
        <v>32</v>
      </c>
      <c r="B362" s="22" t="s">
        <v>891</v>
      </c>
      <c r="C362" s="37" t="str">
        <f>_xlfn.XLOOKUP(B362, 'Component Masterlist v2'!B:B, 'Component Masterlist v2'!O:O, "Not found")</f>
        <v>Not found</v>
      </c>
      <c r="D362" s="114" t="str">
        <f>_xlfn.XLOOKUP(B362, 'Component Masterlist v2'!B:B, 'Component Masterlist v2'!G:G, "Not found")</f>
        <v>Santosh Golecha</v>
      </c>
      <c r="E362" s="112" t="str">
        <f>_xlfn.XLOOKUP(B362, 'Component Masterlist v2'!B:B, 'Component Masterlist v2'!E:E, "Not found")</f>
        <v>Aditya Kolli</v>
      </c>
      <c r="F362" s="165" t="str">
        <f>_xlfn.XLOOKUP(B362, 'Component Masterlist v2'!B:B, 'Component Masterlist v2'!P:P, "Not found")</f>
        <v>AEP</v>
      </c>
    </row>
    <row r="363" spans="1:6">
      <c r="A363" s="3" t="s">
        <v>32</v>
      </c>
      <c r="B363" s="22" t="s">
        <v>892</v>
      </c>
      <c r="C363" s="37" t="str">
        <f>_xlfn.XLOOKUP(B363, 'Component Masterlist v2'!B:B, 'Component Masterlist v2'!O:O, "Not found")</f>
        <v>Not found</v>
      </c>
      <c r="D363" s="114" t="str">
        <f>_xlfn.XLOOKUP(B363, 'Component Masterlist v2'!B:B, 'Component Masterlist v2'!G:G, "Not found")</f>
        <v>Santosh Golecha</v>
      </c>
      <c r="E363" s="112" t="str">
        <f>_xlfn.XLOOKUP(B363, 'Component Masterlist v2'!B:B, 'Component Masterlist v2'!E:E, "Not found")</f>
        <v>Aditya Kolli</v>
      </c>
      <c r="F363" s="165" t="str">
        <f>_xlfn.XLOOKUP(B363, 'Component Masterlist v2'!B:B, 'Component Masterlist v2'!P:P, "Not found")</f>
        <v>AEP</v>
      </c>
    </row>
    <row r="364" spans="1:6">
      <c r="A364" s="3" t="s">
        <v>32</v>
      </c>
      <c r="B364" s="22" t="s">
        <v>893</v>
      </c>
      <c r="C364" s="37" t="str">
        <f>_xlfn.XLOOKUP(B364, 'Component Masterlist v2'!B:B, 'Component Masterlist v2'!O:O, "Not found")</f>
        <v>Not found</v>
      </c>
      <c r="D364" s="114" t="str">
        <f>_xlfn.XLOOKUP(B364, 'Component Masterlist v2'!B:B, 'Component Masterlist v2'!G:G, "Not found")</f>
        <v>Santosh Golecha</v>
      </c>
      <c r="E364" s="112" t="str">
        <f>_xlfn.XLOOKUP(B364, 'Component Masterlist v2'!B:B, 'Component Masterlist v2'!E:E, "Not found")</f>
        <v>Aditya Kolli</v>
      </c>
      <c r="F364" s="165" t="str">
        <f>_xlfn.XLOOKUP(B364, 'Component Masterlist v2'!B:B, 'Component Masterlist v2'!P:P, "Not found")</f>
        <v>AEP</v>
      </c>
    </row>
    <row r="365" spans="1:6">
      <c r="A365" s="3" t="s">
        <v>32</v>
      </c>
      <c r="B365" s="22" t="s">
        <v>894</v>
      </c>
      <c r="C365" s="37" t="str">
        <f>_xlfn.XLOOKUP(B365, 'Component Masterlist v2'!B:B, 'Component Masterlist v2'!O:O, "Not found")</f>
        <v>AEP VI</v>
      </c>
      <c r="D365" s="114" t="str">
        <f>_xlfn.XLOOKUP(B365, 'Component Masterlist v2'!B:B, 'Component Masterlist v2'!G:G, "Not found")</f>
        <v>Santosh Golecha</v>
      </c>
      <c r="E365" s="112" t="str">
        <f>_xlfn.XLOOKUP(B365, 'Component Masterlist v2'!B:B, 'Component Masterlist v2'!E:E, "Not found")</f>
        <v>Aditya Kolli</v>
      </c>
      <c r="F365" s="165" t="str">
        <f>_xlfn.XLOOKUP(B365, 'Component Masterlist v2'!B:B, 'Component Masterlist v2'!P:P, "Not found")</f>
        <v>AEP</v>
      </c>
    </row>
    <row r="366" spans="1:6">
      <c r="A366" s="3" t="s">
        <v>59</v>
      </c>
      <c r="B366" s="22" t="s">
        <v>895</v>
      </c>
      <c r="C366" s="37" t="str">
        <f>_xlfn.XLOOKUP(B366, 'Component Masterlist v2'!B:B, 'Component Masterlist v2'!O:O, "Not found")</f>
        <v>Not found</v>
      </c>
      <c r="D366" s="114" t="str">
        <f>_xlfn.XLOOKUP(B366, 'Component Masterlist v2'!B:B, 'Component Masterlist v2'!G:G, "Not found")</f>
        <v>Satish Sallakonda</v>
      </c>
      <c r="E366" s="112" t="str">
        <f>_xlfn.XLOOKUP(B366, 'Component Masterlist v2'!B:B, 'Component Masterlist v2'!E:E, "Not found")</f>
        <v>Bob Wagoner</v>
      </c>
      <c r="F366" s="165" t="str">
        <f>_xlfn.XLOOKUP(B366, 'Component Masterlist v2'!B:B, 'Component Masterlist v2'!P:P, "Not found")</f>
        <v>APEX</v>
      </c>
    </row>
    <row r="367" spans="1:6">
      <c r="A367" s="3" t="s">
        <v>59</v>
      </c>
      <c r="B367" s="22" t="s">
        <v>896</v>
      </c>
      <c r="C367" s="37" t="str">
        <f>_xlfn.XLOOKUP(B367, 'Component Masterlist v2'!B:B, 'Component Masterlist v2'!O:O, "Not found")</f>
        <v>Not found</v>
      </c>
      <c r="D367" s="114" t="str">
        <f>_xlfn.XLOOKUP(B367, 'Component Masterlist v2'!B:B, 'Component Masterlist v2'!G:G, "Not found")</f>
        <v>Satish Sallakonda</v>
      </c>
      <c r="E367" s="112" t="str">
        <f>_xlfn.XLOOKUP(B367, 'Component Masterlist v2'!B:B, 'Component Masterlist v2'!E:E, "Not found")</f>
        <v>Bob Wagoner</v>
      </c>
      <c r="F367" s="165" t="str">
        <f>_xlfn.XLOOKUP(B367, 'Component Masterlist v2'!B:B, 'Component Masterlist v2'!P:P, "Not found")</f>
        <v>APEX</v>
      </c>
    </row>
    <row r="368" spans="1:6">
      <c r="A368" s="3" t="s">
        <v>59</v>
      </c>
      <c r="B368" s="22" t="s">
        <v>897</v>
      </c>
      <c r="C368" s="37" t="str">
        <f>_xlfn.XLOOKUP(B368, 'Component Masterlist v2'!B:B, 'Component Masterlist v2'!O:O, "Not found")</f>
        <v>Not found</v>
      </c>
      <c r="D368" s="114" t="str">
        <f>_xlfn.XLOOKUP(B368, 'Component Masterlist v2'!B:B, 'Component Masterlist v2'!G:G, "Not found")</f>
        <v>Satish Sallakonda</v>
      </c>
      <c r="E368" s="112" t="str">
        <f>_xlfn.XLOOKUP(B368, 'Component Masterlist v2'!B:B, 'Component Masterlist v2'!E:E, "Not found")</f>
        <v>Bob Wagoner</v>
      </c>
      <c r="F368" s="165" t="str">
        <f>_xlfn.XLOOKUP(B368, 'Component Masterlist v2'!B:B, 'Component Masterlist v2'!P:P, "Not found")</f>
        <v>APEX</v>
      </c>
    </row>
    <row r="369" spans="1:6">
      <c r="A369" s="3" t="s">
        <v>59</v>
      </c>
      <c r="B369" s="22" t="s">
        <v>898</v>
      </c>
      <c r="C369" s="37" t="str">
        <f>_xlfn.XLOOKUP(B369, 'Component Masterlist v2'!B:B, 'Component Masterlist v2'!O:O, "Not found")</f>
        <v>Not found</v>
      </c>
      <c r="D369" s="114" t="str">
        <f>_xlfn.XLOOKUP(B369, 'Component Masterlist v2'!B:B, 'Component Masterlist v2'!G:G, "Not found")</f>
        <v>Satish Sallakonda</v>
      </c>
      <c r="E369" s="112" t="str">
        <f>_xlfn.XLOOKUP(B369, 'Component Masterlist v2'!B:B, 'Component Masterlist v2'!E:E, "Not found")</f>
        <v>Bob Wagoner</v>
      </c>
      <c r="F369" s="165" t="str">
        <f>_xlfn.XLOOKUP(B369, 'Component Masterlist v2'!B:B, 'Component Masterlist v2'!P:P, "Not found")</f>
        <v>APEX</v>
      </c>
    </row>
    <row r="370" spans="1:6">
      <c r="A370" s="3" t="s">
        <v>59</v>
      </c>
      <c r="B370" s="22" t="s">
        <v>899</v>
      </c>
      <c r="C370" s="37" t="str">
        <f>_xlfn.XLOOKUP(B370, 'Component Masterlist v2'!B:B, 'Component Masterlist v2'!O:O, "Not found")</f>
        <v>Not found</v>
      </c>
      <c r="D370" s="114" t="str">
        <f>_xlfn.XLOOKUP(B370, 'Component Masterlist v2'!B:B, 'Component Masterlist v2'!G:G, "Not found")</f>
        <v>Satish Sallakonda</v>
      </c>
      <c r="E370" s="112" t="str">
        <f>_xlfn.XLOOKUP(B370, 'Component Masterlist v2'!B:B, 'Component Masterlist v2'!E:E, "Not found")</f>
        <v>Bob Wagoner</v>
      </c>
      <c r="F370" s="165" t="str">
        <f>_xlfn.XLOOKUP(B370, 'Component Masterlist v2'!B:B, 'Component Masterlist v2'!P:P, "Not found")</f>
        <v>APEX</v>
      </c>
    </row>
    <row r="371" spans="1:6">
      <c r="A371" s="3" t="s">
        <v>33</v>
      </c>
      <c r="B371" s="22" t="s">
        <v>901</v>
      </c>
      <c r="C371" s="37" t="str">
        <f>_xlfn.XLOOKUP(B371, 'Component Masterlist v2'!B:B, 'Component Masterlist v2'!O:O, "Not found")</f>
        <v>AMC</v>
      </c>
      <c r="D371" s="114" t="str">
        <f>_xlfn.XLOOKUP(B371, 'Component Masterlist v2'!B:B, 'Component Masterlist v2'!G:G, "Not found")</f>
        <v>Santosh Golecha</v>
      </c>
      <c r="E371" s="112" t="str">
        <f>_xlfn.XLOOKUP(B371, 'Component Masterlist v2'!B:B, 'Component Masterlist v2'!E:E, "Not found")</f>
        <v>Aditya Kolli</v>
      </c>
      <c r="F371" s="165" t="str">
        <f>_xlfn.XLOOKUP(B371, 'Component Masterlist v2'!B:B, 'Component Masterlist v2'!P:P, "Not found")</f>
        <v>AMC</v>
      </c>
    </row>
  </sheetData>
  <sheetProtection sheet="1" objects="1" scenarios="1" sort="0" autoFilter="0"/>
  <autoFilter ref="A1:F328" xr:uid="{40C6B4FD-4E82-4BA2-BD71-CE947A5076D0}"/>
  <conditionalFormatting sqref="C1:C1048576">
    <cfRule type="containsText" dxfId="19" priority="1" operator="containsText" text="Not found">
      <formula>NOT(ISERROR(SEARCH("Not found",C1)))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D410-09AA-4240-8930-983148DBF79C}">
  <dimension ref="A1:K11"/>
  <sheetViews>
    <sheetView workbookViewId="0">
      <selection activeCell="I2" sqref="I2"/>
    </sheetView>
  </sheetViews>
  <sheetFormatPr defaultColWidth="8.85546875" defaultRowHeight="15"/>
  <cols>
    <col min="1" max="1" width="9.42578125" bestFit="1" customWidth="1"/>
    <col min="5" max="5" width="15.28515625" customWidth="1"/>
    <col min="6" max="6" width="15.85546875" bestFit="1" customWidth="1"/>
    <col min="7" max="7" width="13.85546875" customWidth="1"/>
    <col min="8" max="8" width="15.85546875" customWidth="1"/>
    <col min="9" max="9" width="16.42578125" customWidth="1"/>
  </cols>
  <sheetData>
    <row r="1" spans="1:11" s="5" customFormat="1" ht="41.25">
      <c r="A1" s="60" t="s">
        <v>3260</v>
      </c>
      <c r="E1" s="129" t="s">
        <v>3261</v>
      </c>
      <c r="F1" s="129" t="s">
        <v>3262</v>
      </c>
      <c r="G1" s="130" t="s">
        <v>215</v>
      </c>
      <c r="H1" s="130" t="s">
        <v>961</v>
      </c>
      <c r="I1" s="130" t="s">
        <v>916</v>
      </c>
    </row>
    <row r="2" spans="1:11">
      <c r="E2" t="s">
        <v>54</v>
      </c>
      <c r="F2" t="s">
        <v>403</v>
      </c>
      <c r="G2" s="131" t="str">
        <f>IF(F2="", "Missing sub-component", _xlfn.XLOOKUP(F2, Lookup!B:B, Lookup!C:C, "NA"))</f>
        <v>RO-Core</v>
      </c>
      <c r="H2" s="131" t="str">
        <f>IF(E2="", "Missing sub-component", _xlfn.XLOOKUP(E2, Lookup!A:A, Lookup!E:E, "NA"))</f>
        <v>Prashant Gupta, Vraj Solanki</v>
      </c>
      <c r="I2" s="131" t="str">
        <f>IF(E2="", "Missing component", _xlfn.XLOOKUP(E2, Lookup!A:A, Lookup!D:D, "NA"))</f>
        <v>Sanyam Agrawal</v>
      </c>
      <c r="K2" t="s">
        <v>3263</v>
      </c>
    </row>
    <row r="3" spans="1:11">
      <c r="E3" t="s">
        <v>54</v>
      </c>
      <c r="F3" t="s">
        <v>3264</v>
      </c>
      <c r="G3" s="131" t="str">
        <f>IF(F3="", "Missing sub-component", _xlfn.XLOOKUP(F3, Lookup!B:B, Lookup!C:C, "NA"))</f>
        <v>NA</v>
      </c>
      <c r="K3" t="s">
        <v>3265</v>
      </c>
    </row>
    <row r="4" spans="1:11">
      <c r="G4" s="131" t="str">
        <f>IF(F4="", "Missing sub-component", _xlfn.XLOOKUP(F4, Lookup!B:B, Lookup!C:C, "NA"))</f>
        <v>Missing sub-component</v>
      </c>
      <c r="K4" t="s">
        <v>3266</v>
      </c>
    </row>
    <row r="7" spans="1:11" ht="41.25">
      <c r="A7" s="155" t="s">
        <v>3267</v>
      </c>
      <c r="B7" s="5"/>
      <c r="C7" s="5"/>
      <c r="D7" s="5"/>
      <c r="E7" s="129" t="s">
        <v>3261</v>
      </c>
      <c r="F7" s="5"/>
      <c r="G7" s="130" t="s">
        <v>3268</v>
      </c>
      <c r="H7" s="130" t="s">
        <v>3269</v>
      </c>
    </row>
    <row r="8" spans="1:11">
      <c r="E8" t="s">
        <v>47</v>
      </c>
      <c r="G8" t="str">
        <f>IFERROR(VLOOKUP(E8,Old_Components_Lookup!A:C,2,0), "Others")</f>
        <v>Parts</v>
      </c>
      <c r="H8" t="str">
        <f>IFERROR(VLOOKUP(E8,Old_Components_Lookup!A:C,3,0), "NA")</f>
        <v>Anirudh Agarwal</v>
      </c>
    </row>
    <row r="10" spans="1:11">
      <c r="A10" t="s">
        <v>0</v>
      </c>
    </row>
    <row r="11" spans="1:11">
      <c r="A11" s="35">
        <v>46034</v>
      </c>
    </row>
  </sheetData>
  <sheetProtection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2D9C6-C46C-453B-9B4F-8B4C2D7E0BF9}">
  <dimension ref="A1:L67"/>
  <sheetViews>
    <sheetView workbookViewId="0">
      <selection activeCell="M5" sqref="M5"/>
    </sheetView>
  </sheetViews>
  <sheetFormatPr defaultColWidth="8.85546875" defaultRowHeight="15"/>
  <cols>
    <col min="1" max="1" width="23.42578125" customWidth="1"/>
    <col min="4" max="4" width="11.140625" customWidth="1"/>
    <col min="8" max="8" width="23.42578125" customWidth="1"/>
    <col min="11" max="11" width="11.140625" customWidth="1"/>
  </cols>
  <sheetData>
    <row r="1" spans="1:12" ht="27.75">
      <c r="A1" s="54" t="s">
        <v>3</v>
      </c>
      <c r="B1" s="95" t="s">
        <v>3270</v>
      </c>
      <c r="C1" s="95" t="s">
        <v>911</v>
      </c>
      <c r="D1" s="55" t="s">
        <v>3271</v>
      </c>
      <c r="H1" s="54" t="s">
        <v>917</v>
      </c>
      <c r="I1" s="96" t="s">
        <v>918</v>
      </c>
      <c r="J1" s="96" t="s">
        <v>919</v>
      </c>
      <c r="K1" s="96" t="s">
        <v>920</v>
      </c>
      <c r="L1" s="66" t="s">
        <v>921</v>
      </c>
    </row>
    <row r="2" spans="1:12">
      <c r="A2" s="30" t="s">
        <v>49</v>
      </c>
      <c r="B2" s="56">
        <v>360</v>
      </c>
      <c r="C2" s="97">
        <v>336</v>
      </c>
      <c r="D2" s="78">
        <f>IF(B2="", C2, B2)</f>
        <v>360</v>
      </c>
      <c r="H2" s="27" t="s">
        <v>49</v>
      </c>
      <c r="I2" s="97">
        <v>287</v>
      </c>
      <c r="J2" s="97">
        <v>297</v>
      </c>
      <c r="K2" s="97">
        <v>424.5</v>
      </c>
      <c r="L2" s="97">
        <v>336.16666666666669</v>
      </c>
    </row>
    <row r="3" spans="1:12">
      <c r="A3" s="30" t="s">
        <v>57</v>
      </c>
      <c r="B3" s="56"/>
      <c r="C3" s="97">
        <v>54</v>
      </c>
      <c r="D3" s="78">
        <f t="shared" ref="D3:D31" si="0">IF(B3="", C3, B3)</f>
        <v>54</v>
      </c>
      <c r="H3" s="27" t="s">
        <v>932</v>
      </c>
      <c r="I3" s="97">
        <v>381</v>
      </c>
      <c r="J3" s="97">
        <v>322</v>
      </c>
      <c r="K3" s="97">
        <v>311</v>
      </c>
      <c r="L3" s="97">
        <v>338</v>
      </c>
    </row>
    <row r="4" spans="1:12">
      <c r="A4" s="30" t="s">
        <v>90</v>
      </c>
      <c r="B4" s="56">
        <v>51</v>
      </c>
      <c r="C4" s="97"/>
      <c r="D4" s="78">
        <f t="shared" si="0"/>
        <v>51</v>
      </c>
      <c r="H4" s="27" t="s">
        <v>57</v>
      </c>
      <c r="I4" s="97">
        <v>53</v>
      </c>
      <c r="J4" s="97">
        <v>49.5</v>
      </c>
      <c r="K4" s="97">
        <v>60</v>
      </c>
      <c r="L4" s="97">
        <v>54.166666666666664</v>
      </c>
    </row>
    <row r="5" spans="1:12">
      <c r="A5" s="30" t="s">
        <v>3272</v>
      </c>
      <c r="B5" s="56">
        <v>48</v>
      </c>
      <c r="C5" s="97"/>
      <c r="D5" s="78">
        <f>IF(B5="", C5, B5)</f>
        <v>48</v>
      </c>
      <c r="H5" s="27" t="s">
        <v>11</v>
      </c>
      <c r="I5" s="97">
        <v>147.5</v>
      </c>
      <c r="J5" s="97">
        <v>146</v>
      </c>
      <c r="K5" s="97">
        <v>279</v>
      </c>
      <c r="L5" s="97">
        <v>190.83333333333334</v>
      </c>
    </row>
    <row r="6" spans="1:12">
      <c r="A6" s="30" t="s">
        <v>11</v>
      </c>
      <c r="B6" s="56"/>
      <c r="C6" s="97">
        <v>191</v>
      </c>
      <c r="D6" s="78">
        <f t="shared" si="0"/>
        <v>191</v>
      </c>
      <c r="H6" s="27" t="s">
        <v>61</v>
      </c>
      <c r="I6" s="97">
        <v>142</v>
      </c>
      <c r="J6" s="97">
        <v>133</v>
      </c>
      <c r="K6" s="97">
        <v>276</v>
      </c>
      <c r="L6" s="97">
        <v>183.66666666666666</v>
      </c>
    </row>
    <row r="7" spans="1:12">
      <c r="A7" s="30" t="s">
        <v>63</v>
      </c>
      <c r="B7" s="56">
        <v>144</v>
      </c>
      <c r="C7" s="97"/>
      <c r="D7" s="78">
        <f t="shared" si="0"/>
        <v>144</v>
      </c>
      <c r="H7" s="27" t="s">
        <v>81</v>
      </c>
      <c r="I7" s="97">
        <v>38</v>
      </c>
      <c r="J7" s="97">
        <v>40</v>
      </c>
      <c r="K7" s="97">
        <v>0</v>
      </c>
      <c r="L7" s="97">
        <v>26</v>
      </c>
    </row>
    <row r="8" spans="1:12">
      <c r="A8" s="80" t="s">
        <v>61</v>
      </c>
      <c r="B8" s="56"/>
      <c r="C8" s="97">
        <v>184</v>
      </c>
      <c r="D8" s="78">
        <f t="shared" si="0"/>
        <v>184</v>
      </c>
      <c r="H8" s="27" t="s">
        <v>50</v>
      </c>
      <c r="I8" s="97">
        <v>95</v>
      </c>
      <c r="J8" s="97">
        <v>0</v>
      </c>
      <c r="K8" s="97">
        <v>10</v>
      </c>
      <c r="L8" s="97">
        <v>35</v>
      </c>
    </row>
    <row r="9" spans="1:12">
      <c r="A9" s="27" t="s">
        <v>50</v>
      </c>
      <c r="B9" s="91">
        <v>36</v>
      </c>
      <c r="C9" s="91">
        <v>35</v>
      </c>
      <c r="D9" s="78">
        <f t="shared" si="0"/>
        <v>36</v>
      </c>
      <c r="H9" s="27" t="s">
        <v>108</v>
      </c>
      <c r="I9" s="97">
        <v>14</v>
      </c>
      <c r="J9" s="97">
        <v>8</v>
      </c>
      <c r="K9" s="97">
        <v>0</v>
      </c>
      <c r="L9" s="97">
        <v>7.333333333333333</v>
      </c>
    </row>
    <row r="10" spans="1:12">
      <c r="A10" s="80" t="s">
        <v>103</v>
      </c>
      <c r="B10" s="56">
        <v>552</v>
      </c>
      <c r="C10" s="97">
        <v>472</v>
      </c>
      <c r="D10" s="78">
        <f t="shared" si="0"/>
        <v>552</v>
      </c>
      <c r="H10" s="27" t="s">
        <v>103</v>
      </c>
      <c r="I10" s="97">
        <v>402.5</v>
      </c>
      <c r="J10" s="97">
        <v>358</v>
      </c>
      <c r="K10" s="97">
        <v>656.5</v>
      </c>
      <c r="L10" s="97">
        <v>472.33333333333331</v>
      </c>
    </row>
    <row r="11" spans="1:12">
      <c r="A11" s="80" t="s">
        <v>91</v>
      </c>
      <c r="B11" s="56">
        <v>210</v>
      </c>
      <c r="C11" s="97"/>
      <c r="D11" s="78">
        <f>IF(B11="", C11, B11)</f>
        <v>210</v>
      </c>
      <c r="H11" s="27" t="s">
        <v>82</v>
      </c>
      <c r="I11" s="97">
        <v>241</v>
      </c>
      <c r="J11" s="97">
        <v>280</v>
      </c>
      <c r="K11" s="97">
        <v>267.5</v>
      </c>
      <c r="L11" s="97">
        <v>262.83333333333331</v>
      </c>
    </row>
    <row r="12" spans="1:12">
      <c r="A12" s="80" t="s">
        <v>82</v>
      </c>
      <c r="B12" s="56">
        <v>350</v>
      </c>
      <c r="C12" s="97"/>
      <c r="D12" s="78">
        <f t="shared" si="0"/>
        <v>350</v>
      </c>
      <c r="H12" s="27" t="s">
        <v>65</v>
      </c>
      <c r="I12" s="97">
        <v>16</v>
      </c>
      <c r="J12" s="97">
        <v>62</v>
      </c>
      <c r="K12" s="97">
        <v>22</v>
      </c>
      <c r="L12" s="97">
        <v>33.333333333333336</v>
      </c>
    </row>
    <row r="13" spans="1:12">
      <c r="A13" s="80" t="s">
        <v>71</v>
      </c>
      <c r="B13" s="56"/>
      <c r="C13" s="97"/>
      <c r="D13" s="78">
        <f t="shared" si="0"/>
        <v>0</v>
      </c>
      <c r="H13" s="27" t="s">
        <v>933</v>
      </c>
      <c r="I13" s="97">
        <v>0</v>
      </c>
      <c r="J13" s="97">
        <v>101</v>
      </c>
      <c r="K13" s="97">
        <v>25</v>
      </c>
      <c r="L13" s="97">
        <v>42</v>
      </c>
    </row>
    <row r="14" spans="1:12">
      <c r="A14" s="27" t="s">
        <v>65</v>
      </c>
      <c r="B14" s="56"/>
      <c r="C14" s="97">
        <v>33</v>
      </c>
      <c r="D14" s="78">
        <f t="shared" si="0"/>
        <v>33</v>
      </c>
      <c r="H14" s="27" t="s">
        <v>84</v>
      </c>
      <c r="I14" s="97">
        <v>0</v>
      </c>
      <c r="J14" s="97">
        <v>0</v>
      </c>
      <c r="K14" s="97">
        <v>70</v>
      </c>
      <c r="L14" s="97">
        <v>23.333333333333332</v>
      </c>
    </row>
    <row r="15" spans="1:12">
      <c r="A15" s="80" t="s">
        <v>92</v>
      </c>
      <c r="B15" s="56"/>
      <c r="C15" s="97">
        <v>338</v>
      </c>
      <c r="D15" s="78">
        <f t="shared" si="0"/>
        <v>338</v>
      </c>
      <c r="H15" s="27" t="s">
        <v>85</v>
      </c>
      <c r="I15" s="97">
        <v>135.5</v>
      </c>
      <c r="J15" s="97">
        <v>74</v>
      </c>
      <c r="K15" s="97">
        <v>101</v>
      </c>
      <c r="L15" s="97">
        <v>103.5</v>
      </c>
    </row>
    <row r="16" spans="1:12">
      <c r="A16" s="80" t="s">
        <v>1662</v>
      </c>
      <c r="B16" s="56">
        <v>132</v>
      </c>
      <c r="C16" s="97"/>
      <c r="D16" s="78">
        <f t="shared" si="0"/>
        <v>132</v>
      </c>
      <c r="H16" s="27" t="s">
        <v>111</v>
      </c>
      <c r="I16" s="97">
        <v>0</v>
      </c>
      <c r="J16" s="97">
        <v>0</v>
      </c>
      <c r="K16" s="97">
        <v>27</v>
      </c>
      <c r="L16" s="97">
        <v>9</v>
      </c>
    </row>
    <row r="17" spans="1:12">
      <c r="A17" s="27" t="s">
        <v>51</v>
      </c>
      <c r="B17" s="91">
        <v>54</v>
      </c>
      <c r="C17" s="91">
        <v>42</v>
      </c>
      <c r="D17" s="78">
        <f t="shared" si="0"/>
        <v>54</v>
      </c>
      <c r="H17" s="27" t="s">
        <v>47</v>
      </c>
      <c r="I17" s="97">
        <v>492.5</v>
      </c>
      <c r="J17" s="97">
        <v>175.2</v>
      </c>
      <c r="K17" s="97">
        <v>284</v>
      </c>
      <c r="L17" s="97">
        <v>317.23333333333335</v>
      </c>
    </row>
    <row r="18" spans="1:12">
      <c r="A18" s="80" t="s">
        <v>84</v>
      </c>
      <c r="B18" s="56">
        <v>216</v>
      </c>
      <c r="C18" s="97"/>
      <c r="D18" s="78">
        <f t="shared" si="0"/>
        <v>216</v>
      </c>
      <c r="H18" s="27" t="s">
        <v>52</v>
      </c>
      <c r="I18" s="97">
        <v>205</v>
      </c>
      <c r="J18" s="97">
        <v>140</v>
      </c>
      <c r="K18" s="97">
        <v>106</v>
      </c>
      <c r="L18" s="97">
        <v>150.33333333333334</v>
      </c>
    </row>
    <row r="19" spans="1:12">
      <c r="A19" s="80" t="s">
        <v>85</v>
      </c>
      <c r="B19" s="56">
        <v>120</v>
      </c>
      <c r="C19" s="97"/>
      <c r="D19" s="78">
        <f t="shared" si="0"/>
        <v>120</v>
      </c>
      <c r="H19" s="27" t="s">
        <v>45</v>
      </c>
      <c r="I19" s="97">
        <v>149</v>
      </c>
      <c r="J19" s="97">
        <v>129</v>
      </c>
      <c r="K19" s="97">
        <v>115</v>
      </c>
      <c r="L19" s="97">
        <v>131</v>
      </c>
    </row>
    <row r="20" spans="1:12">
      <c r="A20" s="80" t="s">
        <v>109</v>
      </c>
      <c r="B20" s="56"/>
      <c r="C20" s="97"/>
      <c r="D20" s="78">
        <f t="shared" si="0"/>
        <v>0</v>
      </c>
      <c r="H20" s="27" t="s">
        <v>112</v>
      </c>
      <c r="I20" s="97">
        <v>139.5</v>
      </c>
      <c r="J20" s="97">
        <v>124</v>
      </c>
      <c r="K20" s="97">
        <v>182.5</v>
      </c>
      <c r="L20" s="97">
        <v>148.66666666666666</v>
      </c>
    </row>
    <row r="21" spans="1:12">
      <c r="A21" s="80" t="s">
        <v>111</v>
      </c>
      <c r="B21" s="56">
        <v>54</v>
      </c>
      <c r="C21" s="97">
        <v>9</v>
      </c>
      <c r="D21" s="78">
        <f t="shared" si="0"/>
        <v>54</v>
      </c>
      <c r="H21" s="27" t="s">
        <v>88</v>
      </c>
      <c r="I21" s="97">
        <v>709</v>
      </c>
      <c r="J21" s="97">
        <v>481</v>
      </c>
      <c r="K21" s="97">
        <v>399</v>
      </c>
      <c r="L21" s="97">
        <v>529.66666666666663</v>
      </c>
    </row>
    <row r="22" spans="1:12">
      <c r="A22" s="80" t="s">
        <v>47</v>
      </c>
      <c r="B22" s="56">
        <v>504</v>
      </c>
      <c r="C22" s="97">
        <v>317</v>
      </c>
      <c r="D22" s="78">
        <f t="shared" si="0"/>
        <v>504</v>
      </c>
      <c r="H22" s="27" t="s">
        <v>105</v>
      </c>
      <c r="I22" s="97">
        <v>38</v>
      </c>
      <c r="J22" s="97">
        <v>11</v>
      </c>
      <c r="K22" s="97">
        <v>96</v>
      </c>
      <c r="L22" s="97">
        <v>48.333333333333336</v>
      </c>
    </row>
    <row r="23" spans="1:12">
      <c r="A23" s="80" t="s">
        <v>112</v>
      </c>
      <c r="B23" s="56">
        <v>432</v>
      </c>
      <c r="C23" s="97">
        <v>149</v>
      </c>
      <c r="D23" s="78">
        <f t="shared" si="0"/>
        <v>432</v>
      </c>
      <c r="H23" s="27" t="s">
        <v>54</v>
      </c>
      <c r="I23" s="97">
        <v>205</v>
      </c>
      <c r="J23" s="97">
        <v>364</v>
      </c>
      <c r="K23" s="97">
        <v>416</v>
      </c>
      <c r="L23" s="97">
        <v>328.33333333333331</v>
      </c>
    </row>
    <row r="24" spans="1:12">
      <c r="A24" s="80" t="s">
        <v>52</v>
      </c>
      <c r="B24" s="56"/>
      <c r="C24" s="97">
        <v>150</v>
      </c>
      <c r="D24" s="78">
        <f t="shared" si="0"/>
        <v>150</v>
      </c>
      <c r="H24" s="98" t="s">
        <v>934</v>
      </c>
      <c r="I24" s="99">
        <v>3890.5</v>
      </c>
      <c r="J24" s="99">
        <v>3294.7</v>
      </c>
      <c r="K24" s="99">
        <v>4128</v>
      </c>
      <c r="L24" s="99">
        <v>3771.0666666666671</v>
      </c>
    </row>
    <row r="25" spans="1:12">
      <c r="A25" s="80" t="s">
        <v>45</v>
      </c>
      <c r="B25" s="56">
        <v>180</v>
      </c>
      <c r="C25" s="97"/>
      <c r="D25" s="78">
        <f t="shared" si="0"/>
        <v>180</v>
      </c>
      <c r="H25" s="110"/>
      <c r="I25" s="111"/>
      <c r="J25" s="111"/>
      <c r="K25" s="111"/>
      <c r="L25" s="111"/>
    </row>
    <row r="26" spans="1:12">
      <c r="A26" s="80" t="s">
        <v>634</v>
      </c>
      <c r="B26" s="56">
        <v>72</v>
      </c>
      <c r="C26" s="97"/>
      <c r="D26" s="78">
        <f>IF(B26="", C26, B26)</f>
        <v>72</v>
      </c>
    </row>
    <row r="27" spans="1:12">
      <c r="A27" s="80" t="s">
        <v>88</v>
      </c>
      <c r="B27" s="56"/>
      <c r="C27" s="97">
        <v>530</v>
      </c>
      <c r="D27" s="78">
        <f t="shared" si="0"/>
        <v>530</v>
      </c>
    </row>
    <row r="28" spans="1:12">
      <c r="A28" s="80" t="s">
        <v>105</v>
      </c>
      <c r="B28" s="56"/>
      <c r="C28" s="97">
        <v>48</v>
      </c>
      <c r="D28" s="78">
        <f t="shared" si="0"/>
        <v>48</v>
      </c>
    </row>
    <row r="29" spans="1:12">
      <c r="A29" s="80" t="s">
        <v>54</v>
      </c>
      <c r="B29" s="56">
        <v>576</v>
      </c>
      <c r="C29" s="97">
        <v>328</v>
      </c>
      <c r="D29" s="78">
        <f t="shared" si="0"/>
        <v>576</v>
      </c>
    </row>
    <row r="30" spans="1:12">
      <c r="A30" s="80" t="s">
        <v>78</v>
      </c>
      <c r="B30" s="56"/>
      <c r="C30" s="97"/>
      <c r="D30" s="78">
        <f t="shared" si="0"/>
        <v>0</v>
      </c>
    </row>
    <row r="31" spans="1:12">
      <c r="A31" s="30" t="s">
        <v>16</v>
      </c>
      <c r="B31" s="56">
        <v>72</v>
      </c>
      <c r="C31" s="97"/>
      <c r="D31" s="78">
        <f t="shared" si="0"/>
        <v>72</v>
      </c>
    </row>
    <row r="32" spans="1:12">
      <c r="A32" s="100" t="s">
        <v>102</v>
      </c>
      <c r="B32" s="378">
        <f>SUM(B2:C31)</f>
        <v>7379</v>
      </c>
      <c r="C32" s="379"/>
      <c r="D32" s="101">
        <f>SUM(D2:D31)</f>
        <v>5691</v>
      </c>
    </row>
    <row r="35" spans="1:10">
      <c r="A35" s="25" t="s">
        <v>3273</v>
      </c>
    </row>
    <row r="36" spans="1:10">
      <c r="A36" s="25" t="s">
        <v>3274</v>
      </c>
    </row>
    <row r="37" spans="1:10">
      <c r="A37" s="25" t="s">
        <v>3275</v>
      </c>
    </row>
    <row r="38" spans="1:10">
      <c r="A38" s="25"/>
    </row>
    <row r="40" spans="1:10" ht="27.75">
      <c r="A40" s="104" t="s">
        <v>159</v>
      </c>
      <c r="B40" s="105" t="s">
        <v>160</v>
      </c>
      <c r="C40" s="106" t="s">
        <v>3270</v>
      </c>
      <c r="D40" s="106" t="s">
        <v>911</v>
      </c>
      <c r="E40" s="107" t="s">
        <v>3276</v>
      </c>
    </row>
    <row r="41" spans="1:10">
      <c r="A41" s="30" t="s">
        <v>49</v>
      </c>
      <c r="B41" s="56" t="s">
        <v>128</v>
      </c>
      <c r="C41" s="56">
        <v>360</v>
      </c>
      <c r="D41" s="97">
        <v>336</v>
      </c>
      <c r="E41" s="108">
        <f>IFERROR(IF(C41="",D41,C41), "NA")</f>
        <v>360</v>
      </c>
    </row>
    <row r="42" spans="1:10">
      <c r="A42" s="30" t="s">
        <v>90</v>
      </c>
      <c r="B42" s="56" t="s">
        <v>155</v>
      </c>
      <c r="C42" s="56"/>
      <c r="D42" s="97">
        <v>51</v>
      </c>
      <c r="E42" s="108">
        <f t="shared" ref="E42:E66" si="1">IFERROR(IF(C42="",D42,C42), "NA")</f>
        <v>51</v>
      </c>
      <c r="I42">
        <f>5717-5513</f>
        <v>204</v>
      </c>
    </row>
    <row r="43" spans="1:10">
      <c r="A43" s="30" t="s">
        <v>923</v>
      </c>
      <c r="B43" s="56" t="s">
        <v>780</v>
      </c>
      <c r="C43" s="56">
        <v>48</v>
      </c>
      <c r="D43" s="97"/>
      <c r="E43" s="108">
        <f t="shared" si="1"/>
        <v>48</v>
      </c>
    </row>
    <row r="44" spans="1:10">
      <c r="A44" s="30" t="s">
        <v>57</v>
      </c>
      <c r="B44" s="56" t="s">
        <v>533</v>
      </c>
      <c r="C44" s="56"/>
      <c r="D44" s="97">
        <v>54</v>
      </c>
      <c r="E44" s="108">
        <f t="shared" si="1"/>
        <v>54</v>
      </c>
      <c r="I44">
        <v>26</v>
      </c>
      <c r="J44" t="s">
        <v>3277</v>
      </c>
    </row>
    <row r="45" spans="1:10">
      <c r="A45" s="30" t="s">
        <v>11</v>
      </c>
      <c r="B45" s="56" t="s">
        <v>11</v>
      </c>
      <c r="C45" s="56"/>
      <c r="D45" s="97">
        <v>191</v>
      </c>
      <c r="E45" s="108">
        <f t="shared" si="1"/>
        <v>191</v>
      </c>
    </row>
    <row r="46" spans="1:10">
      <c r="A46" s="30" t="s">
        <v>63</v>
      </c>
      <c r="B46" s="56" t="s">
        <v>63</v>
      </c>
      <c r="C46" s="56">
        <v>144</v>
      </c>
      <c r="D46" s="97"/>
      <c r="E46" s="108">
        <f t="shared" si="1"/>
        <v>144</v>
      </c>
    </row>
    <row r="47" spans="1:10">
      <c r="A47" s="80" t="s">
        <v>103</v>
      </c>
      <c r="B47" s="56" t="s">
        <v>142</v>
      </c>
      <c r="C47" s="56">
        <v>552</v>
      </c>
      <c r="D47" s="97">
        <v>521</v>
      </c>
      <c r="E47" s="108">
        <f t="shared" si="1"/>
        <v>552</v>
      </c>
    </row>
    <row r="48" spans="1:10">
      <c r="A48" s="80" t="s">
        <v>82</v>
      </c>
      <c r="B48" s="56" t="s">
        <v>82</v>
      </c>
      <c r="C48" s="56">
        <v>560</v>
      </c>
      <c r="D48" s="97"/>
      <c r="E48" s="108">
        <f t="shared" si="1"/>
        <v>560</v>
      </c>
    </row>
    <row r="49" spans="1:5">
      <c r="A49" s="80" t="s">
        <v>926</v>
      </c>
      <c r="B49" s="56" t="s">
        <v>523</v>
      </c>
      <c r="C49" s="56"/>
      <c r="D49" s="97">
        <v>338</v>
      </c>
      <c r="E49" s="108">
        <f t="shared" si="1"/>
        <v>338</v>
      </c>
    </row>
    <row r="50" spans="1:5">
      <c r="A50" s="80" t="s">
        <v>3278</v>
      </c>
      <c r="B50" s="56" t="s">
        <v>1662</v>
      </c>
      <c r="C50" s="56">
        <v>132</v>
      </c>
      <c r="D50" s="97"/>
      <c r="E50" s="108">
        <f t="shared" si="1"/>
        <v>132</v>
      </c>
    </row>
    <row r="51" spans="1:5">
      <c r="A51" s="80" t="s">
        <v>924</v>
      </c>
      <c r="B51" s="56" t="s">
        <v>511</v>
      </c>
      <c r="C51" s="56"/>
      <c r="D51" s="97">
        <v>33</v>
      </c>
      <c r="E51" s="108">
        <f t="shared" si="1"/>
        <v>33</v>
      </c>
    </row>
    <row r="52" spans="1:5">
      <c r="A52" s="80" t="s">
        <v>84</v>
      </c>
      <c r="B52" s="56" t="s">
        <v>145</v>
      </c>
      <c r="C52" s="56">
        <v>216</v>
      </c>
      <c r="D52" s="97"/>
      <c r="E52" s="108">
        <f t="shared" si="1"/>
        <v>216</v>
      </c>
    </row>
    <row r="53" spans="1:5">
      <c r="A53" s="80" t="s">
        <v>85</v>
      </c>
      <c r="B53" s="56" t="s">
        <v>146</v>
      </c>
      <c r="C53" s="56">
        <v>120</v>
      </c>
      <c r="D53" s="97"/>
      <c r="E53" s="108">
        <f t="shared" si="1"/>
        <v>120</v>
      </c>
    </row>
    <row r="54" spans="1:5">
      <c r="A54" s="80" t="s">
        <v>139</v>
      </c>
      <c r="B54" s="56" t="s">
        <v>306</v>
      </c>
      <c r="C54" s="56"/>
      <c r="D54" s="97">
        <v>184</v>
      </c>
      <c r="E54" s="108">
        <f t="shared" si="1"/>
        <v>184</v>
      </c>
    </row>
    <row r="55" spans="1:5">
      <c r="A55" s="80" t="s">
        <v>143</v>
      </c>
      <c r="B55" s="56" t="s">
        <v>144</v>
      </c>
      <c r="C55" s="56"/>
      <c r="D55" s="97"/>
      <c r="E55" s="108">
        <f t="shared" si="1"/>
        <v>0</v>
      </c>
    </row>
    <row r="56" spans="1:5">
      <c r="A56" s="80" t="s">
        <v>3279</v>
      </c>
      <c r="B56" s="56" t="s">
        <v>109</v>
      </c>
      <c r="C56" s="56"/>
      <c r="D56" s="97"/>
      <c r="E56" s="108">
        <f t="shared" si="1"/>
        <v>0</v>
      </c>
    </row>
    <row r="57" spans="1:5">
      <c r="A57" s="80" t="s">
        <v>47</v>
      </c>
      <c r="B57" s="56" t="s">
        <v>149</v>
      </c>
      <c r="C57" s="56">
        <v>504</v>
      </c>
      <c r="D57" s="97">
        <v>317</v>
      </c>
      <c r="E57" s="108">
        <f t="shared" si="1"/>
        <v>504</v>
      </c>
    </row>
    <row r="58" spans="1:5">
      <c r="A58" s="80" t="s">
        <v>112</v>
      </c>
      <c r="B58" s="56" t="s">
        <v>150</v>
      </c>
      <c r="C58" s="56">
        <v>432</v>
      </c>
      <c r="D58" s="97">
        <v>149</v>
      </c>
      <c r="E58" s="108">
        <f t="shared" si="1"/>
        <v>432</v>
      </c>
    </row>
    <row r="59" spans="1:5">
      <c r="A59" s="80" t="s">
        <v>52</v>
      </c>
      <c r="B59" s="56" t="s">
        <v>391</v>
      </c>
      <c r="C59" s="56"/>
      <c r="D59" s="97">
        <v>150</v>
      </c>
      <c r="E59" s="108">
        <f t="shared" si="1"/>
        <v>150</v>
      </c>
    </row>
    <row r="60" spans="1:5">
      <c r="A60" s="80" t="s">
        <v>45</v>
      </c>
      <c r="B60" s="56" t="s">
        <v>141</v>
      </c>
      <c r="C60" s="56">
        <v>180</v>
      </c>
      <c r="D60" s="97"/>
      <c r="E60" s="108">
        <f t="shared" si="1"/>
        <v>180</v>
      </c>
    </row>
    <row r="61" spans="1:5">
      <c r="A61" s="80" t="s">
        <v>634</v>
      </c>
      <c r="B61" s="56" t="s">
        <v>634</v>
      </c>
      <c r="C61" s="56">
        <v>72</v>
      </c>
      <c r="D61" s="97"/>
      <c r="E61" s="108">
        <f t="shared" si="1"/>
        <v>72</v>
      </c>
    </row>
    <row r="62" spans="1:5">
      <c r="A62" s="80" t="s">
        <v>88</v>
      </c>
      <c r="B62" s="56" t="s">
        <v>151</v>
      </c>
      <c r="C62" s="56"/>
      <c r="D62" s="97">
        <v>530</v>
      </c>
      <c r="E62" s="108">
        <f t="shared" si="1"/>
        <v>530</v>
      </c>
    </row>
    <row r="63" spans="1:5">
      <c r="A63" s="80" t="s">
        <v>54</v>
      </c>
      <c r="B63" s="56" t="s">
        <v>152</v>
      </c>
      <c r="C63" s="56">
        <v>720</v>
      </c>
      <c r="D63" s="97">
        <v>370</v>
      </c>
      <c r="E63" s="108">
        <f t="shared" si="1"/>
        <v>720</v>
      </c>
    </row>
    <row r="64" spans="1:5">
      <c r="A64" s="102" t="s">
        <v>931</v>
      </c>
      <c r="B64" s="63" t="s">
        <v>708</v>
      </c>
      <c r="C64" s="63">
        <v>48</v>
      </c>
      <c r="D64" s="109"/>
      <c r="E64" s="108">
        <f t="shared" si="1"/>
        <v>48</v>
      </c>
    </row>
    <row r="65" spans="1:5">
      <c r="A65" s="102" t="s">
        <v>3280</v>
      </c>
      <c r="B65" s="63" t="s">
        <v>78</v>
      </c>
      <c r="C65" s="63"/>
      <c r="D65" s="109"/>
      <c r="E65" s="108">
        <f t="shared" si="1"/>
        <v>0</v>
      </c>
    </row>
    <row r="66" spans="1:5">
      <c r="A66" s="69" t="s">
        <v>16</v>
      </c>
      <c r="B66" s="63" t="s">
        <v>297</v>
      </c>
      <c r="C66" s="63">
        <v>72</v>
      </c>
      <c r="D66" s="109"/>
      <c r="E66" s="108">
        <f t="shared" si="1"/>
        <v>72</v>
      </c>
    </row>
    <row r="67" spans="1:5">
      <c r="A67" s="98" t="s">
        <v>102</v>
      </c>
      <c r="B67" s="103"/>
      <c r="C67" s="380">
        <f>SUM(C41:D66)</f>
        <v>7384</v>
      </c>
      <c r="D67" s="381"/>
      <c r="E67" s="99">
        <f>SUM(E41:E66)</f>
        <v>5691</v>
      </c>
    </row>
  </sheetData>
  <mergeCells count="2">
    <mergeCell ref="B32:C32"/>
    <mergeCell ref="C67:D6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28B9-1A58-442E-ACAE-42D4DAE27581}">
  <dimension ref="A1:C253"/>
  <sheetViews>
    <sheetView workbookViewId="0">
      <pane ySplit="1" topLeftCell="A176" activePane="bottomLeft" state="frozen"/>
      <selection pane="bottomLeft" activeCell="A252" sqref="A252"/>
    </sheetView>
  </sheetViews>
  <sheetFormatPr defaultColWidth="9.140625" defaultRowHeight="15"/>
  <cols>
    <col min="1" max="1" width="30.42578125" style="25" customWidth="1"/>
    <col min="2" max="3" width="22.42578125" style="25" customWidth="1"/>
    <col min="4" max="16384" width="9.140625" style="25"/>
  </cols>
  <sheetData>
    <row r="1" spans="1:3">
      <c r="A1" s="24" t="s">
        <v>3281</v>
      </c>
      <c r="B1" s="24" t="s">
        <v>3282</v>
      </c>
      <c r="C1" s="24" t="s">
        <v>3283</v>
      </c>
    </row>
    <row r="2" spans="1:3">
      <c r="A2" s="26" t="s">
        <v>49</v>
      </c>
      <c r="B2" s="26" t="s">
        <v>49</v>
      </c>
      <c r="C2" s="27" t="s">
        <v>48</v>
      </c>
    </row>
    <row r="3" spans="1:3">
      <c r="A3" s="26" t="s">
        <v>3284</v>
      </c>
      <c r="B3" s="26" t="s">
        <v>61</v>
      </c>
      <c r="C3" s="27" t="s">
        <v>60</v>
      </c>
    </row>
    <row r="4" spans="1:3">
      <c r="A4" s="26" t="s">
        <v>3285</v>
      </c>
      <c r="B4" s="26" t="s">
        <v>61</v>
      </c>
      <c r="C4" s="27" t="s">
        <v>60</v>
      </c>
    </row>
    <row r="5" spans="1:3">
      <c r="A5" s="26" t="s">
        <v>374</v>
      </c>
      <c r="B5" s="26" t="s">
        <v>49</v>
      </c>
      <c r="C5" s="27" t="s">
        <v>48</v>
      </c>
    </row>
    <row r="6" spans="1:3">
      <c r="A6" s="26" t="s">
        <v>377</v>
      </c>
      <c r="B6" s="26" t="s">
        <v>49</v>
      </c>
      <c r="C6" s="27" t="s">
        <v>48</v>
      </c>
    </row>
    <row r="7" spans="1:3">
      <c r="A7" s="26" t="s">
        <v>3286</v>
      </c>
      <c r="B7" s="26" t="s">
        <v>49</v>
      </c>
      <c r="C7" s="27" t="s">
        <v>48</v>
      </c>
    </row>
    <row r="8" spans="1:3">
      <c r="A8" s="26" t="s">
        <v>3287</v>
      </c>
      <c r="B8" s="26" t="s">
        <v>49</v>
      </c>
      <c r="C8" s="27" t="s">
        <v>48</v>
      </c>
    </row>
    <row r="9" spans="1:3">
      <c r="A9" s="26" t="s">
        <v>380</v>
      </c>
      <c r="B9" s="26" t="s">
        <v>49</v>
      </c>
      <c r="C9" s="27" t="s">
        <v>48</v>
      </c>
    </row>
    <row r="10" spans="1:3">
      <c r="A10" s="26" t="s">
        <v>3288</v>
      </c>
      <c r="B10" s="27" t="s">
        <v>41</v>
      </c>
      <c r="C10" s="27" t="s">
        <v>30</v>
      </c>
    </row>
    <row r="11" spans="1:3">
      <c r="A11" s="26" t="s">
        <v>132</v>
      </c>
      <c r="B11" s="26" t="s">
        <v>92</v>
      </c>
      <c r="C11" s="40" t="s">
        <v>89</v>
      </c>
    </row>
    <row r="12" spans="1:3">
      <c r="A12" s="26" t="s">
        <v>57</v>
      </c>
      <c r="B12" s="26" t="s">
        <v>57</v>
      </c>
      <c r="C12" s="27" t="s">
        <v>163</v>
      </c>
    </row>
    <row r="13" spans="1:3">
      <c r="A13" s="27" t="s">
        <v>3289</v>
      </c>
      <c r="B13" s="26" t="s">
        <v>57</v>
      </c>
      <c r="C13" s="27" t="s">
        <v>163</v>
      </c>
    </row>
    <row r="14" spans="1:3">
      <c r="A14" s="26" t="s">
        <v>3290</v>
      </c>
      <c r="B14" s="26" t="s">
        <v>57</v>
      </c>
      <c r="C14" s="27" t="s">
        <v>163</v>
      </c>
    </row>
    <row r="15" spans="1:3">
      <c r="A15" s="27" t="s">
        <v>3291</v>
      </c>
      <c r="B15" s="27" t="s">
        <v>47</v>
      </c>
      <c r="C15" s="27" t="s">
        <v>46</v>
      </c>
    </row>
    <row r="16" spans="1:3">
      <c r="A16" s="27" t="s">
        <v>3292</v>
      </c>
      <c r="B16" s="26" t="s">
        <v>11</v>
      </c>
      <c r="C16" s="27" t="s">
        <v>10</v>
      </c>
    </row>
    <row r="17" spans="1:3">
      <c r="A17" s="27" t="s">
        <v>3293</v>
      </c>
      <c r="B17" s="27" t="s">
        <v>11</v>
      </c>
      <c r="C17" s="27" t="s">
        <v>10</v>
      </c>
    </row>
    <row r="18" spans="1:3">
      <c r="A18" s="27" t="s">
        <v>3294</v>
      </c>
      <c r="B18" s="27" t="s">
        <v>88</v>
      </c>
      <c r="C18" s="27" t="s">
        <v>87</v>
      </c>
    </row>
    <row r="19" spans="1:3">
      <c r="A19" s="27" t="s">
        <v>3295</v>
      </c>
      <c r="B19" s="26" t="s">
        <v>28</v>
      </c>
      <c r="C19" s="27" t="s">
        <v>27</v>
      </c>
    </row>
    <row r="20" spans="1:3">
      <c r="A20" s="26" t="s">
        <v>3296</v>
      </c>
      <c r="B20" s="26" t="s">
        <v>11</v>
      </c>
      <c r="C20" s="27" t="s">
        <v>10</v>
      </c>
    </row>
    <row r="21" spans="1:3">
      <c r="A21" s="26" t="s">
        <v>3297</v>
      </c>
      <c r="B21" s="26" t="s">
        <v>57</v>
      </c>
      <c r="C21" s="27" t="s">
        <v>163</v>
      </c>
    </row>
    <row r="22" spans="1:3">
      <c r="A22" s="28" t="s">
        <v>3298</v>
      </c>
      <c r="B22" s="26" t="s">
        <v>28</v>
      </c>
      <c r="C22" s="27" t="s">
        <v>27</v>
      </c>
    </row>
    <row r="23" spans="1:3">
      <c r="A23" s="26" t="s">
        <v>3299</v>
      </c>
      <c r="B23" s="26" t="s">
        <v>82</v>
      </c>
      <c r="C23" s="27" t="s">
        <v>80</v>
      </c>
    </row>
    <row r="24" spans="1:3">
      <c r="A24" s="26" t="s">
        <v>3300</v>
      </c>
      <c r="B24" s="26" t="s">
        <v>88</v>
      </c>
      <c r="C24" s="27" t="s">
        <v>87</v>
      </c>
    </row>
    <row r="25" spans="1:3">
      <c r="A25" s="26" t="s">
        <v>3301</v>
      </c>
      <c r="B25" s="29" t="s">
        <v>88</v>
      </c>
      <c r="C25" s="27" t="s">
        <v>87</v>
      </c>
    </row>
    <row r="26" spans="1:3">
      <c r="A26" s="26" t="s">
        <v>3302</v>
      </c>
      <c r="B26" s="26" t="s">
        <v>111</v>
      </c>
      <c r="C26" s="27" t="s">
        <v>166</v>
      </c>
    </row>
    <row r="27" spans="1:3">
      <c r="A27" s="26" t="s">
        <v>3303</v>
      </c>
      <c r="B27" s="26" t="s">
        <v>28</v>
      </c>
      <c r="C27" s="27" t="s">
        <v>27</v>
      </c>
    </row>
    <row r="28" spans="1:3">
      <c r="A28" s="27" t="s">
        <v>3304</v>
      </c>
      <c r="B28" s="26" t="s">
        <v>28</v>
      </c>
      <c r="C28" s="27" t="s">
        <v>27</v>
      </c>
    </row>
    <row r="29" spans="1:3">
      <c r="A29" s="26" t="s">
        <v>3305</v>
      </c>
      <c r="B29" s="26" t="s">
        <v>3306</v>
      </c>
      <c r="C29" s="27" t="s">
        <v>30</v>
      </c>
    </row>
    <row r="30" spans="1:3">
      <c r="A30" s="27" t="s">
        <v>3307</v>
      </c>
      <c r="B30" s="26" t="s">
        <v>65</v>
      </c>
      <c r="C30" s="30" t="s">
        <v>169</v>
      </c>
    </row>
    <row r="31" spans="1:3">
      <c r="A31" s="26" t="s">
        <v>81</v>
      </c>
      <c r="B31" s="26" t="s">
        <v>81</v>
      </c>
      <c r="C31" s="27" t="s">
        <v>80</v>
      </c>
    </row>
    <row r="32" spans="1:3">
      <c r="A32" s="26" t="s">
        <v>50</v>
      </c>
      <c r="B32" s="26" t="s">
        <v>50</v>
      </c>
      <c r="C32" s="27" t="s">
        <v>166</v>
      </c>
    </row>
    <row r="33" spans="1:3">
      <c r="A33" s="26" t="s">
        <v>3308</v>
      </c>
      <c r="B33" s="26" t="s">
        <v>13</v>
      </c>
      <c r="C33" s="27" t="s">
        <v>168</v>
      </c>
    </row>
    <row r="34" spans="1:3">
      <c r="A34" s="27" t="s">
        <v>3309</v>
      </c>
      <c r="B34" s="26" t="s">
        <v>92</v>
      </c>
      <c r="C34" s="40" t="s">
        <v>89</v>
      </c>
    </row>
    <row r="35" spans="1:3">
      <c r="A35" s="26" t="s">
        <v>3310</v>
      </c>
      <c r="B35" s="26" t="s">
        <v>57</v>
      </c>
      <c r="C35" s="27" t="s">
        <v>163</v>
      </c>
    </row>
    <row r="36" spans="1:3">
      <c r="A36" s="31" t="s">
        <v>108</v>
      </c>
      <c r="B36" s="31" t="s">
        <v>63</v>
      </c>
      <c r="C36" s="27" t="s">
        <v>1776</v>
      </c>
    </row>
    <row r="37" spans="1:3">
      <c r="A37" s="27" t="s">
        <v>3311</v>
      </c>
      <c r="B37" s="25" t="s">
        <v>59</v>
      </c>
      <c r="C37" s="27" t="s">
        <v>55</v>
      </c>
    </row>
    <row r="38" spans="1:3">
      <c r="A38" s="26" t="s">
        <v>91</v>
      </c>
      <c r="B38" s="26" t="s">
        <v>91</v>
      </c>
      <c r="C38" s="27" t="s">
        <v>89</v>
      </c>
    </row>
    <row r="39" spans="1:3">
      <c r="A39" s="31" t="s">
        <v>3312</v>
      </c>
      <c r="B39" s="26" t="s">
        <v>3306</v>
      </c>
      <c r="C39" s="27" t="s">
        <v>30</v>
      </c>
    </row>
    <row r="40" spans="1:3">
      <c r="A40" s="26" t="s">
        <v>3313</v>
      </c>
      <c r="B40" s="26" t="s">
        <v>92</v>
      </c>
      <c r="C40" s="40" t="s">
        <v>89</v>
      </c>
    </row>
    <row r="41" spans="1:3">
      <c r="A41" s="26" t="s">
        <v>3314</v>
      </c>
      <c r="B41" s="26" t="s">
        <v>3306</v>
      </c>
      <c r="C41" s="27" t="s">
        <v>30</v>
      </c>
    </row>
    <row r="42" spans="1:3">
      <c r="A42" s="26" t="s">
        <v>3315</v>
      </c>
      <c r="B42" s="26" t="s">
        <v>3306</v>
      </c>
      <c r="C42" s="27" t="s">
        <v>30</v>
      </c>
    </row>
    <row r="43" spans="1:3">
      <c r="A43" s="26" t="s">
        <v>3316</v>
      </c>
      <c r="B43" s="26" t="s">
        <v>3306</v>
      </c>
      <c r="C43" s="27" t="s">
        <v>30</v>
      </c>
    </row>
    <row r="44" spans="1:3">
      <c r="A44" s="26" t="s">
        <v>3317</v>
      </c>
      <c r="B44" s="26" t="s">
        <v>3306</v>
      </c>
      <c r="C44" s="27" t="s">
        <v>30</v>
      </c>
    </row>
    <row r="45" spans="1:3">
      <c r="A45" s="26" t="s">
        <v>3318</v>
      </c>
      <c r="B45" s="26" t="s">
        <v>3306</v>
      </c>
      <c r="C45" s="27" t="s">
        <v>30</v>
      </c>
    </row>
    <row r="46" spans="1:3">
      <c r="A46" s="26" t="s">
        <v>3319</v>
      </c>
      <c r="B46" s="26" t="s">
        <v>3306</v>
      </c>
      <c r="C46" s="27" t="s">
        <v>30</v>
      </c>
    </row>
    <row r="47" spans="1:3">
      <c r="A47" s="26" t="s">
        <v>3320</v>
      </c>
      <c r="B47" s="26" t="s">
        <v>3306</v>
      </c>
      <c r="C47" s="27" t="s">
        <v>30</v>
      </c>
    </row>
    <row r="48" spans="1:3">
      <c r="A48" s="26" t="s">
        <v>3321</v>
      </c>
      <c r="B48" s="26" t="s">
        <v>3306</v>
      </c>
      <c r="C48" s="27" t="s">
        <v>30</v>
      </c>
    </row>
    <row r="49" spans="1:3">
      <c r="A49" s="31" t="s">
        <v>3322</v>
      </c>
      <c r="B49" s="26" t="s">
        <v>3306</v>
      </c>
      <c r="C49" s="27" t="s">
        <v>30</v>
      </c>
    </row>
    <row r="50" spans="1:3">
      <c r="A50" s="26" t="s">
        <v>3323</v>
      </c>
      <c r="B50" s="26" t="s">
        <v>3306</v>
      </c>
      <c r="C50" s="27" t="s">
        <v>30</v>
      </c>
    </row>
    <row r="51" spans="1:3">
      <c r="A51" s="31" t="s">
        <v>3324</v>
      </c>
      <c r="B51" s="26" t="s">
        <v>3306</v>
      </c>
      <c r="C51" s="27" t="s">
        <v>30</v>
      </c>
    </row>
    <row r="52" spans="1:3">
      <c r="A52" s="26" t="s">
        <v>3325</v>
      </c>
      <c r="B52" s="26" t="s">
        <v>3306</v>
      </c>
      <c r="C52" s="27" t="s">
        <v>30</v>
      </c>
    </row>
    <row r="53" spans="1:3">
      <c r="A53" s="26" t="s">
        <v>3326</v>
      </c>
      <c r="B53" s="26" t="s">
        <v>3306</v>
      </c>
      <c r="C53" s="27" t="s">
        <v>30</v>
      </c>
    </row>
    <row r="54" spans="1:3">
      <c r="A54" s="26" t="s">
        <v>103</v>
      </c>
      <c r="B54" s="26" t="s">
        <v>13</v>
      </c>
      <c r="C54" s="27" t="s">
        <v>168</v>
      </c>
    </row>
    <row r="55" spans="1:3">
      <c r="A55" s="26" t="s">
        <v>3327</v>
      </c>
      <c r="B55" s="26" t="s">
        <v>61</v>
      </c>
      <c r="C55" s="27" t="s">
        <v>60</v>
      </c>
    </row>
    <row r="56" spans="1:3">
      <c r="A56" s="26" t="s">
        <v>3328</v>
      </c>
      <c r="B56" s="26" t="s">
        <v>13</v>
      </c>
      <c r="C56" s="27" t="s">
        <v>168</v>
      </c>
    </row>
    <row r="57" spans="1:3">
      <c r="A57" s="26" t="s">
        <v>3329</v>
      </c>
      <c r="B57" s="26" t="s">
        <v>13</v>
      </c>
      <c r="C57" s="27" t="s">
        <v>168</v>
      </c>
    </row>
    <row r="58" spans="1:3">
      <c r="A58" s="26" t="s">
        <v>3330</v>
      </c>
      <c r="B58" s="26" t="s">
        <v>61</v>
      </c>
      <c r="C58" s="27" t="s">
        <v>60</v>
      </c>
    </row>
    <row r="59" spans="1:3">
      <c r="A59" s="26" t="s">
        <v>82</v>
      </c>
      <c r="B59" s="26" t="s">
        <v>82</v>
      </c>
      <c r="C59" s="27" t="s">
        <v>80</v>
      </c>
    </row>
    <row r="60" spans="1:3">
      <c r="A60" s="26" t="s">
        <v>3331</v>
      </c>
      <c r="B60" s="26" t="s">
        <v>61</v>
      </c>
      <c r="C60" s="27" t="s">
        <v>60</v>
      </c>
    </row>
    <row r="61" spans="1:3">
      <c r="A61" s="26" t="s">
        <v>3332</v>
      </c>
      <c r="B61" s="26" t="s">
        <v>3306</v>
      </c>
      <c r="C61" s="27" t="s">
        <v>30</v>
      </c>
    </row>
    <row r="62" spans="1:3">
      <c r="A62" s="31" t="s">
        <v>3333</v>
      </c>
      <c r="B62" s="27" t="s">
        <v>71</v>
      </c>
      <c r="C62" s="27" t="s">
        <v>70</v>
      </c>
    </row>
    <row r="63" spans="1:3">
      <c r="A63" s="26" t="s">
        <v>1227</v>
      </c>
      <c r="B63" s="26" t="s">
        <v>65</v>
      </c>
      <c r="C63" s="27" t="s">
        <v>169</v>
      </c>
    </row>
    <row r="64" spans="1:3">
      <c r="A64" s="27" t="s">
        <v>3334</v>
      </c>
      <c r="B64" s="27" t="s">
        <v>71</v>
      </c>
      <c r="C64" s="27" t="s">
        <v>70</v>
      </c>
    </row>
    <row r="65" spans="1:3">
      <c r="A65" s="26" t="s">
        <v>3335</v>
      </c>
      <c r="B65" s="26" t="s">
        <v>65</v>
      </c>
      <c r="C65" s="27" t="s">
        <v>169</v>
      </c>
    </row>
    <row r="66" spans="1:3">
      <c r="A66" s="27" t="s">
        <v>3336</v>
      </c>
      <c r="B66" s="27" t="s">
        <v>95</v>
      </c>
      <c r="C66" s="27" t="s">
        <v>94</v>
      </c>
    </row>
    <row r="67" spans="1:3">
      <c r="A67" s="26" t="s">
        <v>3337</v>
      </c>
      <c r="B67" s="26" t="s">
        <v>65</v>
      </c>
      <c r="C67" s="27" t="s">
        <v>169</v>
      </c>
    </row>
    <row r="68" spans="1:3">
      <c r="A68" s="26" t="s">
        <v>3338</v>
      </c>
      <c r="B68" s="26" t="s">
        <v>88</v>
      </c>
      <c r="C68" s="27" t="s">
        <v>87</v>
      </c>
    </row>
    <row r="69" spans="1:3">
      <c r="A69" s="26" t="s">
        <v>1560</v>
      </c>
      <c r="B69" s="26" t="s">
        <v>88</v>
      </c>
      <c r="C69" s="27" t="s">
        <v>87</v>
      </c>
    </row>
    <row r="70" spans="1:3">
      <c r="A70" s="26" t="s">
        <v>1565</v>
      </c>
      <c r="B70" s="26" t="s">
        <v>88</v>
      </c>
      <c r="C70" s="27" t="s">
        <v>87</v>
      </c>
    </row>
    <row r="71" spans="1:3">
      <c r="A71" s="26" t="s">
        <v>3339</v>
      </c>
      <c r="B71" s="26" t="s">
        <v>28</v>
      </c>
      <c r="C71" s="27" t="s">
        <v>27</v>
      </c>
    </row>
    <row r="72" spans="1:3">
      <c r="A72" s="27" t="s">
        <v>3340</v>
      </c>
      <c r="B72" s="27" t="s">
        <v>95</v>
      </c>
      <c r="C72" s="27" t="s">
        <v>94</v>
      </c>
    </row>
    <row r="73" spans="1:3">
      <c r="A73" s="28" t="s">
        <v>3341</v>
      </c>
      <c r="B73" s="28" t="s">
        <v>95</v>
      </c>
      <c r="C73" s="27" t="s">
        <v>94</v>
      </c>
    </row>
    <row r="74" spans="1:3">
      <c r="A74" s="26" t="s">
        <v>3342</v>
      </c>
      <c r="B74" s="26" t="s">
        <v>85</v>
      </c>
      <c r="C74" s="27" t="s">
        <v>83</v>
      </c>
    </row>
    <row r="75" spans="1:3">
      <c r="A75" s="26" t="s">
        <v>926</v>
      </c>
      <c r="B75" s="26" t="s">
        <v>92</v>
      </c>
      <c r="C75" s="40" t="s">
        <v>89</v>
      </c>
    </row>
    <row r="76" spans="1:3">
      <c r="A76" s="26" t="s">
        <v>3343</v>
      </c>
      <c r="B76" s="26" t="s">
        <v>92</v>
      </c>
      <c r="C76" s="40" t="s">
        <v>89</v>
      </c>
    </row>
    <row r="77" spans="1:3">
      <c r="A77" s="27" t="s">
        <v>3344</v>
      </c>
      <c r="B77" s="26" t="s">
        <v>92</v>
      </c>
      <c r="C77" s="40" t="s">
        <v>89</v>
      </c>
    </row>
    <row r="78" spans="1:3">
      <c r="A78" s="26" t="s">
        <v>1246</v>
      </c>
      <c r="B78" s="26" t="s">
        <v>92</v>
      </c>
      <c r="C78" s="40" t="s">
        <v>89</v>
      </c>
    </row>
    <row r="79" spans="1:3">
      <c r="A79" s="27" t="s">
        <v>3345</v>
      </c>
      <c r="B79" s="26" t="s">
        <v>92</v>
      </c>
      <c r="C79" s="40" t="s">
        <v>89</v>
      </c>
    </row>
    <row r="80" spans="1:3">
      <c r="A80" s="27" t="s">
        <v>3346</v>
      </c>
      <c r="B80" s="26" t="s">
        <v>92</v>
      </c>
      <c r="C80" s="40" t="s">
        <v>89</v>
      </c>
    </row>
    <row r="81" spans="1:3">
      <c r="A81" s="26" t="s">
        <v>3347</v>
      </c>
      <c r="B81" s="26" t="s">
        <v>3306</v>
      </c>
      <c r="C81" s="27" t="s">
        <v>30</v>
      </c>
    </row>
    <row r="82" spans="1:3">
      <c r="A82" s="26" t="s">
        <v>3348</v>
      </c>
      <c r="B82" s="26" t="s">
        <v>28</v>
      </c>
      <c r="C82" s="27" t="s">
        <v>27</v>
      </c>
    </row>
    <row r="83" spans="1:3">
      <c r="A83" s="26" t="s">
        <v>3349</v>
      </c>
      <c r="B83" s="26" t="s">
        <v>57</v>
      </c>
      <c r="C83" s="27" t="s">
        <v>163</v>
      </c>
    </row>
    <row r="84" spans="1:3">
      <c r="A84" s="26" t="s">
        <v>3350</v>
      </c>
      <c r="B84" s="26" t="s">
        <v>3306</v>
      </c>
      <c r="C84" s="27" t="s">
        <v>30</v>
      </c>
    </row>
    <row r="85" spans="1:3">
      <c r="A85" s="26" t="s">
        <v>3351</v>
      </c>
      <c r="B85" s="26" t="s">
        <v>3306</v>
      </c>
      <c r="C85" s="27" t="s">
        <v>30</v>
      </c>
    </row>
    <row r="86" spans="1:3">
      <c r="A86" s="26" t="s">
        <v>3352</v>
      </c>
      <c r="B86" s="26" t="s">
        <v>3306</v>
      </c>
      <c r="C86" s="27" t="s">
        <v>30</v>
      </c>
    </row>
    <row r="87" spans="1:3">
      <c r="A87" s="26" t="s">
        <v>3353</v>
      </c>
      <c r="B87" s="26" t="s">
        <v>3306</v>
      </c>
      <c r="C87" s="27" t="s">
        <v>30</v>
      </c>
    </row>
    <row r="88" spans="1:3">
      <c r="A88" s="26" t="s">
        <v>3354</v>
      </c>
      <c r="B88" s="26" t="s">
        <v>3306</v>
      </c>
      <c r="C88" s="27" t="s">
        <v>30</v>
      </c>
    </row>
    <row r="89" spans="1:3">
      <c r="A89" s="26" t="s">
        <v>3355</v>
      </c>
      <c r="B89" s="26" t="s">
        <v>92</v>
      </c>
      <c r="C89" s="40" t="s">
        <v>89</v>
      </c>
    </row>
    <row r="90" spans="1:3">
      <c r="A90" s="26" t="s">
        <v>3356</v>
      </c>
      <c r="B90" s="26" t="s">
        <v>61</v>
      </c>
      <c r="C90" s="27" t="s">
        <v>60</v>
      </c>
    </row>
    <row r="91" spans="1:3">
      <c r="A91" s="26" t="s">
        <v>3357</v>
      </c>
      <c r="B91" s="26" t="s">
        <v>61</v>
      </c>
      <c r="C91" s="27" t="s">
        <v>60</v>
      </c>
    </row>
    <row r="92" spans="1:3">
      <c r="A92" s="26" t="s">
        <v>3358</v>
      </c>
      <c r="B92" s="26" t="s">
        <v>65</v>
      </c>
      <c r="C92" s="27" t="s">
        <v>169</v>
      </c>
    </row>
    <row r="93" spans="1:3">
      <c r="A93" s="26" t="s">
        <v>3359</v>
      </c>
      <c r="B93" s="26" t="s">
        <v>65</v>
      </c>
      <c r="C93" s="27" t="s">
        <v>169</v>
      </c>
    </row>
    <row r="94" spans="1:3">
      <c r="A94" s="26" t="s">
        <v>3360</v>
      </c>
      <c r="B94" s="26" t="s">
        <v>65</v>
      </c>
      <c r="C94" s="27" t="s">
        <v>169</v>
      </c>
    </row>
    <row r="95" spans="1:3">
      <c r="A95" s="31" t="s">
        <v>3361</v>
      </c>
      <c r="B95" s="26" t="s">
        <v>65</v>
      </c>
      <c r="C95" s="27" t="s">
        <v>169</v>
      </c>
    </row>
    <row r="96" spans="1:3">
      <c r="A96" s="26" t="s">
        <v>3362</v>
      </c>
      <c r="B96" s="26" t="s">
        <v>65</v>
      </c>
      <c r="C96" s="27" t="s">
        <v>169</v>
      </c>
    </row>
    <row r="97" spans="1:3">
      <c r="A97" s="26" t="s">
        <v>3363</v>
      </c>
      <c r="B97" s="26" t="s">
        <v>65</v>
      </c>
      <c r="C97" s="27" t="s">
        <v>169</v>
      </c>
    </row>
    <row r="98" spans="1:3">
      <c r="A98" s="26" t="s">
        <v>3364</v>
      </c>
      <c r="B98" s="26" t="s">
        <v>3306</v>
      </c>
      <c r="C98" s="27" t="s">
        <v>30</v>
      </c>
    </row>
    <row r="99" spans="1:3">
      <c r="A99" s="26" t="s">
        <v>3365</v>
      </c>
      <c r="B99" s="26" t="s">
        <v>84</v>
      </c>
      <c r="C99" s="27" t="s">
        <v>83</v>
      </c>
    </row>
    <row r="100" spans="1:3">
      <c r="A100" s="26" t="s">
        <v>3366</v>
      </c>
      <c r="B100" s="26" t="s">
        <v>84</v>
      </c>
      <c r="C100" s="27" t="s">
        <v>83</v>
      </c>
    </row>
    <row r="101" spans="1:3">
      <c r="A101" s="27" t="s">
        <v>3367</v>
      </c>
      <c r="B101" s="26" t="s">
        <v>61</v>
      </c>
      <c r="C101" s="27" t="s">
        <v>60</v>
      </c>
    </row>
    <row r="102" spans="1:3">
      <c r="A102" s="26" t="s">
        <v>3368</v>
      </c>
      <c r="B102" s="26" t="s">
        <v>52</v>
      </c>
      <c r="C102" s="27" t="s">
        <v>48</v>
      </c>
    </row>
    <row r="103" spans="1:3">
      <c r="A103" s="27" t="s">
        <v>3369</v>
      </c>
      <c r="B103" s="26" t="s">
        <v>52</v>
      </c>
      <c r="C103" s="27" t="s">
        <v>48</v>
      </c>
    </row>
    <row r="104" spans="1:3">
      <c r="A104" s="26" t="s">
        <v>3370</v>
      </c>
      <c r="B104" s="26" t="s">
        <v>84</v>
      </c>
      <c r="C104" s="27" t="s">
        <v>83</v>
      </c>
    </row>
    <row r="105" spans="1:3">
      <c r="A105" s="31" t="s">
        <v>51</v>
      </c>
      <c r="B105" s="31" t="s">
        <v>51</v>
      </c>
      <c r="C105" s="27" t="s">
        <v>166</v>
      </c>
    </row>
    <row r="106" spans="1:3">
      <c r="A106" s="26" t="s">
        <v>3371</v>
      </c>
      <c r="B106" s="26" t="s">
        <v>84</v>
      </c>
      <c r="C106" s="27" t="s">
        <v>83</v>
      </c>
    </row>
    <row r="107" spans="1:3">
      <c r="A107" s="26" t="s">
        <v>3372</v>
      </c>
      <c r="B107" s="26" t="s">
        <v>84</v>
      </c>
      <c r="C107" s="27" t="s">
        <v>83</v>
      </c>
    </row>
    <row r="108" spans="1:3">
      <c r="A108" s="26" t="s">
        <v>2078</v>
      </c>
      <c r="B108" s="26" t="s">
        <v>84</v>
      </c>
      <c r="C108" s="27" t="s">
        <v>83</v>
      </c>
    </row>
    <row r="109" spans="1:3">
      <c r="A109" s="26" t="s">
        <v>85</v>
      </c>
      <c r="B109" s="26" t="s">
        <v>85</v>
      </c>
      <c r="C109" s="27" t="s">
        <v>83</v>
      </c>
    </row>
    <row r="110" spans="1:3">
      <c r="A110" s="26" t="s">
        <v>3373</v>
      </c>
      <c r="B110" s="26" t="s">
        <v>40</v>
      </c>
      <c r="C110" s="27" t="s">
        <v>30</v>
      </c>
    </row>
    <row r="111" spans="1:3">
      <c r="A111" s="26" t="s">
        <v>3374</v>
      </c>
      <c r="B111" s="26" t="s">
        <v>95</v>
      </c>
      <c r="C111" s="27" t="s">
        <v>94</v>
      </c>
    </row>
    <row r="112" spans="1:3">
      <c r="A112" s="26" t="s">
        <v>139</v>
      </c>
      <c r="B112" s="26" t="s">
        <v>61</v>
      </c>
      <c r="C112" s="27" t="s">
        <v>60</v>
      </c>
    </row>
    <row r="113" spans="1:3">
      <c r="A113" s="33" t="s">
        <v>3375</v>
      </c>
      <c r="B113" s="26" t="s">
        <v>61</v>
      </c>
      <c r="C113" s="27" t="s">
        <v>60</v>
      </c>
    </row>
    <row r="114" spans="1:3">
      <c r="A114" s="27" t="s">
        <v>3376</v>
      </c>
      <c r="B114" s="26" t="s">
        <v>61</v>
      </c>
      <c r="C114" s="27" t="s">
        <v>60</v>
      </c>
    </row>
    <row r="115" spans="1:3">
      <c r="A115" s="27" t="s">
        <v>3377</v>
      </c>
      <c r="B115" s="26" t="s">
        <v>13</v>
      </c>
      <c r="C115" s="27" t="s">
        <v>168</v>
      </c>
    </row>
    <row r="116" spans="1:3">
      <c r="A116" s="26" t="s">
        <v>3378</v>
      </c>
      <c r="B116" s="26" t="s">
        <v>38</v>
      </c>
      <c r="C116" s="27" t="s">
        <v>170</v>
      </c>
    </row>
    <row r="117" spans="1:3">
      <c r="A117" s="28" t="s">
        <v>118</v>
      </c>
      <c r="B117" s="28" t="s">
        <v>38</v>
      </c>
      <c r="C117" s="27" t="s">
        <v>170</v>
      </c>
    </row>
    <row r="118" spans="1:3">
      <c r="A118" s="34" t="s">
        <v>3379</v>
      </c>
      <c r="B118" s="27" t="s">
        <v>71</v>
      </c>
      <c r="C118" s="27" t="s">
        <v>70</v>
      </c>
    </row>
    <row r="119" spans="1:3">
      <c r="A119" s="26" t="s">
        <v>3380</v>
      </c>
      <c r="B119" s="27" t="s">
        <v>71</v>
      </c>
      <c r="C119" s="27" t="s">
        <v>70</v>
      </c>
    </row>
    <row r="120" spans="1:3">
      <c r="A120" s="33" t="s">
        <v>3381</v>
      </c>
      <c r="B120" s="27" t="s">
        <v>71</v>
      </c>
      <c r="C120" s="27" t="s">
        <v>70</v>
      </c>
    </row>
    <row r="121" spans="1:3">
      <c r="A121" s="31" t="s">
        <v>3382</v>
      </c>
      <c r="B121" s="31" t="s">
        <v>62</v>
      </c>
      <c r="C121" s="27" t="s">
        <v>55</v>
      </c>
    </row>
    <row r="122" spans="1:3">
      <c r="A122" s="26" t="s">
        <v>3383</v>
      </c>
      <c r="B122" s="31" t="s">
        <v>62</v>
      </c>
      <c r="C122" s="27" t="s">
        <v>55</v>
      </c>
    </row>
    <row r="123" spans="1:3">
      <c r="A123" s="27" t="s">
        <v>3384</v>
      </c>
      <c r="B123" s="31" t="s">
        <v>62</v>
      </c>
      <c r="C123" s="27" t="s">
        <v>55</v>
      </c>
    </row>
    <row r="124" spans="1:3">
      <c r="A124" s="27" t="s">
        <v>3385</v>
      </c>
      <c r="B124" s="31" t="s">
        <v>62</v>
      </c>
      <c r="C124" s="27" t="s">
        <v>55</v>
      </c>
    </row>
    <row r="125" spans="1:3">
      <c r="A125" s="26" t="s">
        <v>3386</v>
      </c>
      <c r="B125" s="31" t="s">
        <v>62</v>
      </c>
      <c r="C125" s="27" t="s">
        <v>55</v>
      </c>
    </row>
    <row r="126" spans="1:3">
      <c r="A126" s="26" t="s">
        <v>3387</v>
      </c>
      <c r="B126" s="31" t="s">
        <v>62</v>
      </c>
      <c r="C126" s="27" t="s">
        <v>55</v>
      </c>
    </row>
    <row r="127" spans="1:3">
      <c r="A127" s="26" t="s">
        <v>3388</v>
      </c>
      <c r="B127" s="31" t="s">
        <v>62</v>
      </c>
      <c r="C127" s="27" t="s">
        <v>55</v>
      </c>
    </row>
    <row r="128" spans="1:3">
      <c r="A128" s="26" t="s">
        <v>111</v>
      </c>
      <c r="B128" s="26" t="s">
        <v>54</v>
      </c>
      <c r="C128" s="27" t="s">
        <v>166</v>
      </c>
    </row>
    <row r="129" spans="1:3">
      <c r="A129" s="27" t="s">
        <v>3389</v>
      </c>
      <c r="B129" s="26" t="s">
        <v>3306</v>
      </c>
      <c r="C129" s="27" t="s">
        <v>30</v>
      </c>
    </row>
    <row r="130" spans="1:3">
      <c r="A130" s="26" t="s">
        <v>3390</v>
      </c>
      <c r="B130" s="26" t="s">
        <v>57</v>
      </c>
      <c r="C130" s="27" t="s">
        <v>163</v>
      </c>
    </row>
    <row r="131" spans="1:3">
      <c r="A131" s="26" t="s">
        <v>3391</v>
      </c>
      <c r="B131" s="26" t="s">
        <v>3306</v>
      </c>
      <c r="C131" s="27" t="s">
        <v>30</v>
      </c>
    </row>
    <row r="132" spans="1:3">
      <c r="A132" s="26" t="s">
        <v>3392</v>
      </c>
      <c r="B132" s="26" t="s">
        <v>3306</v>
      </c>
      <c r="C132" s="27" t="s">
        <v>30</v>
      </c>
    </row>
    <row r="133" spans="1:3">
      <c r="A133" s="26" t="s">
        <v>3393</v>
      </c>
      <c r="B133" s="26" t="s">
        <v>3306</v>
      </c>
      <c r="C133" s="27" t="s">
        <v>30</v>
      </c>
    </row>
    <row r="134" spans="1:3">
      <c r="A134" s="31" t="s">
        <v>3394</v>
      </c>
      <c r="B134" s="26" t="s">
        <v>3306</v>
      </c>
      <c r="C134" s="27" t="s">
        <v>30</v>
      </c>
    </row>
    <row r="135" spans="1:3">
      <c r="A135" s="26" t="s">
        <v>3395</v>
      </c>
      <c r="B135" s="26" t="s">
        <v>3306</v>
      </c>
      <c r="C135" s="27" t="s">
        <v>30</v>
      </c>
    </row>
    <row r="136" spans="1:3">
      <c r="A136" s="27" t="s">
        <v>3396</v>
      </c>
      <c r="B136" s="26" t="s">
        <v>3306</v>
      </c>
      <c r="C136" s="27" t="s">
        <v>30</v>
      </c>
    </row>
    <row r="137" spans="1:3">
      <c r="A137" s="26" t="s">
        <v>3397</v>
      </c>
      <c r="B137" s="26" t="s">
        <v>15</v>
      </c>
      <c r="C137" s="27" t="s">
        <v>168</v>
      </c>
    </row>
    <row r="138" spans="1:3">
      <c r="A138" s="26" t="s">
        <v>47</v>
      </c>
      <c r="B138" s="26" t="s">
        <v>47</v>
      </c>
      <c r="C138" s="27" t="s">
        <v>46</v>
      </c>
    </row>
    <row r="139" spans="1:3">
      <c r="A139" s="26" t="s">
        <v>3398</v>
      </c>
      <c r="B139" s="26" t="s">
        <v>61</v>
      </c>
      <c r="C139" s="27" t="s">
        <v>60</v>
      </c>
    </row>
    <row r="140" spans="1:3">
      <c r="A140" s="26" t="s">
        <v>52</v>
      </c>
      <c r="B140" s="26" t="s">
        <v>52</v>
      </c>
      <c r="C140" s="27" t="s">
        <v>48</v>
      </c>
    </row>
    <row r="141" spans="1:3">
      <c r="A141" s="26" t="s">
        <v>3399</v>
      </c>
      <c r="B141" s="27" t="s">
        <v>96</v>
      </c>
      <c r="C141" s="27" t="s">
        <v>21</v>
      </c>
    </row>
    <row r="142" spans="1:3">
      <c r="A142" s="26" t="s">
        <v>3400</v>
      </c>
      <c r="B142" s="26" t="s">
        <v>88</v>
      </c>
      <c r="C142" s="27" t="s">
        <v>87</v>
      </c>
    </row>
    <row r="143" spans="1:3">
      <c r="A143" s="26" t="s">
        <v>112</v>
      </c>
      <c r="B143" s="26" t="s">
        <v>28</v>
      </c>
      <c r="C143" s="27" t="s">
        <v>27</v>
      </c>
    </row>
    <row r="144" spans="1:3">
      <c r="A144" s="26" t="s">
        <v>3401</v>
      </c>
      <c r="B144" s="26" t="s">
        <v>61</v>
      </c>
      <c r="C144" s="27" t="s">
        <v>60</v>
      </c>
    </row>
    <row r="145" spans="1:3">
      <c r="A145" s="26" t="s">
        <v>3402</v>
      </c>
      <c r="B145" s="26" t="s">
        <v>28</v>
      </c>
      <c r="C145" s="27" t="s">
        <v>27</v>
      </c>
    </row>
    <row r="146" spans="1:3">
      <c r="A146" s="26" t="s">
        <v>3403</v>
      </c>
      <c r="B146" s="26" t="s">
        <v>13</v>
      </c>
      <c r="C146" s="27" t="s">
        <v>168</v>
      </c>
    </row>
    <row r="147" spans="1:3">
      <c r="A147" s="27" t="s">
        <v>3404</v>
      </c>
      <c r="B147" s="26" t="s">
        <v>28</v>
      </c>
      <c r="C147" s="27" t="s">
        <v>27</v>
      </c>
    </row>
    <row r="148" spans="1:3">
      <c r="A148" s="26" t="s">
        <v>3405</v>
      </c>
      <c r="B148" s="26" t="s">
        <v>13</v>
      </c>
      <c r="C148" s="27" t="s">
        <v>168</v>
      </c>
    </row>
    <row r="149" spans="1:3">
      <c r="A149" s="26" t="s">
        <v>3406</v>
      </c>
      <c r="B149" s="26" t="s">
        <v>13</v>
      </c>
      <c r="C149" s="27" t="s">
        <v>168</v>
      </c>
    </row>
    <row r="150" spans="1:3">
      <c r="A150" s="28" t="s">
        <v>3407</v>
      </c>
      <c r="B150" s="26" t="s">
        <v>13</v>
      </c>
      <c r="C150" s="27" t="s">
        <v>168</v>
      </c>
    </row>
    <row r="151" spans="1:3">
      <c r="A151" s="26" t="s">
        <v>3408</v>
      </c>
      <c r="B151" s="26" t="s">
        <v>13</v>
      </c>
      <c r="C151" s="27" t="s">
        <v>168</v>
      </c>
    </row>
    <row r="152" spans="1:3">
      <c r="A152" s="33" t="s">
        <v>3409</v>
      </c>
      <c r="B152" s="26" t="s">
        <v>13</v>
      </c>
      <c r="C152" s="27" t="s">
        <v>168</v>
      </c>
    </row>
    <row r="153" spans="1:3">
      <c r="A153" s="26" t="s">
        <v>3410</v>
      </c>
      <c r="B153" s="26" t="s">
        <v>13</v>
      </c>
      <c r="C153" s="27" t="s">
        <v>168</v>
      </c>
    </row>
    <row r="154" spans="1:3">
      <c r="A154" s="26" t="s">
        <v>3411</v>
      </c>
      <c r="B154" s="26" t="s">
        <v>3306</v>
      </c>
      <c r="C154" s="27" t="s">
        <v>30</v>
      </c>
    </row>
    <row r="155" spans="1:3">
      <c r="A155" s="26" t="s">
        <v>3412</v>
      </c>
      <c r="B155" s="26" t="s">
        <v>57</v>
      </c>
      <c r="C155" s="27" t="s">
        <v>163</v>
      </c>
    </row>
    <row r="156" spans="1:3">
      <c r="A156" s="26" t="s">
        <v>88</v>
      </c>
      <c r="B156" s="26" t="s">
        <v>88</v>
      </c>
      <c r="C156" s="27" t="s">
        <v>87</v>
      </c>
    </row>
    <row r="157" spans="1:3">
      <c r="A157" s="26" t="s">
        <v>3413</v>
      </c>
      <c r="B157" s="26" t="s">
        <v>13</v>
      </c>
      <c r="C157" s="27" t="s">
        <v>168</v>
      </c>
    </row>
    <row r="158" spans="1:3">
      <c r="A158" s="26" t="s">
        <v>3414</v>
      </c>
      <c r="B158" s="26" t="s">
        <v>61</v>
      </c>
      <c r="C158" s="27" t="s">
        <v>60</v>
      </c>
    </row>
    <row r="159" spans="1:3">
      <c r="A159" s="26" t="s">
        <v>3415</v>
      </c>
      <c r="B159" s="26" t="s">
        <v>82</v>
      </c>
      <c r="C159" s="27" t="s">
        <v>80</v>
      </c>
    </row>
    <row r="160" spans="1:3">
      <c r="A160" s="26" t="s">
        <v>3416</v>
      </c>
      <c r="B160" s="26" t="s">
        <v>88</v>
      </c>
      <c r="C160" s="27" t="s">
        <v>87</v>
      </c>
    </row>
    <row r="161" spans="1:3">
      <c r="A161" s="26" t="s">
        <v>3417</v>
      </c>
      <c r="B161" s="26" t="s">
        <v>63</v>
      </c>
      <c r="C161" s="27" t="s">
        <v>1776</v>
      </c>
    </row>
    <row r="162" spans="1:3">
      <c r="A162" s="33" t="s">
        <v>3418</v>
      </c>
      <c r="B162" s="26" t="s">
        <v>85</v>
      </c>
      <c r="C162" s="27" t="s">
        <v>83</v>
      </c>
    </row>
    <row r="163" spans="1:3">
      <c r="A163" s="27" t="s">
        <v>3419</v>
      </c>
      <c r="B163" s="26" t="s">
        <v>61</v>
      </c>
      <c r="C163" s="27" t="s">
        <v>60</v>
      </c>
    </row>
    <row r="164" spans="1:3">
      <c r="A164" s="27" t="s">
        <v>3420</v>
      </c>
      <c r="B164" s="27" t="s">
        <v>88</v>
      </c>
      <c r="C164" s="27" t="s">
        <v>87</v>
      </c>
    </row>
    <row r="165" spans="1:3">
      <c r="A165" s="26" t="s">
        <v>3421</v>
      </c>
      <c r="B165" s="26" t="s">
        <v>13</v>
      </c>
      <c r="C165" s="27" t="s">
        <v>168</v>
      </c>
    </row>
    <row r="166" spans="1:3">
      <c r="A166" s="26" t="s">
        <v>3422</v>
      </c>
      <c r="B166" s="26" t="s">
        <v>13</v>
      </c>
      <c r="C166" s="27" t="s">
        <v>168</v>
      </c>
    </row>
    <row r="167" spans="1:3">
      <c r="A167" s="26" t="s">
        <v>3423</v>
      </c>
      <c r="B167" s="26" t="s">
        <v>88</v>
      </c>
      <c r="C167" s="27" t="s">
        <v>87</v>
      </c>
    </row>
    <row r="168" spans="1:3">
      <c r="A168" s="26" t="s">
        <v>3424</v>
      </c>
      <c r="B168" s="26" t="s">
        <v>88</v>
      </c>
      <c r="C168" s="27" t="s">
        <v>87</v>
      </c>
    </row>
    <row r="169" spans="1:3">
      <c r="A169" s="26" t="s">
        <v>3425</v>
      </c>
      <c r="B169" s="26" t="s">
        <v>82</v>
      </c>
      <c r="C169" s="27" t="s">
        <v>80</v>
      </c>
    </row>
    <row r="170" spans="1:3">
      <c r="A170" s="26" t="s">
        <v>3426</v>
      </c>
      <c r="B170" s="26" t="s">
        <v>57</v>
      </c>
      <c r="C170" s="27" t="s">
        <v>163</v>
      </c>
    </row>
    <row r="171" spans="1:3">
      <c r="A171" s="26" t="s">
        <v>3427</v>
      </c>
      <c r="B171" s="26" t="s">
        <v>88</v>
      </c>
      <c r="C171" s="27" t="s">
        <v>87</v>
      </c>
    </row>
    <row r="172" spans="1:3">
      <c r="A172" s="26" t="s">
        <v>3428</v>
      </c>
      <c r="B172" s="26" t="s">
        <v>82</v>
      </c>
      <c r="C172" s="27" t="s">
        <v>80</v>
      </c>
    </row>
    <row r="173" spans="1:3">
      <c r="A173" s="26" t="s">
        <v>3429</v>
      </c>
      <c r="B173" s="26" t="s">
        <v>88</v>
      </c>
      <c r="C173" s="27" t="s">
        <v>87</v>
      </c>
    </row>
    <row r="174" spans="1:3">
      <c r="A174" s="26" t="s">
        <v>3430</v>
      </c>
      <c r="B174" s="26" t="s">
        <v>3306</v>
      </c>
      <c r="C174" s="27" t="s">
        <v>30</v>
      </c>
    </row>
    <row r="175" spans="1:3">
      <c r="A175" s="26" t="s">
        <v>3431</v>
      </c>
      <c r="B175" s="26" t="s">
        <v>3306</v>
      </c>
      <c r="C175" s="27" t="s">
        <v>30</v>
      </c>
    </row>
    <row r="176" spans="1:3">
      <c r="A176" s="26" t="s">
        <v>3432</v>
      </c>
      <c r="B176" s="26" t="s">
        <v>3306</v>
      </c>
      <c r="C176" s="27" t="s">
        <v>30</v>
      </c>
    </row>
    <row r="177" spans="1:3">
      <c r="A177" s="26" t="s">
        <v>3433</v>
      </c>
      <c r="B177" s="26" t="s">
        <v>15</v>
      </c>
      <c r="C177" s="27" t="s">
        <v>168</v>
      </c>
    </row>
    <row r="178" spans="1:3">
      <c r="A178" s="26" t="s">
        <v>3434</v>
      </c>
      <c r="B178" s="26" t="s">
        <v>3306</v>
      </c>
      <c r="C178" s="27" t="s">
        <v>30</v>
      </c>
    </row>
    <row r="179" spans="1:3">
      <c r="A179" s="26" t="s">
        <v>3435</v>
      </c>
      <c r="B179" s="26" t="s">
        <v>88</v>
      </c>
      <c r="C179" s="27" t="s">
        <v>87</v>
      </c>
    </row>
    <row r="180" spans="1:3">
      <c r="A180" s="26" t="s">
        <v>3436</v>
      </c>
      <c r="B180" s="26" t="s">
        <v>13</v>
      </c>
      <c r="C180" s="27" t="s">
        <v>168</v>
      </c>
    </row>
    <row r="181" spans="1:3">
      <c r="A181" s="26" t="s">
        <v>3437</v>
      </c>
      <c r="B181" s="26" t="s">
        <v>92</v>
      </c>
      <c r="C181" s="40" t="s">
        <v>89</v>
      </c>
    </row>
    <row r="182" spans="1:3">
      <c r="A182" s="26" t="s">
        <v>54</v>
      </c>
      <c r="B182" s="26" t="s">
        <v>54</v>
      </c>
      <c r="C182" s="27" t="s">
        <v>166</v>
      </c>
    </row>
    <row r="183" spans="1:3">
      <c r="A183" s="26" t="s">
        <v>3438</v>
      </c>
      <c r="B183" s="26" t="s">
        <v>61</v>
      </c>
      <c r="C183" s="27" t="s">
        <v>60</v>
      </c>
    </row>
    <row r="184" spans="1:3">
      <c r="A184" s="26" t="s">
        <v>3439</v>
      </c>
      <c r="B184" s="27" t="s">
        <v>71</v>
      </c>
      <c r="C184" s="27" t="s">
        <v>70</v>
      </c>
    </row>
    <row r="185" spans="1:3">
      <c r="A185" s="27" t="s">
        <v>3440</v>
      </c>
      <c r="B185" s="27" t="s">
        <v>95</v>
      </c>
      <c r="C185" s="27" t="s">
        <v>94</v>
      </c>
    </row>
    <row r="186" spans="1:3">
      <c r="A186" s="26" t="s">
        <v>3441</v>
      </c>
      <c r="B186" s="26" t="s">
        <v>13</v>
      </c>
      <c r="C186" s="27" t="s">
        <v>168</v>
      </c>
    </row>
    <row r="187" spans="1:3">
      <c r="A187" s="26" t="s">
        <v>3442</v>
      </c>
      <c r="B187" s="26" t="s">
        <v>78</v>
      </c>
      <c r="C187" s="27" t="s">
        <v>76</v>
      </c>
    </row>
    <row r="188" spans="1:3">
      <c r="A188" s="26" t="s">
        <v>3443</v>
      </c>
      <c r="B188" s="29" t="s">
        <v>78</v>
      </c>
      <c r="C188" s="27" t="s">
        <v>76</v>
      </c>
    </row>
    <row r="189" spans="1:3">
      <c r="A189" s="27" t="s">
        <v>86</v>
      </c>
      <c r="B189" s="27" t="s">
        <v>85</v>
      </c>
      <c r="C189" s="27" t="s">
        <v>83</v>
      </c>
    </row>
    <row r="190" spans="1:3">
      <c r="A190" s="26" t="s">
        <v>3444</v>
      </c>
      <c r="B190" s="26" t="s">
        <v>45</v>
      </c>
      <c r="C190" s="27" t="s">
        <v>1655</v>
      </c>
    </row>
    <row r="191" spans="1:3">
      <c r="A191" s="31" t="s">
        <v>3445</v>
      </c>
      <c r="B191" s="26" t="s">
        <v>28</v>
      </c>
      <c r="C191" s="27" t="s">
        <v>27</v>
      </c>
    </row>
    <row r="192" spans="1:3">
      <c r="A192" s="26" t="s">
        <v>3446</v>
      </c>
      <c r="B192" s="26" t="s">
        <v>28</v>
      </c>
      <c r="C192" s="27" t="s">
        <v>27</v>
      </c>
    </row>
    <row r="193" spans="1:3">
      <c r="A193" s="26" t="s">
        <v>3447</v>
      </c>
      <c r="B193" s="26" t="s">
        <v>88</v>
      </c>
      <c r="C193" s="27" t="s">
        <v>87</v>
      </c>
    </row>
    <row r="194" spans="1:3">
      <c r="A194" s="26" t="s">
        <v>3448</v>
      </c>
      <c r="B194" s="26" t="s">
        <v>61</v>
      </c>
      <c r="C194" s="27" t="s">
        <v>60</v>
      </c>
    </row>
    <row r="195" spans="1:3">
      <c r="A195" s="26" t="s">
        <v>3449</v>
      </c>
      <c r="B195" s="26" t="s">
        <v>65</v>
      </c>
      <c r="C195" s="27" t="s">
        <v>169</v>
      </c>
    </row>
    <row r="196" spans="1:3">
      <c r="A196" s="26" t="s">
        <v>3450</v>
      </c>
      <c r="B196" s="26" t="s">
        <v>65</v>
      </c>
      <c r="C196" s="27" t="s">
        <v>169</v>
      </c>
    </row>
    <row r="197" spans="1:3">
      <c r="A197" s="23" t="s">
        <v>3340</v>
      </c>
      <c r="B197" s="23" t="s">
        <v>95</v>
      </c>
      <c r="C197" s="27" t="s">
        <v>94</v>
      </c>
    </row>
    <row r="198" spans="1:3">
      <c r="A198" s="23" t="s">
        <v>3451</v>
      </c>
      <c r="B198" s="26" t="s">
        <v>35</v>
      </c>
      <c r="C198" s="27" t="s">
        <v>30</v>
      </c>
    </row>
    <row r="199" spans="1:3">
      <c r="A199" s="27" t="s">
        <v>3452</v>
      </c>
      <c r="B199" s="26" t="s">
        <v>15</v>
      </c>
      <c r="C199" s="27" t="s">
        <v>168</v>
      </c>
    </row>
    <row r="200" spans="1:3">
      <c r="A200" s="27" t="s">
        <v>95</v>
      </c>
      <c r="B200" s="27" t="s">
        <v>95</v>
      </c>
      <c r="C200" s="27" t="s">
        <v>94</v>
      </c>
    </row>
    <row r="201" spans="1:3">
      <c r="A201" s="27" t="s">
        <v>71</v>
      </c>
      <c r="B201" s="27" t="s">
        <v>71</v>
      </c>
      <c r="C201" s="27" t="s">
        <v>70</v>
      </c>
    </row>
    <row r="202" spans="1:3">
      <c r="A202" s="27" t="s">
        <v>113</v>
      </c>
      <c r="B202" s="26" t="s">
        <v>92</v>
      </c>
      <c r="C202" s="40" t="s">
        <v>89</v>
      </c>
    </row>
    <row r="203" spans="1:3">
      <c r="A203" s="27" t="s">
        <v>109</v>
      </c>
      <c r="B203" s="31" t="s">
        <v>62</v>
      </c>
      <c r="C203" s="27" t="s">
        <v>55</v>
      </c>
    </row>
    <row r="204" spans="1:3">
      <c r="A204" s="27" t="s">
        <v>96</v>
      </c>
      <c r="B204" s="27" t="s">
        <v>96</v>
      </c>
      <c r="C204" s="27" t="s">
        <v>21</v>
      </c>
    </row>
    <row r="205" spans="1:3">
      <c r="A205" s="27" t="s">
        <v>65</v>
      </c>
      <c r="B205" s="26" t="s">
        <v>65</v>
      </c>
      <c r="C205" s="27" t="s">
        <v>169</v>
      </c>
    </row>
    <row r="206" spans="1:3">
      <c r="A206" s="27" t="s">
        <v>114</v>
      </c>
      <c r="B206" s="26" t="s">
        <v>65</v>
      </c>
      <c r="C206" s="27" t="s">
        <v>169</v>
      </c>
    </row>
    <row r="207" spans="1:3">
      <c r="A207" s="27" t="s">
        <v>40</v>
      </c>
      <c r="B207" s="27" t="s">
        <v>40</v>
      </c>
      <c r="C207" s="27" t="s">
        <v>30</v>
      </c>
    </row>
    <row r="208" spans="1:3">
      <c r="A208" s="27" t="s">
        <v>41</v>
      </c>
      <c r="B208" s="27" t="s">
        <v>41</v>
      </c>
      <c r="C208" s="27" t="s">
        <v>30</v>
      </c>
    </row>
    <row r="209" spans="1:3">
      <c r="A209" s="27" t="s">
        <v>42</v>
      </c>
      <c r="B209" s="27" t="s">
        <v>42</v>
      </c>
      <c r="C209" s="27" t="s">
        <v>30</v>
      </c>
    </row>
    <row r="210" spans="1:3">
      <c r="A210" s="27" t="s">
        <v>105</v>
      </c>
      <c r="B210" s="26" t="s">
        <v>13</v>
      </c>
      <c r="C210" s="27" t="s">
        <v>168</v>
      </c>
    </row>
    <row r="211" spans="1:3">
      <c r="A211" s="27" t="s">
        <v>11</v>
      </c>
      <c r="B211" s="27" t="s">
        <v>11</v>
      </c>
      <c r="C211" s="27" t="s">
        <v>10</v>
      </c>
    </row>
    <row r="212" spans="1:3">
      <c r="A212" s="27" t="s">
        <v>45</v>
      </c>
      <c r="B212" s="27" t="s">
        <v>45</v>
      </c>
      <c r="C212" s="27" t="s">
        <v>1655</v>
      </c>
    </row>
    <row r="213" spans="1:3">
      <c r="A213" s="27" t="s">
        <v>3453</v>
      </c>
      <c r="B213" s="27" t="s">
        <v>40</v>
      </c>
      <c r="C213" s="27" t="s">
        <v>30</v>
      </c>
    </row>
    <row r="214" spans="1:3">
      <c r="A214" s="27" t="s">
        <v>61</v>
      </c>
      <c r="B214" s="26" t="s">
        <v>61</v>
      </c>
      <c r="C214" s="27" t="s">
        <v>60</v>
      </c>
    </row>
    <row r="215" spans="1:3">
      <c r="A215" s="25" t="s">
        <v>3454</v>
      </c>
      <c r="B215" s="39" t="s">
        <v>111</v>
      </c>
      <c r="C215" s="40" t="s">
        <v>166</v>
      </c>
    </row>
    <row r="216" spans="1:3">
      <c r="A216" s="3" t="s">
        <v>3455</v>
      </c>
      <c r="B216" s="38" t="s">
        <v>96</v>
      </c>
      <c r="C216" s="38" t="s">
        <v>21</v>
      </c>
    </row>
    <row r="217" spans="1:3">
      <c r="A217" s="41" t="s">
        <v>3456</v>
      </c>
      <c r="B217" s="42" t="s">
        <v>38</v>
      </c>
      <c r="C217" s="43" t="s">
        <v>170</v>
      </c>
    </row>
    <row r="218" spans="1:3">
      <c r="A218" s="40" t="s">
        <v>35</v>
      </c>
      <c r="B218" s="40" t="s">
        <v>35</v>
      </c>
      <c r="C218" s="27" t="s">
        <v>30</v>
      </c>
    </row>
    <row r="219" spans="1:3">
      <c r="A219" s="27" t="s">
        <v>119</v>
      </c>
      <c r="B219" s="26" t="s">
        <v>15</v>
      </c>
      <c r="C219" s="52" t="s">
        <v>168</v>
      </c>
    </row>
    <row r="220" spans="1:3">
      <c r="A220" s="27" t="s">
        <v>84</v>
      </c>
      <c r="B220" s="27" t="s">
        <v>84</v>
      </c>
      <c r="C220" s="53" t="s">
        <v>83</v>
      </c>
    </row>
    <row r="221" spans="1:3">
      <c r="A221" s="27" t="s">
        <v>36</v>
      </c>
      <c r="B221" s="27" t="s">
        <v>36</v>
      </c>
      <c r="C221" s="53" t="s">
        <v>30</v>
      </c>
    </row>
    <row r="222" spans="1:3">
      <c r="A222" s="40" t="s">
        <v>3272</v>
      </c>
      <c r="B222" s="40" t="s">
        <v>68</v>
      </c>
      <c r="C222" s="52" t="s">
        <v>66</v>
      </c>
    </row>
    <row r="223" spans="1:3">
      <c r="A223" s="27" t="s">
        <v>77</v>
      </c>
      <c r="B223" s="27" t="s">
        <v>77</v>
      </c>
      <c r="C223" s="27" t="s">
        <v>76</v>
      </c>
    </row>
    <row r="224" spans="1:3">
      <c r="A224" s="40" t="s">
        <v>22</v>
      </c>
      <c r="B224" s="40" t="s">
        <v>22</v>
      </c>
      <c r="C224" s="40" t="s">
        <v>21</v>
      </c>
    </row>
    <row r="225" spans="1:3">
      <c r="A225" s="27" t="s">
        <v>19</v>
      </c>
      <c r="B225" s="27" t="s">
        <v>19</v>
      </c>
      <c r="C225" s="27" t="s">
        <v>1832</v>
      </c>
    </row>
    <row r="226" spans="1:3">
      <c r="A226" s="27" t="s">
        <v>90</v>
      </c>
      <c r="B226" s="32" t="s">
        <v>90</v>
      </c>
      <c r="C226" s="27" t="s">
        <v>89</v>
      </c>
    </row>
    <row r="227" spans="1:3">
      <c r="A227" s="27" t="s">
        <v>106</v>
      </c>
      <c r="B227" s="27" t="s">
        <v>106</v>
      </c>
      <c r="C227" s="53" t="s">
        <v>168</v>
      </c>
    </row>
    <row r="228" spans="1:3">
      <c r="A228" s="27" t="s">
        <v>29</v>
      </c>
      <c r="B228" s="27" t="s">
        <v>29</v>
      </c>
      <c r="C228" s="27" t="s">
        <v>23</v>
      </c>
    </row>
    <row r="229" spans="1:3">
      <c r="A229" s="70" t="s">
        <v>3457</v>
      </c>
      <c r="B229" s="31" t="s">
        <v>62</v>
      </c>
      <c r="C229" s="40" t="s">
        <v>55</v>
      </c>
    </row>
    <row r="230" spans="1:3">
      <c r="A230" s="27" t="s">
        <v>7</v>
      </c>
      <c r="B230" s="27" t="s">
        <v>7</v>
      </c>
      <c r="C230" s="27" t="s">
        <v>6</v>
      </c>
    </row>
    <row r="231" spans="1:3">
      <c r="A231" s="40" t="s">
        <v>16</v>
      </c>
      <c r="B231" s="40" t="s">
        <v>16</v>
      </c>
      <c r="C231" s="52" t="s">
        <v>168</v>
      </c>
    </row>
    <row r="232" spans="1:3">
      <c r="A232" s="40" t="s">
        <v>92</v>
      </c>
      <c r="B232" s="26" t="s">
        <v>92</v>
      </c>
      <c r="C232" s="40" t="s">
        <v>89</v>
      </c>
    </row>
    <row r="233" spans="1:3">
      <c r="A233" s="27" t="s">
        <v>63</v>
      </c>
      <c r="B233" s="26" t="s">
        <v>63</v>
      </c>
      <c r="C233" s="27" t="s">
        <v>1776</v>
      </c>
    </row>
    <row r="234" spans="1:3">
      <c r="A234" s="27" t="s">
        <v>25</v>
      </c>
      <c r="B234" s="27" t="s">
        <v>25</v>
      </c>
      <c r="C234" s="53" t="s">
        <v>24</v>
      </c>
    </row>
    <row r="235" spans="1:3">
      <c r="A235" s="70" t="s">
        <v>78</v>
      </c>
      <c r="B235" s="40" t="s">
        <v>78</v>
      </c>
      <c r="C235" s="40" t="s">
        <v>76</v>
      </c>
    </row>
    <row r="236" spans="1:3">
      <c r="A236" s="70" t="s">
        <v>99</v>
      </c>
      <c r="B236" s="40" t="s">
        <v>99</v>
      </c>
      <c r="C236" s="40" t="s">
        <v>60</v>
      </c>
    </row>
    <row r="237" spans="1:3">
      <c r="A237" s="40" t="s">
        <v>634</v>
      </c>
      <c r="B237" s="26" t="s">
        <v>15</v>
      </c>
      <c r="C237" s="40" t="s">
        <v>168</v>
      </c>
    </row>
    <row r="238" spans="1:3">
      <c r="A238" s="27" t="s">
        <v>1662</v>
      </c>
      <c r="B238" s="26" t="s">
        <v>15</v>
      </c>
      <c r="C238" s="27" t="s">
        <v>168</v>
      </c>
    </row>
    <row r="239" spans="1:3">
      <c r="A239" s="27" t="s">
        <v>38</v>
      </c>
      <c r="B239" s="28" t="s">
        <v>38</v>
      </c>
      <c r="C239" s="27" t="s">
        <v>170</v>
      </c>
    </row>
    <row r="240" spans="1:3">
      <c r="A240" s="27" t="s">
        <v>67</v>
      </c>
      <c r="B240" s="28" t="s">
        <v>67</v>
      </c>
      <c r="C240" s="27" t="s">
        <v>66</v>
      </c>
    </row>
    <row r="241" spans="1:3">
      <c r="A241" s="27" t="s">
        <v>62</v>
      </c>
      <c r="B241" s="28" t="s">
        <v>62</v>
      </c>
      <c r="C241" s="27" t="s">
        <v>55</v>
      </c>
    </row>
    <row r="242" spans="1:3">
      <c r="A242" s="27" t="s">
        <v>68</v>
      </c>
      <c r="B242" s="28" t="s">
        <v>68</v>
      </c>
      <c r="C242" s="27" t="s">
        <v>66</v>
      </c>
    </row>
    <row r="243" spans="1:3">
      <c r="A243" s="27" t="s">
        <v>28</v>
      </c>
      <c r="B243" s="26" t="s">
        <v>28</v>
      </c>
      <c r="C243" s="40" t="s">
        <v>27</v>
      </c>
    </row>
    <row r="244" spans="1:3">
      <c r="A244" s="27" t="s">
        <v>37</v>
      </c>
      <c r="B244" s="27" t="s">
        <v>37</v>
      </c>
      <c r="C244" s="40" t="s">
        <v>30</v>
      </c>
    </row>
    <row r="245" spans="1:3">
      <c r="A245" s="27" t="s">
        <v>72</v>
      </c>
      <c r="B245" s="27" t="s">
        <v>72</v>
      </c>
      <c r="C245" s="27" t="s">
        <v>3458</v>
      </c>
    </row>
    <row r="246" spans="1:3">
      <c r="A246" s="26" t="s">
        <v>15</v>
      </c>
      <c r="B246" s="26" t="s">
        <v>15</v>
      </c>
      <c r="C246" s="27" t="s">
        <v>168</v>
      </c>
    </row>
    <row r="247" spans="1:3">
      <c r="A247" s="27" t="s">
        <v>33</v>
      </c>
      <c r="B247" s="32" t="s">
        <v>33</v>
      </c>
      <c r="C247" s="25" t="s">
        <v>31</v>
      </c>
    </row>
    <row r="248" spans="1:3">
      <c r="A248" s="27" t="s">
        <v>32</v>
      </c>
      <c r="B248" s="32" t="s">
        <v>32</v>
      </c>
    </row>
    <row r="249" spans="1:3">
      <c r="A249" s="26" t="s">
        <v>13</v>
      </c>
      <c r="B249" s="26" t="s">
        <v>13</v>
      </c>
    </row>
    <row r="250" spans="1:3">
      <c r="A250" s="27" t="s">
        <v>59</v>
      </c>
      <c r="B250" s="27" t="s">
        <v>59</v>
      </c>
    </row>
    <row r="251" spans="1:3">
      <c r="A251" s="27" t="s">
        <v>26</v>
      </c>
      <c r="B251" s="27" t="s">
        <v>26</v>
      </c>
    </row>
    <row r="252" spans="1:3">
      <c r="A252" s="27" t="s">
        <v>3459</v>
      </c>
      <c r="B252" s="27" t="s">
        <v>3459</v>
      </c>
    </row>
    <row r="253" spans="1:3">
      <c r="A253"/>
    </row>
  </sheetData>
  <sheetProtection sheet="1" objects="1" scenarios="1" sort="0" autoFilter="0"/>
  <autoFilter ref="A1:C253" xr:uid="{00000000-0001-0000-0000-000000000000}"/>
  <conditionalFormatting sqref="A2:A146 A247:A248 A231:A234 B244 A148:A227 A250:A944">
    <cfRule type="duplicateValues" dxfId="18" priority="22"/>
  </conditionalFormatting>
  <conditionalFormatting sqref="A228">
    <cfRule type="duplicateValues" dxfId="17" priority="9"/>
  </conditionalFormatting>
  <conditionalFormatting sqref="A229:A230">
    <cfRule type="duplicateValues" dxfId="16" priority="8"/>
  </conditionalFormatting>
  <conditionalFormatting sqref="A235:A236">
    <cfRule type="duplicateValues" dxfId="15" priority="6"/>
  </conditionalFormatting>
  <conditionalFormatting sqref="B31">
    <cfRule type="duplicateValues" dxfId="14" priority="3"/>
  </conditionalFormatting>
  <conditionalFormatting sqref="B38">
    <cfRule type="duplicateValues" dxfId="13" priority="4"/>
  </conditionalFormatting>
  <conditionalFormatting sqref="B62">
    <cfRule type="duplicateValues" dxfId="12" priority="16"/>
  </conditionalFormatting>
  <conditionalFormatting sqref="B64">
    <cfRule type="duplicateValues" dxfId="11" priority="15"/>
  </conditionalFormatting>
  <conditionalFormatting sqref="B85">
    <cfRule type="duplicateValues" dxfId="10" priority="19"/>
  </conditionalFormatting>
  <conditionalFormatting sqref="B118">
    <cfRule type="duplicateValues" dxfId="9" priority="14"/>
  </conditionalFormatting>
  <conditionalFormatting sqref="B119">
    <cfRule type="duplicateValues" dxfId="8" priority="13"/>
  </conditionalFormatting>
  <conditionalFormatting sqref="B120">
    <cfRule type="duplicateValues" dxfId="7" priority="12"/>
  </conditionalFormatting>
  <conditionalFormatting sqref="B128">
    <cfRule type="duplicateValues" dxfId="6" priority="11"/>
  </conditionalFormatting>
  <conditionalFormatting sqref="B138">
    <cfRule type="duplicateValues" dxfId="5" priority="20"/>
  </conditionalFormatting>
  <conditionalFormatting sqref="B184">
    <cfRule type="duplicateValues" dxfId="4" priority="17"/>
  </conditionalFormatting>
  <conditionalFormatting sqref="B201">
    <cfRule type="duplicateValues" dxfId="3" priority="18"/>
  </conditionalFormatting>
  <conditionalFormatting sqref="B215">
    <cfRule type="duplicateValues" dxfId="2" priority="10"/>
  </conditionalFormatting>
  <conditionalFormatting sqref="B230">
    <cfRule type="duplicateValues" dxfId="1" priority="7"/>
  </conditionalFormatting>
  <conditionalFormatting sqref="B251">
    <cfRule type="duplicateValues" dxfId="0"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677EE-B54C-4513-A094-92456BCF0BB4}">
  <dimension ref="A1:G42"/>
  <sheetViews>
    <sheetView zoomScale="110" zoomScaleNormal="110" workbookViewId="0">
      <pane ySplit="1" topLeftCell="A2" activePane="bottomLeft" state="frozen"/>
      <selection pane="bottomLeft" activeCell="I7" sqref="I7"/>
    </sheetView>
  </sheetViews>
  <sheetFormatPr defaultColWidth="8.85546875" defaultRowHeight="15"/>
  <cols>
    <col min="1" max="1" width="26.28515625" bestFit="1" customWidth="1"/>
    <col min="2" max="2" width="5.140625" hidden="1" customWidth="1"/>
    <col min="3" max="3" width="37.42578125" bestFit="1" customWidth="1"/>
    <col min="4" max="4" width="43.42578125" hidden="1" customWidth="1"/>
    <col min="5" max="5" width="10" hidden="1" customWidth="1"/>
    <col min="6" max="6" width="19" bestFit="1" customWidth="1"/>
    <col min="7" max="7" width="5.7109375" bestFit="1" customWidth="1"/>
  </cols>
  <sheetData>
    <row r="1" spans="1:7">
      <c r="A1" s="145" t="s">
        <v>3460</v>
      </c>
      <c r="B1" s="146" t="s">
        <v>3461</v>
      </c>
      <c r="C1" s="146" t="s">
        <v>3462</v>
      </c>
      <c r="D1" s="146" t="s">
        <v>3463</v>
      </c>
      <c r="E1" s="146" t="s">
        <v>3464</v>
      </c>
      <c r="F1" s="146" t="s">
        <v>3465</v>
      </c>
      <c r="G1" s="147" t="s">
        <v>3466</v>
      </c>
    </row>
    <row r="2" spans="1:7">
      <c r="A2" s="144" t="s">
        <v>3467</v>
      </c>
      <c r="B2" s="144">
        <v>4155</v>
      </c>
      <c r="C2" s="144" t="s">
        <v>3468</v>
      </c>
      <c r="D2" s="144" t="s">
        <v>3469</v>
      </c>
      <c r="E2" s="144">
        <v>5557</v>
      </c>
      <c r="F2" s="144" t="s">
        <v>3470</v>
      </c>
      <c r="G2" s="144"/>
    </row>
    <row r="3" spans="1:7">
      <c r="A3" s="144" t="s">
        <v>1437</v>
      </c>
      <c r="B3" s="144">
        <v>4022</v>
      </c>
      <c r="C3" s="144" t="s">
        <v>3471</v>
      </c>
      <c r="D3" s="144" t="s">
        <v>3472</v>
      </c>
      <c r="E3" s="144">
        <v>3006</v>
      </c>
      <c r="F3" s="144" t="s">
        <v>3470</v>
      </c>
      <c r="G3" s="144"/>
    </row>
    <row r="4" spans="1:7">
      <c r="A4" s="144" t="s">
        <v>1237</v>
      </c>
      <c r="B4" s="144">
        <v>27</v>
      </c>
      <c r="C4" s="144" t="s">
        <v>3471</v>
      </c>
      <c r="D4" s="144" t="s">
        <v>169</v>
      </c>
      <c r="E4" s="144">
        <v>5199</v>
      </c>
      <c r="F4" s="144" t="s">
        <v>3470</v>
      </c>
      <c r="G4" s="144"/>
    </row>
    <row r="5" spans="1:7">
      <c r="A5" s="144" t="s">
        <v>3473</v>
      </c>
      <c r="B5" s="144">
        <v>111</v>
      </c>
      <c r="C5" s="144" t="s">
        <v>3474</v>
      </c>
      <c r="D5" s="144" t="s">
        <v>43</v>
      </c>
      <c r="E5" s="144">
        <v>49</v>
      </c>
      <c r="F5" s="144" t="s">
        <v>3470</v>
      </c>
      <c r="G5" s="144"/>
    </row>
    <row r="6" spans="1:7">
      <c r="A6" s="144" t="s">
        <v>1596</v>
      </c>
      <c r="B6" s="144">
        <v>115</v>
      </c>
      <c r="C6" s="144" t="s">
        <v>3474</v>
      </c>
      <c r="D6" s="144" t="s">
        <v>43</v>
      </c>
      <c r="E6" s="144">
        <v>49</v>
      </c>
      <c r="F6" s="144" t="s">
        <v>3470</v>
      </c>
      <c r="G6" s="144"/>
    </row>
    <row r="7" spans="1:7">
      <c r="A7" s="144" t="s">
        <v>3475</v>
      </c>
      <c r="B7" s="144">
        <v>5528</v>
      </c>
      <c r="C7" s="144" t="s">
        <v>3474</v>
      </c>
      <c r="D7" s="144" t="s">
        <v>3476</v>
      </c>
      <c r="E7" s="144">
        <v>4971</v>
      </c>
      <c r="F7" s="144" t="s">
        <v>3470</v>
      </c>
      <c r="G7" s="144"/>
    </row>
    <row r="8" spans="1:7">
      <c r="A8" s="144" t="s">
        <v>3477</v>
      </c>
      <c r="B8" s="144">
        <v>5534</v>
      </c>
      <c r="C8" s="144" t="s">
        <v>3478</v>
      </c>
      <c r="D8" s="144" t="s">
        <v>23</v>
      </c>
      <c r="E8" s="144">
        <v>5316</v>
      </c>
      <c r="F8" s="144" t="s">
        <v>3470</v>
      </c>
      <c r="G8" s="144"/>
    </row>
    <row r="9" spans="1:7">
      <c r="A9" s="144" t="s">
        <v>1625</v>
      </c>
      <c r="B9" s="144">
        <v>166</v>
      </c>
      <c r="C9" s="144" t="s">
        <v>3478</v>
      </c>
      <c r="D9" s="144" t="s">
        <v>43</v>
      </c>
      <c r="E9" s="144">
        <v>49</v>
      </c>
      <c r="F9" s="144" t="s">
        <v>3470</v>
      </c>
      <c r="G9" s="144"/>
    </row>
    <row r="10" spans="1:7">
      <c r="A10" s="144" t="s">
        <v>1197</v>
      </c>
      <c r="B10" s="144">
        <v>3947</v>
      </c>
      <c r="C10" s="144" t="s">
        <v>3478</v>
      </c>
      <c r="D10" s="144" t="s">
        <v>164</v>
      </c>
      <c r="E10" s="144">
        <v>3095</v>
      </c>
      <c r="F10" s="144" t="s">
        <v>3470</v>
      </c>
      <c r="G10" s="144"/>
    </row>
    <row r="11" spans="1:7">
      <c r="A11" s="144" t="s">
        <v>3479</v>
      </c>
      <c r="B11" s="144">
        <v>5797</v>
      </c>
      <c r="C11" s="144" t="s">
        <v>3478</v>
      </c>
      <c r="D11" s="144" t="s">
        <v>169</v>
      </c>
      <c r="E11" s="144">
        <v>5199</v>
      </c>
      <c r="F11" s="144" t="s">
        <v>3470</v>
      </c>
      <c r="G11" s="144"/>
    </row>
    <row r="12" spans="1:7">
      <c r="A12" s="144" t="s">
        <v>3480</v>
      </c>
      <c r="B12" s="144">
        <v>870</v>
      </c>
      <c r="C12" s="144" t="s">
        <v>3478</v>
      </c>
      <c r="D12" s="144" t="s">
        <v>24</v>
      </c>
      <c r="E12" s="144">
        <v>550</v>
      </c>
      <c r="F12" s="144" t="s">
        <v>3470</v>
      </c>
      <c r="G12" s="144"/>
    </row>
    <row r="13" spans="1:7">
      <c r="A13" s="144" t="s">
        <v>1354</v>
      </c>
      <c r="B13" s="144">
        <v>7</v>
      </c>
      <c r="C13" s="144" t="s">
        <v>3478</v>
      </c>
      <c r="D13" s="144" t="s">
        <v>3481</v>
      </c>
      <c r="E13" s="144">
        <v>3991</v>
      </c>
      <c r="F13" s="144" t="s">
        <v>3470</v>
      </c>
      <c r="G13" s="144"/>
    </row>
    <row r="14" spans="1:7">
      <c r="A14" s="144" t="s">
        <v>3482</v>
      </c>
      <c r="B14" s="144">
        <v>5440</v>
      </c>
      <c r="C14" s="144" t="s">
        <v>3478</v>
      </c>
      <c r="D14" s="144" t="s">
        <v>169</v>
      </c>
      <c r="E14" s="144">
        <v>5199</v>
      </c>
      <c r="F14" s="144" t="s">
        <v>3470</v>
      </c>
      <c r="G14" s="144"/>
    </row>
    <row r="15" spans="1:7">
      <c r="A15" s="144" t="s">
        <v>3483</v>
      </c>
      <c r="B15" s="144"/>
      <c r="C15" s="144" t="s">
        <v>3478</v>
      </c>
      <c r="D15" s="144" t="s">
        <v>23</v>
      </c>
      <c r="E15" s="144"/>
      <c r="F15" s="144" t="s">
        <v>3470</v>
      </c>
      <c r="G15" s="144"/>
    </row>
    <row r="16" spans="1:7">
      <c r="A16" s="144" t="s">
        <v>3484</v>
      </c>
      <c r="B16" s="144">
        <v>5844</v>
      </c>
      <c r="C16" s="144" t="s">
        <v>3485</v>
      </c>
      <c r="D16" s="144" t="s">
        <v>23</v>
      </c>
      <c r="E16" s="144">
        <v>5316</v>
      </c>
      <c r="F16" s="144" t="s">
        <v>3486</v>
      </c>
      <c r="G16" s="144"/>
    </row>
    <row r="17" spans="1:7">
      <c r="A17" s="144" t="s">
        <v>1475</v>
      </c>
      <c r="B17" s="144">
        <v>2930</v>
      </c>
      <c r="C17" s="144" t="s">
        <v>3485</v>
      </c>
      <c r="D17" s="144" t="s">
        <v>1437</v>
      </c>
      <c r="E17" s="144">
        <v>4022</v>
      </c>
      <c r="F17" s="144" t="s">
        <v>3470</v>
      </c>
      <c r="G17" s="144"/>
    </row>
    <row r="18" spans="1:7">
      <c r="A18" s="144" t="s">
        <v>3487</v>
      </c>
      <c r="B18" s="144">
        <v>90</v>
      </c>
      <c r="C18" s="144" t="s">
        <v>3485</v>
      </c>
      <c r="D18" s="144" t="s">
        <v>27</v>
      </c>
      <c r="E18" s="144">
        <v>3717</v>
      </c>
      <c r="F18" s="144" t="s">
        <v>3470</v>
      </c>
      <c r="G18" s="144"/>
    </row>
    <row r="19" spans="1:7">
      <c r="A19" s="144" t="s">
        <v>3488</v>
      </c>
      <c r="B19" s="144">
        <v>82</v>
      </c>
      <c r="C19" s="144" t="s">
        <v>3485</v>
      </c>
      <c r="D19" s="144" t="s">
        <v>27</v>
      </c>
      <c r="E19" s="144">
        <v>3717</v>
      </c>
      <c r="F19" s="144" t="s">
        <v>3470</v>
      </c>
      <c r="G19" s="144"/>
    </row>
    <row r="20" spans="1:7">
      <c r="A20" s="144" t="s">
        <v>1643</v>
      </c>
      <c r="B20" s="144">
        <v>59</v>
      </c>
      <c r="C20" s="144" t="s">
        <v>3485</v>
      </c>
      <c r="D20" s="144" t="s">
        <v>696</v>
      </c>
      <c r="E20" s="144">
        <v>3640</v>
      </c>
      <c r="F20" s="144" t="s">
        <v>3470</v>
      </c>
      <c r="G20" s="144"/>
    </row>
    <row r="21" spans="1:7">
      <c r="A21" s="144" t="s">
        <v>1387</v>
      </c>
      <c r="B21" s="144">
        <v>2537</v>
      </c>
      <c r="C21" s="144" t="s">
        <v>3485</v>
      </c>
      <c r="D21" s="144" t="s">
        <v>27</v>
      </c>
      <c r="E21" s="144">
        <v>3717</v>
      </c>
      <c r="F21" s="144" t="s">
        <v>3470</v>
      </c>
      <c r="G21" s="144"/>
    </row>
    <row r="22" spans="1:7">
      <c r="A22" s="144" t="s">
        <v>1557</v>
      </c>
      <c r="B22" s="144">
        <v>4029</v>
      </c>
      <c r="C22" s="144" t="s">
        <v>3485</v>
      </c>
      <c r="D22" s="144" t="s">
        <v>3481</v>
      </c>
      <c r="E22" s="144">
        <v>3991</v>
      </c>
      <c r="F22" s="144" t="s">
        <v>3470</v>
      </c>
      <c r="G22" s="144"/>
    </row>
    <row r="23" spans="1:7">
      <c r="A23" s="144" t="s">
        <v>1209</v>
      </c>
      <c r="B23" s="144">
        <v>4157</v>
      </c>
      <c r="C23" s="144" t="s">
        <v>3485</v>
      </c>
      <c r="D23" s="144" t="s">
        <v>164</v>
      </c>
      <c r="E23" s="144">
        <v>3095</v>
      </c>
      <c r="F23" s="144" t="s">
        <v>3470</v>
      </c>
      <c r="G23" s="144"/>
    </row>
    <row r="24" spans="1:7">
      <c r="A24" s="144" t="s">
        <v>3489</v>
      </c>
      <c r="B24" s="144">
        <v>70</v>
      </c>
      <c r="C24" s="144" t="s">
        <v>3485</v>
      </c>
      <c r="D24" s="144" t="s">
        <v>3490</v>
      </c>
      <c r="E24" s="144">
        <v>61</v>
      </c>
      <c r="F24" s="144" t="s">
        <v>3491</v>
      </c>
      <c r="G24" s="144"/>
    </row>
    <row r="25" spans="1:7">
      <c r="A25" s="144" t="s">
        <v>3492</v>
      </c>
      <c r="B25" s="144">
        <v>2255</v>
      </c>
      <c r="C25" s="144" t="s">
        <v>3485</v>
      </c>
      <c r="D25" s="144" t="s">
        <v>44</v>
      </c>
      <c r="E25" s="144">
        <v>1303</v>
      </c>
      <c r="F25" s="144" t="s">
        <v>3470</v>
      </c>
      <c r="G25" s="144"/>
    </row>
    <row r="26" spans="1:7">
      <c r="A26" s="144" t="s">
        <v>3493</v>
      </c>
      <c r="B26" s="144">
        <v>128</v>
      </c>
      <c r="C26" s="144" t="s">
        <v>3485</v>
      </c>
      <c r="D26" s="144" t="s">
        <v>437</v>
      </c>
      <c r="E26" s="144">
        <v>165</v>
      </c>
      <c r="F26" s="144" t="s">
        <v>3470</v>
      </c>
      <c r="G26" s="144"/>
    </row>
    <row r="27" spans="1:7">
      <c r="A27" s="144" t="s">
        <v>3494</v>
      </c>
      <c r="B27" s="144">
        <v>650</v>
      </c>
      <c r="C27" s="144" t="s">
        <v>3485</v>
      </c>
      <c r="D27" s="144" t="s">
        <v>3495</v>
      </c>
      <c r="E27" s="144">
        <v>146</v>
      </c>
      <c r="F27" s="144" t="s">
        <v>3470</v>
      </c>
      <c r="G27" s="144"/>
    </row>
    <row r="28" spans="1:7">
      <c r="A28" s="144" t="s">
        <v>3496</v>
      </c>
      <c r="B28" s="144">
        <v>348</v>
      </c>
      <c r="C28" s="144" t="s">
        <v>3485</v>
      </c>
      <c r="D28" s="144" t="s">
        <v>48</v>
      </c>
      <c r="E28" s="144">
        <v>233</v>
      </c>
      <c r="F28" s="144" t="s">
        <v>3470</v>
      </c>
      <c r="G28" s="144"/>
    </row>
    <row r="29" spans="1:7">
      <c r="A29" s="144" t="s">
        <v>3497</v>
      </c>
      <c r="B29" s="144">
        <v>639</v>
      </c>
      <c r="C29" s="144" t="s">
        <v>3485</v>
      </c>
      <c r="D29" s="144" t="s">
        <v>27</v>
      </c>
      <c r="E29" s="144">
        <v>3717</v>
      </c>
      <c r="F29" s="144" t="s">
        <v>3470</v>
      </c>
      <c r="G29" s="144"/>
    </row>
    <row r="30" spans="1:7">
      <c r="A30" s="144" t="s">
        <v>3498</v>
      </c>
      <c r="B30" s="144">
        <v>1431</v>
      </c>
      <c r="C30" s="144" t="s">
        <v>3499</v>
      </c>
      <c r="D30" s="144" t="s">
        <v>1832</v>
      </c>
      <c r="E30" s="144">
        <v>564</v>
      </c>
      <c r="F30" s="144" t="s">
        <v>3470</v>
      </c>
      <c r="G30" s="144"/>
    </row>
    <row r="31" spans="1:7">
      <c r="A31" s="144" t="s">
        <v>3500</v>
      </c>
      <c r="B31" s="144">
        <v>9</v>
      </c>
      <c r="C31" s="144" t="s">
        <v>3485</v>
      </c>
      <c r="D31" s="144" t="s">
        <v>3501</v>
      </c>
      <c r="E31" s="144">
        <v>922</v>
      </c>
      <c r="F31" s="144" t="s">
        <v>3470</v>
      </c>
      <c r="G31" s="144"/>
    </row>
    <row r="32" spans="1:7">
      <c r="A32" s="144" t="s">
        <v>3502</v>
      </c>
      <c r="B32" s="144">
        <v>5436</v>
      </c>
      <c r="C32" s="144" t="s">
        <v>3503</v>
      </c>
      <c r="D32" s="144" t="s">
        <v>3504</v>
      </c>
      <c r="E32" s="144">
        <v>5076</v>
      </c>
      <c r="F32" s="144" t="s">
        <v>3470</v>
      </c>
      <c r="G32" s="144"/>
    </row>
    <row r="33" spans="1:7">
      <c r="A33" s="144" t="s">
        <v>3505</v>
      </c>
      <c r="B33" s="144">
        <v>547</v>
      </c>
      <c r="C33" s="144" t="s">
        <v>3503</v>
      </c>
      <c r="D33" s="144" t="s">
        <v>3506</v>
      </c>
      <c r="E33" s="144">
        <v>185</v>
      </c>
      <c r="F33" s="144" t="s">
        <v>3470</v>
      </c>
      <c r="G33" s="144"/>
    </row>
    <row r="34" spans="1:7">
      <c r="A34" s="144" t="s">
        <v>3507</v>
      </c>
      <c r="B34" s="144">
        <v>288</v>
      </c>
      <c r="C34" s="144" t="s">
        <v>3503</v>
      </c>
      <c r="D34" s="144" t="s">
        <v>3508</v>
      </c>
      <c r="E34" s="144">
        <v>5199</v>
      </c>
      <c r="F34" s="144" t="s">
        <v>3470</v>
      </c>
      <c r="G34" s="144"/>
    </row>
    <row r="35" spans="1:7">
      <c r="A35" s="144" t="s">
        <v>691</v>
      </c>
      <c r="B35" s="144">
        <v>149</v>
      </c>
      <c r="C35" s="144" t="s">
        <v>3503</v>
      </c>
      <c r="D35" s="144" t="s">
        <v>3509</v>
      </c>
      <c r="E35" s="144">
        <v>21</v>
      </c>
      <c r="F35" s="144" t="s">
        <v>3491</v>
      </c>
      <c r="G35" s="144"/>
    </row>
    <row r="36" spans="1:7">
      <c r="A36" s="144" t="s">
        <v>724</v>
      </c>
      <c r="B36" s="144">
        <v>362</v>
      </c>
      <c r="C36" s="144" t="s">
        <v>3503</v>
      </c>
      <c r="D36" s="144" t="s">
        <v>3510</v>
      </c>
      <c r="E36" s="144">
        <v>142</v>
      </c>
      <c r="F36" s="144" t="s">
        <v>3491</v>
      </c>
      <c r="G36" s="144"/>
    </row>
    <row r="37" spans="1:7">
      <c r="A37" s="144" t="s">
        <v>3511</v>
      </c>
      <c r="B37" s="144">
        <v>195</v>
      </c>
      <c r="C37" s="144" t="s">
        <v>3512</v>
      </c>
      <c r="D37" s="144" t="s">
        <v>3513</v>
      </c>
      <c r="E37" s="144">
        <v>295</v>
      </c>
      <c r="F37" s="144" t="s">
        <v>3470</v>
      </c>
      <c r="G37" s="144"/>
    </row>
    <row r="38" spans="1:7">
      <c r="A38" s="144" t="s">
        <v>3514</v>
      </c>
      <c r="B38" s="144">
        <v>5507</v>
      </c>
      <c r="C38" s="144" t="s">
        <v>3512</v>
      </c>
      <c r="D38" s="144" t="s">
        <v>3513</v>
      </c>
      <c r="E38" s="144">
        <v>295</v>
      </c>
      <c r="F38" s="144" t="s">
        <v>3470</v>
      </c>
      <c r="G38" s="144"/>
    </row>
    <row r="39" spans="1:7">
      <c r="A39" s="144" t="s">
        <v>3515</v>
      </c>
      <c r="B39" s="144">
        <v>455</v>
      </c>
      <c r="C39" s="144" t="s">
        <v>3516</v>
      </c>
      <c r="D39" s="144" t="s">
        <v>3517</v>
      </c>
      <c r="E39" s="144">
        <v>3901</v>
      </c>
      <c r="F39" s="144" t="s">
        <v>3470</v>
      </c>
      <c r="G39" s="144"/>
    </row>
    <row r="40" spans="1:7">
      <c r="A40" s="144" t="s">
        <v>3518</v>
      </c>
      <c r="B40" s="144">
        <v>5311</v>
      </c>
      <c r="C40" s="144" t="s">
        <v>3512</v>
      </c>
      <c r="D40" s="144" t="s">
        <v>3513</v>
      </c>
      <c r="E40" s="144">
        <v>295</v>
      </c>
      <c r="F40" s="144" t="s">
        <v>3470</v>
      </c>
      <c r="G40" s="144"/>
    </row>
    <row r="41" spans="1:7">
      <c r="A41" s="144" t="s">
        <v>3519</v>
      </c>
      <c r="B41" s="144">
        <v>129</v>
      </c>
      <c r="C41" s="144" t="s">
        <v>3516</v>
      </c>
      <c r="D41" s="144" t="s">
        <v>3520</v>
      </c>
      <c r="E41" s="144">
        <v>266</v>
      </c>
      <c r="F41" s="144" t="s">
        <v>3491</v>
      </c>
      <c r="G41" s="144"/>
    </row>
    <row r="42" spans="1:7">
      <c r="A42" t="s">
        <v>1004</v>
      </c>
    </row>
  </sheetData>
  <sheetProtection sheet="1" objects="1" scenarios="1"/>
  <autoFilter ref="A1:G42" xr:uid="{126677EE-B54C-4513-A094-92456BCF0BB4}"/>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8E7A87E650E45943551BEB79DBBE0" ma:contentTypeVersion="15" ma:contentTypeDescription="Create a new document." ma:contentTypeScope="" ma:versionID="4eb6af593addfc54bf2d41b3e0fc2752">
  <xsd:schema xmlns:xsd="http://www.w3.org/2001/XMLSchema" xmlns:xs="http://www.w3.org/2001/XMLSchema" xmlns:p="http://schemas.microsoft.com/office/2006/metadata/properties" xmlns:ns2="eea7ae76-61dc-4e42-9b70-6fa7ea3421ad" xmlns:ns3="03e28fc7-89ad-4be8-9c90-8cb4643b4a5d" targetNamespace="http://schemas.microsoft.com/office/2006/metadata/properties" ma:root="true" ma:fieldsID="98e98710a5c20fb7398604a66d41150d" ns2:_="" ns3:_="">
    <xsd:import namespace="eea7ae76-61dc-4e42-9b70-6fa7ea3421ad"/>
    <xsd:import namespace="03e28fc7-89ad-4be8-9c90-8cb4643b4a5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a7ae76-61dc-4e42-9b70-6fa7ea3421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272121d-d7f6-442f-ada8-f3fc354efdd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e28fc7-89ad-4be8-9c90-8cb4643b4a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cadfa67c-a463-44dd-a0bd-f2b7496cd00f}" ma:internalName="TaxCatchAll" ma:showField="CatchAllData" ma:web="03e28fc7-89ad-4be8-9c90-8cb4643b4a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ea7ae76-61dc-4e42-9b70-6fa7ea3421ad">
      <Terms xmlns="http://schemas.microsoft.com/office/infopath/2007/PartnerControls"/>
    </lcf76f155ced4ddcb4097134ff3c332f>
    <TaxCatchAll xmlns="03e28fc7-89ad-4be8-9c90-8cb4643b4a5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1D4BBC-F86C-42C7-ACC7-3846F4692D72}"/>
</file>

<file path=customXml/itemProps2.xml><?xml version="1.0" encoding="utf-8"?>
<ds:datastoreItem xmlns:ds="http://schemas.openxmlformats.org/officeDocument/2006/customXml" ds:itemID="{8678DC5D-0998-4E77-918E-8250257B05FA}"/>
</file>

<file path=customXml/itemProps3.xml><?xml version="1.0" encoding="utf-8"?>
<ds:datastoreItem xmlns:ds="http://schemas.openxmlformats.org/officeDocument/2006/customXml" ds:itemID="{0C7CA9A4-52FE-4C5E-B265-E82DDFFA10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2025-02-10T07:39:26Z</dcterms:created>
  <dcterms:modified xsi:type="dcterms:W3CDTF">2026-07-26T08:44:47Z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0x010100FF38E7A87E650E45943551BEB79DBBE0</vt:lpwstr>
  </property>
  <property fmtid="{D5CDD505-2E9C-101B-9397-08002B2CF9AE}" pid="3" name="MediaServiceImageTags">
    <vt:lpwstr/>
  </property>
</Properties>
</file>